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MED" sheetId="1" r:id="rId5"/>
    <sheet state="visible" name="FOD" sheetId="2" r:id="rId6"/>
    <sheet state="hidden" name="NEW_adjusted" sheetId="3" r:id="rId7"/>
    <sheet state="hidden" name="UPDATED_adjusted" sheetId="4" r:id="rId8"/>
    <sheet state="hidden" name="VERIFIED_adjusted" sheetId="5" r:id="rId9"/>
    <sheet state="hidden" name="verified scratch" sheetId="6" r:id="rId10"/>
  </sheets>
  <definedNames>
    <definedName hidden="1" localSheetId="1" name="Z_BFAD3FC5_7D50_478A_A1C9_F01A1867A3B2_.wvu.FilterData">FOD!$A$11:$DF$114</definedName>
    <definedName hidden="1" localSheetId="4" name="Z_BFAD3FC5_7D50_478A_A1C9_F01A1867A3B2_.wvu.FilterData">VERIFIED_adjusted!$A$11:$A$112</definedName>
    <definedName hidden="1" localSheetId="0" name="Z_BFAD3FC5_7D50_478A_A1C9_F01A1867A3B2_.wvu.FilterData">PMED!$A$11:$DF$114</definedName>
    <definedName hidden="1" localSheetId="3" name="Z_BFAD3FC5_7D50_478A_A1C9_F01A1867A3B2_.wvu.FilterData">UPDATED_adjusted!$A$11:$Z$112</definedName>
    <definedName hidden="1" localSheetId="5" name="Z_BFAD3FC5_7D50_478A_A1C9_F01A1867A3B2_.wvu.FilterData">'verified scratch'!$A$11:$A$112</definedName>
    <definedName hidden="1" localSheetId="2" name="Z_BFAD3FC5_7D50_478A_A1C9_F01A1867A3B2_.wvu.FilterData">NEW_adjusted!$A$11:$DC$113</definedName>
  </definedNames>
  <calcPr/>
  <customWorkbookViews>
    <customWorkbookView activeSheetId="0" maximized="1" windowHeight="0" windowWidth="0" guid="{BFAD3FC5-7D50-478A-A1C9-F01A1867A3B2}" name="Filter 1"/>
  </customWorkbookViews>
</workbook>
</file>

<file path=xl/sharedStrings.xml><?xml version="1.0" encoding="utf-8"?>
<sst xmlns="http://schemas.openxmlformats.org/spreadsheetml/2006/main" count="1338" uniqueCount="191">
  <si>
    <t>DEPARTMENT OF AGRICULTURE</t>
  </si>
  <si>
    <t>Regional Field Office- Cordillera Administrative Region</t>
  </si>
  <si>
    <t>1ST QUARTER</t>
  </si>
  <si>
    <t>2ND QUARTER</t>
  </si>
  <si>
    <t>Updating of the Registry System for Basic Sectors in Agriculture (RSBSA)</t>
  </si>
  <si>
    <t>3RD QUARTER</t>
  </si>
  <si>
    <t>4RTH QUARTER</t>
  </si>
  <si>
    <t>1ST SEMESTER</t>
  </si>
  <si>
    <t>2ND SEMESTER</t>
  </si>
  <si>
    <t>ANNUAL</t>
  </si>
  <si>
    <t>Phyisal Accomplishment Monitoring Dashboard</t>
  </si>
  <si>
    <t xml:space="preserve">BED -1 </t>
  </si>
  <si>
    <t>BED - 2</t>
  </si>
  <si>
    <t>BED -3</t>
  </si>
  <si>
    <t>Registered Farmers and Fishers (NEW Records Encoded)</t>
  </si>
  <si>
    <t>Registered Farmers and Fishers (EXISTING Records UPDATED)</t>
  </si>
  <si>
    <t>CY 2026 - STO</t>
  </si>
  <si>
    <t>TARGET</t>
  </si>
  <si>
    <t>Reported by RPMOs as of 2025</t>
  </si>
  <si>
    <t>ACCOMPLISHMENT</t>
  </si>
  <si>
    <t>PHYSICAL</t>
  </si>
  <si>
    <t>OBLIGATION in THOUSANDS)</t>
  </si>
  <si>
    <t>DISBURSMENT in THOUSANDS</t>
  </si>
  <si>
    <t>OBLIGATION in Thousands</t>
  </si>
  <si>
    <t>DISBURSEMENT in Thousands</t>
  </si>
  <si>
    <t xml:space="preserve">REGION </t>
  </si>
  <si>
    <t>RSBSAPP RUNNING TOTAL - NEW REGISTERED RECORDS</t>
  </si>
  <si>
    <t>RSBSAPP RUNNING TOTAL - UPDATED RECORDS</t>
  </si>
  <si>
    <t>MAJOR FINAL OUTPUTS (MFO)/  PROGRAM, PROJECT, ACTIVITY</t>
  </si>
  <si>
    <t>PERFORMANCE INDICATOR</t>
  </si>
  <si>
    <t>Unit of Measure</t>
  </si>
  <si>
    <t>JAN</t>
  </si>
  <si>
    <t>FEB</t>
  </si>
  <si>
    <t>MAR</t>
  </si>
  <si>
    <t>Q1</t>
  </si>
  <si>
    <t>NFFIS ENCODED</t>
  </si>
  <si>
    <t>TOTAL</t>
  </si>
  <si>
    <t>APR</t>
  </si>
  <si>
    <t>MAY</t>
  </si>
  <si>
    <t>JUN</t>
  </si>
  <si>
    <t>Q2</t>
  </si>
  <si>
    <t>JUL</t>
  </si>
  <si>
    <t>AUG</t>
  </si>
  <si>
    <t>SEPT</t>
  </si>
  <si>
    <t>Q3</t>
  </si>
  <si>
    <t>Q4</t>
  </si>
  <si>
    <t>GRAND TOTAL</t>
  </si>
  <si>
    <t>OCT</t>
  </si>
  <si>
    <t>NOV</t>
  </si>
  <si>
    <t>DEC</t>
  </si>
  <si>
    <t>TOTAL TARGET</t>
  </si>
  <si>
    <t>ACTUAL</t>
  </si>
  <si>
    <t>%</t>
  </si>
  <si>
    <t>TOTAL OBLIGATION</t>
  </si>
  <si>
    <t>August</t>
  </si>
  <si>
    <t>TOTAL DISBURSEMENT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</si>
  <si>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</si>
  <si>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</si>
  <si>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</si>
  <si>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</si>
  <si>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</si>
  <si>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</si>
  <si>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</si>
  <si>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</si>
  <si>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</si>
  <si>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</si>
  <si>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</si>
  <si>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PLANNING, MONITORING AND EVALUATION DIVISION</t>
  </si>
  <si>
    <t>ICTMS</t>
  </si>
  <si>
    <t>ICT-Based Training</t>
  </si>
  <si>
    <t>Training Conducted</t>
  </si>
  <si>
    <t>Number</t>
  </si>
  <si>
    <t>reported</t>
  </si>
  <si>
    <t>adjusted</t>
  </si>
  <si>
    <t>diff</t>
  </si>
  <si>
    <t>add</t>
  </si>
  <si>
    <t>CORDILLERA ADMINISTRATIVE REGION (CAR)</t>
  </si>
  <si>
    <t xml:space="preserve">        Abra</t>
  </si>
  <si>
    <t xml:space="preserve">        Apayao</t>
  </si>
  <si>
    <t xml:space="preserve">        Benguet (w/ HUC)</t>
  </si>
  <si>
    <t>Sub-total</t>
  </si>
  <si>
    <t xml:space="preserve">        Ifugao</t>
  </si>
  <si>
    <t>DoPP-PMED</t>
  </si>
  <si>
    <t>Preparation of Agency plans, proposals and related documents</t>
  </si>
  <si>
    <t>Agency Plans, Proposals and Related Documents prepared and packaged</t>
  </si>
  <si>
    <t xml:space="preserve">        Kalinga</t>
  </si>
  <si>
    <t xml:space="preserve">        Mountain Province</t>
  </si>
  <si>
    <t>REGION 1 (ILOCOS)</t>
  </si>
  <si>
    <t xml:space="preserve">        Ilocos Norte</t>
  </si>
  <si>
    <t xml:space="preserve">        Ilocos Sur</t>
  </si>
  <si>
    <t xml:space="preserve">        La Union</t>
  </si>
  <si>
    <t>**Source: Approved Work and Financial Plan 2026 - STO</t>
  </si>
  <si>
    <t xml:space="preserve">        Pangasinan</t>
  </si>
  <si>
    <t>REGION 2 (CAGAYAN VALLEY)</t>
  </si>
  <si>
    <t xml:space="preserve">        Batanes</t>
  </si>
  <si>
    <t xml:space="preserve">        Cagayan</t>
  </si>
  <si>
    <t xml:space="preserve">        Isabela</t>
  </si>
  <si>
    <t xml:space="preserve">        Nueva Vizcaya</t>
  </si>
  <si>
    <t xml:space="preserve">        Quirino</t>
  </si>
  <si>
    <t>REGION 3 (CENTRAL LUZON)</t>
  </si>
  <si>
    <t xml:space="preserve">        Aurora</t>
  </si>
  <si>
    <t xml:space="preserve">        Bataan</t>
  </si>
  <si>
    <t xml:space="preserve">        Bulacan</t>
  </si>
  <si>
    <t xml:space="preserve">        Nueva Ecija</t>
  </si>
  <si>
    <t xml:space="preserve">        Pampanga (w/ HUC)</t>
  </si>
  <si>
    <t xml:space="preserve">        Tarlac</t>
  </si>
  <si>
    <t xml:space="preserve">        Zambales (w/ HUC)</t>
  </si>
  <si>
    <t>REGION 4-A (CALABARZON)</t>
  </si>
  <si>
    <t xml:space="preserve">        Batangas</t>
  </si>
  <si>
    <t xml:space="preserve">        Cavite</t>
  </si>
  <si>
    <t xml:space="preserve">        Laguna</t>
  </si>
  <si>
    <t xml:space="preserve">        Quezon (w/ HUC)</t>
  </si>
  <si>
    <t xml:space="preserve">        Rizal</t>
  </si>
  <si>
    <t>REGION 4-B (MIMAROPA)</t>
  </si>
  <si>
    <t xml:space="preserve">        Marinduque</t>
  </si>
  <si>
    <t xml:space="preserve">        Occidental Mindoro</t>
  </si>
  <si>
    <t xml:space="preserve">        Oriental Mindoro</t>
  </si>
  <si>
    <t xml:space="preserve">        Palawan (w/ HUC)</t>
  </si>
  <si>
    <t xml:space="preserve">        Romblon</t>
  </si>
  <si>
    <t>REGION 5 (BICOL)</t>
  </si>
  <si>
    <t xml:space="preserve">        Albay</t>
  </si>
  <si>
    <t xml:space="preserve">        Camarines Norte</t>
  </si>
  <si>
    <t xml:space="preserve">        Camarines Sur</t>
  </si>
  <si>
    <t xml:space="preserve">        Catanduanes</t>
  </si>
  <si>
    <t xml:space="preserve">        Masbate</t>
  </si>
  <si>
    <t xml:space="preserve">        Sorsogon</t>
  </si>
  <si>
    <t>REGION 6 (WESTERN VISAYAS)</t>
  </si>
  <si>
    <t xml:space="preserve">        Aklan</t>
  </si>
  <si>
    <t xml:space="preserve">        Antique</t>
  </si>
  <si>
    <t xml:space="preserve">        Capiz</t>
  </si>
  <si>
    <t xml:space="preserve">        Guimaras</t>
  </si>
  <si>
    <t xml:space="preserve">        Iloilo (w/ HUC)</t>
  </si>
  <si>
    <t xml:space="preserve">        Negros Occidental (w/ HUC)</t>
  </si>
  <si>
    <t>REGION 7 (CENTRAL VISAYAS)</t>
  </si>
  <si>
    <t xml:space="preserve">        Bohol</t>
  </si>
  <si>
    <t xml:space="preserve">        Cebu (w/ 3 HUC)</t>
  </si>
  <si>
    <t xml:space="preserve">        Negros Oriental</t>
  </si>
  <si>
    <t xml:space="preserve">        Siquijor</t>
  </si>
  <si>
    <t>REGION 8 (EASTERN VISAYAS)</t>
  </si>
  <si>
    <t xml:space="preserve">        Biliran</t>
  </si>
  <si>
    <t xml:space="preserve">        Eastern Samar</t>
  </si>
  <si>
    <t xml:space="preserve">        Leyte (w/ HUC)</t>
  </si>
  <si>
    <t xml:space="preserve">        Northern Samar</t>
  </si>
  <si>
    <t xml:space="preserve">        Western Samar (Samar)</t>
  </si>
  <si>
    <t xml:space="preserve">        Southern Leyte</t>
  </si>
  <si>
    <t>REGION 9 (ZAMBOANGA PENINSULA)</t>
  </si>
  <si>
    <t xml:space="preserve">        Zamboanga City</t>
  </si>
  <si>
    <t xml:space="preserve">        Zamboanga del Norte</t>
  </si>
  <si>
    <t xml:space="preserve">        Zamboanga del Sur (w/ HUC)</t>
  </si>
  <si>
    <t xml:space="preserve">        Zamboanga Sibugay</t>
  </si>
  <si>
    <t xml:space="preserve">       City of Isabela</t>
  </si>
  <si>
    <t>REGION 10 (NORTHERN MINDANAO)</t>
  </si>
  <si>
    <t xml:space="preserve">        Bukidnon</t>
  </si>
  <si>
    <t xml:space="preserve">        Camiguin</t>
  </si>
  <si>
    <t xml:space="preserve">        Lanao del Norte (w/ HUC)</t>
  </si>
  <si>
    <t xml:space="preserve">        Misamis Occidental</t>
  </si>
  <si>
    <t>Registered Farmers and Fishers (Records VERIFIED/REVIEWED)</t>
  </si>
  <si>
    <t>RSBSAPP RUNNING TOTAL - VERIFIED RECORDS</t>
  </si>
  <si>
    <t xml:space="preserve">        Misamis Oriental (w/ HUC)</t>
  </si>
  <si>
    <t>REGION 11 (DAVAO)</t>
  </si>
  <si>
    <t xml:space="preserve">        Davao De Oro</t>
  </si>
  <si>
    <t xml:space="preserve">        Davao del Norte</t>
  </si>
  <si>
    <t xml:space="preserve">        Davao del Sur (w/ HUC)</t>
  </si>
  <si>
    <r>
      <rPr>
        <rFont val="Arial"/>
        <i/>
        <color theme="1"/>
        <sz val="13.0"/>
      </rPr>
      <t xml:space="preserve">        Davao Occidental</t>
    </r>
  </si>
  <si>
    <r>
      <rPr>
        <rFont val="Arial"/>
        <i/>
        <color theme="1"/>
        <sz val="13.0"/>
      </rPr>
      <t xml:space="preserve">        Davao Oriental</t>
    </r>
  </si>
  <si>
    <t>REGION 12 (SOCCSKSARGEN)</t>
  </si>
  <si>
    <t xml:space="preserve">        North Cotabato</t>
  </si>
  <si>
    <t xml:space="preserve">        Sarangani</t>
  </si>
  <si>
    <t xml:space="preserve">        South Cotabato (w/ HUC)</t>
  </si>
  <si>
    <t xml:space="preserve">        Sultan Kudarat</t>
  </si>
  <si>
    <t xml:space="preserve">        Cotabato City</t>
  </si>
  <si>
    <t>REGION 13 (CARAGA)</t>
  </si>
  <si>
    <t xml:space="preserve">        Agusan del Norte (w/ HUC)</t>
  </si>
  <si>
    <t xml:space="preserve">        Agusan del Sur</t>
  </si>
  <si>
    <t xml:space="preserve">        Dinagat Islands</t>
  </si>
  <si>
    <t xml:space="preserve">        Surigao del Norte</t>
  </si>
  <si>
    <t xml:space="preserve">        Surigao del Sur</t>
  </si>
  <si>
    <t>BARMM</t>
  </si>
  <si>
    <t xml:space="preserve">        Basilan</t>
  </si>
  <si>
    <t xml:space="preserve">        Lanao del Sur</t>
  </si>
  <si>
    <t xml:space="preserve">        Maguindanao</t>
  </si>
  <si>
    <t xml:space="preserve">        Sulu</t>
  </si>
  <si>
    <t xml:space="preserve">        Tawi-Tawi</t>
  </si>
  <si>
    <t xml:space="preserve">       North Cotabato (BARMM Interim Prov)</t>
  </si>
  <si>
    <t>NCR</t>
  </si>
  <si>
    <r>
      <rPr>
        <rFont val="Arial"/>
        <i/>
        <color theme="1"/>
        <sz val="13.0"/>
      </rPr>
      <t xml:space="preserve">        Davao Occidental</t>
    </r>
  </si>
  <si>
    <r>
      <rPr>
        <rFont val="Arial"/>
        <i/>
        <color theme="1"/>
        <sz val="13.0"/>
      </rPr>
      <t xml:space="preserve">        Davao Oriental</t>
    </r>
  </si>
  <si>
    <r>
      <rPr>
        <rFont val="Arial"/>
        <i/>
        <color theme="1"/>
        <sz val="13.0"/>
      </rPr>
      <t xml:space="preserve">        Davao Occidental</t>
    </r>
  </si>
  <si>
    <r>
      <rPr>
        <rFont val="Arial"/>
        <i/>
        <color theme="1"/>
        <sz val="13.0"/>
      </rPr>
      <t xml:space="preserve">        Davao Oriental</t>
    </r>
  </si>
  <si>
    <r>
      <rPr>
        <rFont val="Arial"/>
        <i/>
        <color theme="1"/>
        <sz val="13.0"/>
      </rPr>
      <t xml:space="preserve">        Davao Occidental</t>
    </r>
  </si>
  <si>
    <r>
      <rPr>
        <rFont val="Arial"/>
        <i/>
        <color theme="1"/>
        <sz val="13.0"/>
      </rPr>
      <t xml:space="preserve">        Davao Oriental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</si>
</sst>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40">
    <font>
      <sz val="10.0"/>
      <color rgb="FF000000"/>
      <name val="Arial"/>
      <scheme val="minor"/>
    </font>
    <font>
      <b/>
      <sz val="13.0"/>
      <color theme="1"/>
      <name val="Arial"/>
    </font>
    <font>
      <sz val="13.0"/>
      <color theme="1"/>
      <name val="Arial"/>
    </font>
    <font>
      <sz val="12.0"/>
      <color theme="1"/>
      <name val="Arial"/>
    </font>
    <font>
      <b/>
      <sz val="13.0"/>
      <color rgb="FFFF0000"/>
      <name val="Arial"/>
    </font>
    <font>
      <b/>
      <sz val="18.0"/>
      <color theme="0"/>
      <name val="Bahnschrift"/>
    </font>
    <font>
      <sz val="18.0"/>
      <color theme="0"/>
      <name val="Arial"/>
    </font>
    <font>
      <sz val="18.0"/>
      <color theme="1"/>
      <name val="Arial"/>
    </font>
    <font>
      <sz val="13.0"/>
      <color theme="0"/>
      <name val="Arial"/>
    </font>
    <font>
      <b/>
      <sz val="18.0"/>
      <color theme="1"/>
      <name val="Bahnschrift"/>
    </font>
    <font>
      <b/>
      <sz val="18.0"/>
      <color rgb="FFFFFFFF"/>
      <name val="Bahnschrift"/>
    </font>
    <font>
      <b/>
      <sz val="13.0"/>
      <color theme="1"/>
      <name val="Quattrocento Sans"/>
    </font>
    <font>
      <b/>
      <sz val="13.0"/>
      <color theme="1"/>
      <name val="Bahnschrift"/>
    </font>
    <font>
      <sz val="13.0"/>
      <color theme="1"/>
      <name val="Bahnschrift"/>
    </font>
    <font>
      <b/>
      <i/>
      <sz val="13.0"/>
      <color theme="1"/>
      <name val="Arial"/>
    </font>
    <font>
      <b/>
      <sz val="18.0"/>
      <color theme="0"/>
      <name val="Overlock"/>
    </font>
    <font>
      <b/>
      <i/>
      <sz val="13.0"/>
      <color rgb="FFFF0000"/>
      <name val="Arial"/>
    </font>
    <font>
      <sz val="13.0"/>
      <color theme="0"/>
      <name val="Overlock"/>
    </font>
    <font>
      <b/>
      <sz val="18.0"/>
      <color theme="1"/>
      <name val="Overlock"/>
    </font>
    <font>
      <sz val="18.0"/>
      <color theme="0"/>
      <name val="Overlock"/>
    </font>
    <font>
      <sz val="16.0"/>
      <color theme="1"/>
      <name val="Arial"/>
    </font>
    <font>
      <b/>
      <sz val="16.0"/>
      <color theme="1"/>
      <name val="Overlock"/>
    </font>
    <font>
      <b/>
      <sz val="14.0"/>
      <color theme="1"/>
      <name val="Quattrocento Sans"/>
    </font>
    <font>
      <sz val="14.0"/>
      <color theme="1"/>
      <name val="Arial"/>
    </font>
    <font>
      <b/>
      <sz val="14.0"/>
      <color theme="1"/>
      <name val="Arial"/>
    </font>
    <font>
      <b/>
      <sz val="12.0"/>
      <color theme="1"/>
      <name val="Quattrocento Sans"/>
    </font>
    <font>
      <b/>
      <sz val="12.0"/>
      <color theme="1"/>
      <name val="Arial"/>
    </font>
    <font/>
    <font>
      <b/>
      <sz val="11.0"/>
      <color theme="1"/>
      <name val="Arial"/>
    </font>
    <font>
      <b/>
      <sz val="16.0"/>
      <color theme="1"/>
      <name val="Arial"/>
    </font>
    <font>
      <b/>
      <sz val="16.0"/>
      <color theme="0"/>
      <name val="Arial"/>
    </font>
    <font>
      <b/>
      <sz val="13.0"/>
      <color rgb="FFFFFFFF"/>
      <name val="Arial"/>
    </font>
    <font>
      <b/>
      <sz val="13.0"/>
      <color rgb="FF000000"/>
      <name val="Arial"/>
    </font>
    <font>
      <b/>
      <sz val="13.0"/>
      <color theme="0"/>
      <name val="Arial"/>
    </font>
    <font>
      <i/>
      <sz val="12.0"/>
      <color theme="1"/>
      <name val="Arial"/>
    </font>
    <font>
      <sz val="9.0"/>
      <color theme="1"/>
      <name val="Arial"/>
    </font>
    <font>
      <i/>
      <sz val="13.0"/>
      <color theme="1"/>
      <name val="Arial"/>
    </font>
    <font>
      <sz val="13.0"/>
      <color rgb="FF000000"/>
      <name val="Cambria"/>
    </font>
    <font>
      <sz val="10.0"/>
      <color theme="1"/>
      <name val="Arial"/>
    </font>
    <font>
      <i/>
      <sz val="13.0"/>
      <color rgb="FFFF0000"/>
      <name val="Arial"/>
    </font>
  </fonts>
  <fills count="4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E6FC"/>
        <bgColor rgb="FFD9E6FC"/>
      </patternFill>
    </fill>
    <fill>
      <patternFill patternType="solid">
        <fgColor rgb="FFFAD9D6"/>
        <bgColor rgb="FFFAD9D6"/>
      </patternFill>
    </fill>
    <fill>
      <patternFill patternType="solid">
        <fgColor theme="7"/>
        <bgColor theme="7"/>
      </patternFill>
    </fill>
    <fill>
      <patternFill patternType="solid">
        <fgColor theme="1"/>
        <bgColor theme="1"/>
      </patternFill>
    </fill>
    <fill>
      <patternFill patternType="solid">
        <fgColor rgb="FF7030A0"/>
        <bgColor rgb="FF7030A0"/>
      </patternFill>
    </fill>
    <fill>
      <patternFill patternType="solid">
        <fgColor rgb="FF3399FF"/>
        <bgColor rgb="FF3399FF"/>
      </patternFill>
    </fill>
    <fill>
      <patternFill patternType="solid">
        <fgColor rgb="FFFCD668"/>
        <bgColor rgb="FFFCD668"/>
      </patternFill>
    </fill>
    <fill>
      <patternFill patternType="solid">
        <fgColor rgb="FFB4E4E8"/>
        <bgColor rgb="FFB4E4E8"/>
      </patternFill>
    </fill>
    <fill>
      <patternFill patternType="solid">
        <fgColor rgb="FFFDE49A"/>
        <bgColor rgb="FFFDE49A"/>
      </patternFill>
    </fill>
    <fill>
      <patternFill patternType="solid">
        <fgColor rgb="FF8DB5F8"/>
        <bgColor rgb="FF8DB5F8"/>
      </patternFill>
    </fill>
    <fill>
      <patternFill patternType="solid">
        <fgColor theme="6"/>
        <bgColor theme="6"/>
      </patternFill>
    </fill>
    <fill>
      <patternFill patternType="solid">
        <fgColor rgb="FFFFA766"/>
        <bgColor rgb="FFFFA766"/>
      </patternFill>
    </fill>
    <fill>
      <patternFill patternType="solid">
        <fgColor rgb="FFCCCCCC"/>
        <bgColor rgb="FFCCCCCC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B6D7A8"/>
        <bgColor rgb="FFB6D7A8"/>
      </patternFill>
    </fill>
    <fill>
      <patternFill patternType="solid">
        <fgColor rgb="FF1A5429"/>
        <bgColor rgb="FF1A5429"/>
      </patternFill>
    </fill>
    <fill>
      <patternFill patternType="solid">
        <fgColor rgb="FF76A5AF"/>
        <bgColor rgb="FF76A5AF"/>
      </patternFill>
    </fill>
    <fill>
      <patternFill patternType="solid">
        <fgColor rgb="FFF6B26B"/>
        <bgColor rgb="FFF6B26B"/>
      </patternFill>
    </fill>
    <fill>
      <patternFill patternType="solid">
        <fgColor rgb="FF7D5E02"/>
        <bgColor rgb="FF7D5E02"/>
      </patternFill>
    </fill>
    <fill>
      <patternFill patternType="solid">
        <fgColor rgb="FF6AA84F"/>
        <bgColor rgb="FF6AA84F"/>
      </patternFill>
    </fill>
    <fill>
      <patternFill patternType="solid">
        <fgColor rgb="FFFFD966"/>
        <bgColor rgb="FFFFD966"/>
      </patternFill>
    </fill>
    <fill>
      <patternFill patternType="solid">
        <fgColor rgb="FF3C78D8"/>
        <bgColor rgb="FF3C78D8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FEF1CC"/>
        <bgColor rgb="FFFEF1CC"/>
      </patternFill>
    </fill>
    <fill>
      <patternFill patternType="solid">
        <fgColor rgb="FFF9CB9C"/>
        <bgColor rgb="FFF9CB9C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</fills>
  <borders count="19">
    <border/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2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0" xfId="0" applyFont="1"/>
    <xf borderId="0" fillId="0" fontId="2" numFmtId="0" xfId="0" applyFont="1"/>
    <xf borderId="0" fillId="0" fontId="4" numFmtId="3" xfId="0" applyAlignment="1" applyFont="1" applyNumberFormat="1">
      <alignment horizontal="center" vertical="center"/>
    </xf>
    <xf borderId="0" fillId="0" fontId="4" numFmtId="3" xfId="0" applyAlignment="1" applyFont="1" applyNumberFormat="1">
      <alignment horizontal="center"/>
    </xf>
    <xf borderId="1" fillId="2" fontId="5" numFmtId="0" xfId="0" applyAlignment="1" applyBorder="1" applyFill="1" applyFont="1">
      <alignment vertical="center"/>
    </xf>
    <xf borderId="1" fillId="2" fontId="6" numFmtId="0" xfId="0" applyAlignment="1" applyBorder="1" applyFont="1">
      <alignment vertical="center"/>
    </xf>
    <xf borderId="1" fillId="2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1" fillId="2" fontId="8" numFmtId="0" xfId="0" applyAlignment="1" applyBorder="1" applyFont="1">
      <alignment vertical="center"/>
    </xf>
    <xf borderId="1" fillId="2" fontId="2" numFmtId="0" xfId="0" applyAlignment="1" applyBorder="1" applyFont="1">
      <alignment vertical="center"/>
    </xf>
    <xf borderId="1" fillId="3" fontId="9" numFmtId="0" xfId="0" applyAlignment="1" applyBorder="1" applyFill="1" applyFont="1">
      <alignment vertical="center"/>
    </xf>
    <xf borderId="1" fillId="3" fontId="7" numFmtId="0" xfId="0" applyAlignment="1" applyBorder="1" applyFont="1">
      <alignment vertical="center"/>
    </xf>
    <xf borderId="1" fillId="4" fontId="9" numFmtId="0" xfId="0" applyAlignment="1" applyBorder="1" applyFill="1" applyFont="1">
      <alignment vertical="center"/>
    </xf>
    <xf borderId="1" fillId="4" fontId="7" numFmtId="0" xfId="0" applyAlignment="1" applyBorder="1" applyFont="1">
      <alignment vertical="center"/>
    </xf>
    <xf borderId="0" fillId="0" fontId="2" numFmtId="4" xfId="0" applyFont="1" applyNumberFormat="1"/>
    <xf borderId="0" fillId="0" fontId="2" numFmtId="3" xfId="0" applyAlignment="1" applyFont="1" applyNumberFormat="1">
      <alignment vertical="center"/>
    </xf>
    <xf borderId="0" fillId="0" fontId="2" numFmtId="0" xfId="0" applyAlignment="1" applyFont="1">
      <alignment horizontal="center" vertical="center"/>
    </xf>
    <xf borderId="0" fillId="0" fontId="2" numFmtId="4" xfId="0" applyAlignment="1" applyFont="1" applyNumberFormat="1">
      <alignment vertical="center"/>
    </xf>
    <xf borderId="1" fillId="5" fontId="9" numFmtId="0" xfId="0" applyAlignment="1" applyBorder="1" applyFill="1" applyFont="1">
      <alignment vertical="center"/>
    </xf>
    <xf borderId="0" fillId="0" fontId="2" numFmtId="3" xfId="0" applyFont="1" applyNumberFormat="1"/>
    <xf borderId="1" fillId="5" fontId="7" numFmtId="0" xfId="0" applyAlignment="1" applyBorder="1" applyFont="1">
      <alignment vertical="center"/>
    </xf>
    <xf borderId="0" fillId="0" fontId="2" numFmtId="0" xfId="0" applyAlignment="1" applyFont="1">
      <alignment horizontal="center"/>
    </xf>
    <xf borderId="1" fillId="6" fontId="5" numFmtId="0" xfId="0" applyAlignment="1" applyBorder="1" applyFill="1" applyFont="1">
      <alignment vertical="center"/>
    </xf>
    <xf borderId="1" fillId="6" fontId="6" numFmtId="0" xfId="0" applyAlignment="1" applyBorder="1" applyFont="1">
      <alignment vertical="center"/>
    </xf>
    <xf borderId="1" fillId="7" fontId="5" numFmtId="0" xfId="0" applyAlignment="1" applyBorder="1" applyFill="1" applyFont="1">
      <alignment vertical="center"/>
    </xf>
    <xf borderId="1" fillId="7" fontId="6" numFmtId="0" xfId="0" applyAlignment="1" applyBorder="1" applyFont="1">
      <alignment vertical="center"/>
    </xf>
    <xf borderId="1" fillId="8" fontId="10" numFmtId="0" xfId="0" applyAlignment="1" applyBorder="1" applyFill="1" applyFont="1">
      <alignment vertical="center"/>
    </xf>
    <xf borderId="1" fillId="8" fontId="5" numFmtId="0" xfId="0" applyAlignment="1" applyBorder="1" applyFont="1">
      <alignment vertical="center"/>
    </xf>
    <xf borderId="1" fillId="8" fontId="6" numFmtId="0" xfId="0" applyAlignment="1" applyBorder="1" applyFont="1">
      <alignment vertical="center"/>
    </xf>
    <xf borderId="1" fillId="9" fontId="11" numFmtId="0" xfId="0" applyAlignment="1" applyBorder="1" applyFill="1" applyFont="1">
      <alignment vertical="center"/>
    </xf>
    <xf borderId="1" fillId="10" fontId="12" numFmtId="0" xfId="0" applyAlignment="1" applyBorder="1" applyFill="1" applyFont="1">
      <alignment vertical="center"/>
    </xf>
    <xf borderId="1" fillId="11" fontId="12" numFmtId="0" xfId="0" applyAlignment="1" applyBorder="1" applyFill="1" applyFont="1">
      <alignment vertical="center"/>
    </xf>
    <xf borderId="1" fillId="11" fontId="13" numFmtId="0" xfId="0" applyAlignment="1" applyBorder="1" applyFont="1">
      <alignment vertical="center"/>
    </xf>
    <xf borderId="1" fillId="12" fontId="12" numFmtId="0" xfId="0" applyAlignment="1" applyBorder="1" applyFill="1" applyFont="1">
      <alignment vertical="center"/>
    </xf>
    <xf borderId="1" fillId="12" fontId="13" numFmtId="0" xfId="0" applyAlignment="1" applyBorder="1" applyFont="1">
      <alignment vertical="center"/>
    </xf>
    <xf borderId="0" fillId="0" fontId="14" numFmtId="0" xfId="0" applyAlignment="1" applyFont="1">
      <alignment vertical="center"/>
    </xf>
    <xf borderId="0" fillId="0" fontId="14" numFmtId="0" xfId="0" applyFont="1"/>
    <xf borderId="0" fillId="0" fontId="2" numFmtId="10" xfId="0" applyAlignment="1" applyFont="1" applyNumberFormat="1">
      <alignment vertical="center"/>
    </xf>
    <xf borderId="0" fillId="0" fontId="2" numFmtId="10" xfId="0" applyFont="1" applyNumberFormat="1"/>
    <xf borderId="1" fillId="6" fontId="15" numFmtId="0" xfId="0" applyAlignment="1" applyBorder="1" applyFont="1">
      <alignment horizontal="center" vertical="center"/>
    </xf>
    <xf borderId="0" fillId="0" fontId="16" numFmtId="0" xfId="0" applyAlignment="1" applyFont="1">
      <alignment vertical="center"/>
    </xf>
    <xf borderId="1" fillId="6" fontId="17" numFmtId="0" xfId="0" applyAlignment="1" applyBorder="1" applyFont="1">
      <alignment vertical="center"/>
    </xf>
    <xf borderId="1" fillId="13" fontId="18" numFmtId="0" xfId="0" applyAlignment="1" applyBorder="1" applyFill="1" applyFont="1">
      <alignment horizontal="left" vertical="center"/>
    </xf>
    <xf borderId="1" fillId="13" fontId="7" numFmtId="0" xfId="0" applyAlignment="1" applyBorder="1" applyFont="1">
      <alignment horizontal="left" vertical="center"/>
    </xf>
    <xf borderId="1" fillId="6" fontId="19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1" fillId="13" fontId="21" numFmtId="0" xfId="0" applyAlignment="1" applyBorder="1" applyFont="1">
      <alignment horizontal="left" vertical="center"/>
    </xf>
    <xf borderId="1" fillId="13" fontId="20" numFmtId="0" xfId="0" applyAlignment="1" applyBorder="1" applyFont="1">
      <alignment horizontal="left" vertical="center"/>
    </xf>
    <xf borderId="1" fillId="6" fontId="15" numFmtId="0" xfId="0" applyAlignment="1" applyBorder="1" applyFont="1">
      <alignment horizontal="left" vertical="center"/>
    </xf>
    <xf borderId="2" fillId="6" fontId="2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vertical="center"/>
    </xf>
    <xf borderId="3" fillId="14" fontId="22" numFmtId="0" xfId="0" applyAlignment="1" applyBorder="1" applyFill="1" applyFont="1">
      <alignment horizontal="left" vertical="center"/>
    </xf>
    <xf borderId="2" fillId="14" fontId="23" numFmtId="0" xfId="0" applyAlignment="1" applyBorder="1" applyFont="1">
      <alignment horizontal="center" vertical="center"/>
    </xf>
    <xf borderId="4" fillId="14" fontId="23" numFmtId="0" xfId="0" applyAlignment="1" applyBorder="1" applyFont="1">
      <alignment horizontal="center" vertical="center"/>
    </xf>
    <xf borderId="2" fillId="6" fontId="23" numFmtId="0" xfId="0" applyAlignment="1" applyBorder="1" applyFont="1">
      <alignment horizontal="center" vertical="center"/>
    </xf>
    <xf borderId="3" fillId="10" fontId="22" numFmtId="0" xfId="0" applyAlignment="1" applyBorder="1" applyFont="1">
      <alignment horizontal="left" vertical="center"/>
    </xf>
    <xf borderId="2" fillId="10" fontId="24" numFmtId="0" xfId="0" applyAlignment="1" applyBorder="1" applyFont="1">
      <alignment horizontal="center" vertical="center"/>
    </xf>
    <xf borderId="4" fillId="10" fontId="1" numFmtId="0" xfId="0" applyAlignment="1" applyBorder="1" applyFont="1">
      <alignment horizontal="center" vertical="center"/>
    </xf>
    <xf borderId="3" fillId="10" fontId="25" numFmtId="0" xfId="0" applyAlignment="1" applyBorder="1" applyFont="1">
      <alignment horizontal="left" vertical="center"/>
    </xf>
    <xf borderId="2" fillId="10" fontId="26" numFmtId="0" xfId="0" applyAlignment="1" applyBorder="1" applyFont="1">
      <alignment horizontal="center" vertical="center"/>
    </xf>
    <xf borderId="4" fillId="10" fontId="24" numFmtId="0" xfId="0" applyAlignment="1" applyBorder="1" applyFont="1">
      <alignment horizontal="center" vertical="center"/>
    </xf>
    <xf borderId="2" fillId="14" fontId="2" numFmtId="0" xfId="0" applyAlignment="1" applyBorder="1" applyFont="1">
      <alignment horizontal="center" vertical="center"/>
    </xf>
    <xf borderId="4" fillId="14" fontId="2" numFmtId="0" xfId="0" applyAlignment="1" applyBorder="1" applyFont="1">
      <alignment horizontal="center" vertical="center"/>
    </xf>
    <xf borderId="2" fillId="10" fontId="1" numFmtId="0" xfId="0" applyAlignment="1" applyBorder="1" applyFont="1">
      <alignment horizontal="center" vertical="center"/>
    </xf>
    <xf borderId="5" fillId="15" fontId="1" numFmtId="3" xfId="0" applyAlignment="1" applyBorder="1" applyFill="1" applyFont="1" applyNumberFormat="1">
      <alignment horizontal="center" vertical="center"/>
    </xf>
    <xf borderId="6" fillId="16" fontId="1" numFmtId="0" xfId="0" applyAlignment="1" applyBorder="1" applyFill="1" applyFont="1">
      <alignment horizontal="center" vertical="center"/>
    </xf>
    <xf borderId="6" fillId="17" fontId="1" numFmtId="0" xfId="0" applyAlignment="1" applyBorder="1" applyFill="1" applyFont="1">
      <alignment horizontal="center" vertical="center"/>
    </xf>
    <xf borderId="7" fillId="0" fontId="27" numFmtId="0" xfId="0" applyBorder="1" applyFont="1"/>
    <xf borderId="3" fillId="18" fontId="25" numFmtId="0" xfId="0" applyAlignment="1" applyBorder="1" applyFill="1" applyFont="1">
      <alignment horizontal="left" vertical="center"/>
    </xf>
    <xf borderId="2" fillId="18" fontId="2" numFmtId="0" xfId="0" applyAlignment="1" applyBorder="1" applyFont="1">
      <alignment horizontal="center" vertical="center"/>
    </xf>
    <xf borderId="8" fillId="19" fontId="1" numFmtId="3" xfId="0" applyAlignment="1" applyBorder="1" applyFill="1" applyFont="1" applyNumberFormat="1">
      <alignment shrinkToFit="0" vertical="center" wrapText="1"/>
    </xf>
    <xf borderId="8" fillId="19" fontId="28" numFmtId="0" xfId="0" applyAlignment="1" applyBorder="1" applyFont="1">
      <alignment horizontal="center" shrinkToFit="0" vertical="center" wrapText="1"/>
    </xf>
    <xf borderId="9" fillId="0" fontId="27" numFmtId="0" xfId="0" applyBorder="1" applyFont="1"/>
    <xf borderId="8" fillId="19" fontId="26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0" fillId="20" fontId="29" numFmtId="0" xfId="0" applyAlignment="1" applyBorder="1" applyFill="1" applyFont="1">
      <alignment horizontal="center" shrinkToFit="0" vertical="center" wrapText="1"/>
    </xf>
    <xf borderId="11" fillId="0" fontId="27" numFmtId="0" xfId="0" applyBorder="1" applyFont="1"/>
    <xf borderId="12" fillId="21" fontId="30" numFmtId="0" xfId="0" applyAlignment="1" applyBorder="1" applyFill="1" applyFont="1">
      <alignment horizontal="center" shrinkToFit="0" vertical="center" wrapText="1"/>
    </xf>
    <xf borderId="1" fillId="6" fontId="29" numFmtId="0" xfId="0" applyAlignment="1" applyBorder="1" applyFont="1">
      <alignment horizontal="center" shrinkToFit="0" vertical="center" wrapText="1"/>
    </xf>
    <xf borderId="5" fillId="22" fontId="1" numFmtId="3" xfId="0" applyAlignment="1" applyBorder="1" applyFill="1" applyFont="1" applyNumberFormat="1">
      <alignment horizontal="center" shrinkToFit="0" vertical="center" wrapText="1"/>
    </xf>
    <xf borderId="13" fillId="23" fontId="1" numFmtId="0" xfId="0" applyAlignment="1" applyBorder="1" applyFill="1" applyFont="1">
      <alignment horizontal="center" shrinkToFit="0" vertical="center" wrapText="1"/>
    </xf>
    <xf borderId="14" fillId="0" fontId="27" numFmtId="0" xfId="0" applyBorder="1" applyFont="1"/>
    <xf borderId="15" fillId="0" fontId="27" numFmtId="0" xfId="0" applyBorder="1" applyFont="1"/>
    <xf borderId="5" fillId="23" fontId="1" numFmtId="0" xfId="0" applyAlignment="1" applyBorder="1" applyFont="1">
      <alignment horizontal="center" shrinkToFit="0" vertical="center" wrapText="1"/>
    </xf>
    <xf borderId="12" fillId="24" fontId="30" numFmtId="0" xfId="0" applyAlignment="1" applyBorder="1" applyFill="1" applyFont="1">
      <alignment horizontal="center" shrinkToFit="0" vertical="center" wrapText="1"/>
    </xf>
    <xf borderId="13" fillId="25" fontId="1" numFmtId="0" xfId="0" applyAlignment="1" applyBorder="1" applyFill="1" applyFont="1">
      <alignment horizontal="center" shrinkToFit="0" vertical="center" wrapText="1"/>
    </xf>
    <xf borderId="5" fillId="25" fontId="1" numFmtId="0" xfId="0" applyAlignment="1" applyBorder="1" applyFont="1">
      <alignment horizontal="center" shrinkToFit="0" vertical="center" wrapText="1"/>
    </xf>
    <xf borderId="13" fillId="26" fontId="1" numFmtId="0" xfId="0" applyAlignment="1" applyBorder="1" applyFill="1" applyFont="1">
      <alignment horizontal="center" shrinkToFit="0" vertical="center" wrapText="1"/>
    </xf>
    <xf borderId="5" fillId="26" fontId="1" numFmtId="0" xfId="0" applyAlignment="1" applyBorder="1" applyFont="1">
      <alignment horizontal="center" shrinkToFit="0" vertical="center" wrapText="1"/>
    </xf>
    <xf borderId="13" fillId="27" fontId="31" numFmtId="0" xfId="0" applyAlignment="1" applyBorder="1" applyFill="1" applyFont="1">
      <alignment horizontal="center" shrinkToFit="0" vertical="center" wrapText="1"/>
    </xf>
    <xf borderId="5" fillId="27" fontId="31" numFmtId="0" xfId="0" applyAlignment="1" applyBorder="1" applyFont="1">
      <alignment horizontal="center" shrinkToFit="0" vertical="center" wrapText="1"/>
    </xf>
    <xf borderId="13" fillId="28" fontId="1" numFmtId="0" xfId="0" applyAlignment="1" applyBorder="1" applyFill="1" applyFont="1">
      <alignment horizontal="center" shrinkToFit="0" vertical="center" wrapText="1"/>
    </xf>
    <xf borderId="5" fillId="28" fontId="1" numFmtId="0" xfId="0" applyAlignment="1" applyBorder="1" applyFont="1">
      <alignment horizontal="center" shrinkToFit="0" vertical="center" wrapText="1"/>
    </xf>
    <xf borderId="13" fillId="29" fontId="1" numFmtId="0" xfId="0" applyAlignment="1" applyBorder="1" applyFill="1" applyFont="1">
      <alignment horizontal="center" shrinkToFit="0" vertical="center" wrapText="1"/>
    </xf>
    <xf borderId="5" fillId="29" fontId="1" numFmtId="0" xfId="0" applyAlignment="1" applyBorder="1" applyFont="1">
      <alignment horizontal="center" shrinkToFit="0" vertical="center" wrapText="1"/>
    </xf>
    <xf borderId="5" fillId="16" fontId="32" numFmtId="3" xfId="0" applyAlignment="1" applyBorder="1" applyFont="1" applyNumberFormat="1">
      <alignment horizontal="center" shrinkToFit="0" vertical="center" wrapText="1"/>
    </xf>
    <xf borderId="16" fillId="30" fontId="1" numFmtId="0" xfId="0" applyAlignment="1" applyBorder="1" applyFill="1" applyFont="1">
      <alignment horizontal="center" shrinkToFit="0" vertical="center" wrapText="1"/>
    </xf>
    <xf borderId="5" fillId="17" fontId="1" numFmtId="3" xfId="0" applyAlignment="1" applyBorder="1" applyFont="1" applyNumberFormat="1">
      <alignment horizontal="center" shrinkToFit="0" vertical="center" wrapText="1"/>
    </xf>
    <xf borderId="16" fillId="21" fontId="33" numFmtId="0" xfId="0" applyAlignment="1" applyBorder="1" applyFont="1">
      <alignment horizontal="center" shrinkToFit="0" vertical="center" wrapText="1"/>
    </xf>
    <xf borderId="17" fillId="0" fontId="27" numFmtId="0" xfId="0" applyBorder="1" applyFont="1"/>
    <xf borderId="16" fillId="31" fontId="1" numFmtId="0" xfId="0" applyAlignment="1" applyBorder="1" applyFill="1" applyFont="1">
      <alignment horizontal="center" shrinkToFit="0" vertical="center" wrapText="1"/>
    </xf>
    <xf borderId="18" fillId="0" fontId="27" numFmtId="0" xfId="0" applyBorder="1" applyFont="1"/>
    <xf borderId="16" fillId="20" fontId="1" numFmtId="0" xfId="0" applyAlignment="1" applyBorder="1" applyFont="1">
      <alignment horizontal="center" shrinkToFit="0" vertical="center" wrapText="1"/>
    </xf>
    <xf borderId="16" fillId="25" fontId="1" numFmtId="0" xfId="0" applyAlignment="1" applyBorder="1" applyFont="1">
      <alignment horizontal="center" shrinkToFit="0" vertical="center" wrapText="1"/>
    </xf>
    <xf borderId="10" fillId="32" fontId="28" numFmtId="3" xfId="0" applyAlignment="1" applyBorder="1" applyFill="1" applyFont="1" applyNumberFormat="1">
      <alignment vertical="center"/>
    </xf>
    <xf borderId="16" fillId="33" fontId="1" numFmtId="0" xfId="0" applyAlignment="1" applyBorder="1" applyFill="1" applyFont="1">
      <alignment horizontal="center" shrinkToFit="0" vertical="center" wrapText="1"/>
    </xf>
    <xf borderId="10" fillId="34" fontId="1" numFmtId="3" xfId="0" applyAlignment="1" applyBorder="1" applyFill="1" applyFont="1" applyNumberFormat="1">
      <alignment horizontal="right" shrinkToFit="0" vertical="center" wrapText="1"/>
    </xf>
    <xf borderId="10" fillId="34" fontId="26" numFmtId="3" xfId="0" applyAlignment="1" applyBorder="1" applyFont="1" applyNumberFormat="1">
      <alignment horizontal="right" shrinkToFit="0" vertical="center" wrapText="1"/>
    </xf>
    <xf borderId="10" fillId="6" fontId="1" numFmtId="3" xfId="0" applyAlignment="1" applyBorder="1" applyFont="1" applyNumberFormat="1">
      <alignment horizontal="right" shrinkToFit="0" vertical="center" wrapText="1"/>
    </xf>
    <xf borderId="16" fillId="26" fontId="1" numFmtId="0" xfId="0" applyAlignment="1" applyBorder="1" applyFont="1">
      <alignment horizontal="center" shrinkToFit="0" vertical="center" wrapText="1"/>
    </xf>
    <xf borderId="8" fillId="34" fontId="1" numFmtId="3" xfId="0" applyAlignment="1" applyBorder="1" applyFont="1" applyNumberFormat="1">
      <alignment horizontal="right" shrinkToFit="0" vertical="center" wrapText="1"/>
    </xf>
    <xf borderId="16" fillId="35" fontId="32" numFmtId="0" xfId="0" applyAlignment="1" applyBorder="1" applyFill="1" applyFont="1">
      <alignment horizontal="center" shrinkToFit="0" vertical="center" wrapText="1"/>
    </xf>
    <xf borderId="16" fillId="27" fontId="31" numFmtId="0" xfId="0" applyAlignment="1" applyBorder="1" applyFont="1">
      <alignment horizontal="center" shrinkToFit="0" vertical="center" wrapText="1"/>
    </xf>
    <xf borderId="16" fillId="36" fontId="1" numFmtId="0" xfId="0" applyAlignment="1" applyBorder="1" applyFill="1" applyFont="1">
      <alignment horizontal="center" shrinkToFit="0" vertical="center" wrapText="1"/>
    </xf>
    <xf borderId="16" fillId="28" fontId="1" numFmtId="0" xfId="0" applyAlignment="1" applyBorder="1" applyFont="1">
      <alignment horizontal="center" shrinkToFit="0" vertical="center" wrapText="1"/>
    </xf>
    <xf borderId="16" fillId="37" fontId="1" numFmtId="0" xfId="0" applyAlignment="1" applyBorder="1" applyFill="1" applyFont="1">
      <alignment horizontal="center" shrinkToFit="0" vertical="center" wrapText="1"/>
    </xf>
    <xf borderId="16" fillId="38" fontId="1" numFmtId="0" xfId="0" applyAlignment="1" applyBorder="1" applyFill="1" applyFont="1">
      <alignment horizontal="center" shrinkToFit="0" vertical="center" wrapText="1"/>
    </xf>
    <xf borderId="16" fillId="17" fontId="1" numFmtId="0" xfId="0" applyAlignment="1" applyBorder="1" applyFont="1">
      <alignment horizontal="center" shrinkToFit="0" vertical="center" wrapText="1"/>
    </xf>
    <xf borderId="16" fillId="38" fontId="24" numFmtId="0" xfId="0" applyAlignment="1" applyBorder="1" applyFont="1">
      <alignment horizontal="center" shrinkToFit="0" vertical="center" wrapText="1"/>
    </xf>
    <xf borderId="16" fillId="29" fontId="1" numFmtId="0" xfId="0" applyAlignment="1" applyBorder="1" applyFont="1">
      <alignment horizontal="center" shrinkToFit="0" vertical="center" wrapText="1"/>
    </xf>
    <xf borderId="8" fillId="0" fontId="2" numFmtId="3" xfId="0" applyAlignment="1" applyBorder="1" applyFont="1" applyNumberFormat="1">
      <alignment vertical="center"/>
    </xf>
    <xf borderId="8" fillId="0" fontId="2" numFmtId="3" xfId="0" applyAlignment="1" applyBorder="1" applyFont="1" applyNumberFormat="1">
      <alignment shrinkToFit="0" vertical="center" wrapText="1"/>
    </xf>
    <xf borderId="8" fillId="0" fontId="3" numFmtId="3" xfId="0" applyAlignment="1" applyBorder="1" applyFont="1" applyNumberFormat="1">
      <alignment vertical="center"/>
    </xf>
    <xf borderId="16" fillId="39" fontId="1" numFmtId="0" xfId="0" applyAlignment="1" applyBorder="1" applyFill="1" applyFont="1">
      <alignment horizontal="center" shrinkToFit="0" vertical="center" wrapText="1"/>
    </xf>
    <xf borderId="8" fillId="6" fontId="2" numFmtId="3" xfId="0" applyAlignment="1" applyBorder="1" applyFont="1" applyNumberFormat="1">
      <alignment vertical="center"/>
    </xf>
    <xf borderId="8" fillId="32" fontId="1" numFmtId="3" xfId="0" applyAlignment="1" applyBorder="1" applyFont="1" applyNumberFormat="1">
      <alignment vertical="center"/>
    </xf>
    <xf borderId="8" fillId="38" fontId="1" numFmtId="3" xfId="0" applyAlignment="1" applyBorder="1" applyFont="1" applyNumberFormat="1">
      <alignment horizontal="right" shrinkToFit="0" vertical="center" wrapText="1"/>
    </xf>
    <xf borderId="8" fillId="22" fontId="1" numFmtId="3" xfId="0" applyAlignment="1" applyBorder="1" applyFont="1" applyNumberFormat="1">
      <alignment horizontal="right" shrinkToFit="0" vertical="center" wrapText="1"/>
    </xf>
    <xf borderId="8" fillId="23" fontId="1" numFmtId="3" xfId="0" applyAlignment="1" applyBorder="1" applyFont="1" applyNumberFormat="1">
      <alignment horizontal="right" shrinkToFit="0" vertical="center" wrapText="1"/>
    </xf>
    <xf borderId="8" fillId="25" fontId="1" numFmtId="3" xfId="0" applyAlignment="1" applyBorder="1" applyFont="1" applyNumberFormat="1">
      <alignment horizontal="right" shrinkToFit="0" vertical="center" wrapText="1"/>
    </xf>
    <xf borderId="8" fillId="33" fontId="1" numFmtId="3" xfId="0" applyAlignment="1" applyBorder="1" applyFont="1" applyNumberFormat="1">
      <alignment horizontal="right" shrinkToFit="0" vertical="center" wrapText="1"/>
    </xf>
    <xf borderId="8" fillId="26" fontId="1" numFmtId="3" xfId="0" applyAlignment="1" applyBorder="1" applyFont="1" applyNumberFormat="1">
      <alignment horizontal="right" shrinkToFit="0" vertical="center" wrapText="1"/>
    </xf>
    <xf borderId="8" fillId="40" fontId="1" numFmtId="3" xfId="0" applyAlignment="1" applyBorder="1" applyFill="1" applyFont="1" applyNumberFormat="1">
      <alignment shrinkToFit="0" vertical="center" wrapText="1"/>
    </xf>
    <xf borderId="8" fillId="40" fontId="1" numFmtId="3" xfId="0" applyAlignment="1" applyBorder="1" applyFont="1" applyNumberFormat="1">
      <alignment horizontal="right" shrinkToFit="0" vertical="center" wrapText="1"/>
    </xf>
    <xf borderId="8" fillId="40" fontId="26" numFmtId="3" xfId="0" applyAlignment="1" applyBorder="1" applyFont="1" applyNumberFormat="1">
      <alignment horizontal="right" vertical="center"/>
    </xf>
    <xf borderId="8" fillId="6" fontId="14" numFmtId="3" xfId="0" applyAlignment="1" applyBorder="1" applyFont="1" applyNumberFormat="1">
      <alignment horizontal="right" vertical="center"/>
    </xf>
    <xf borderId="8" fillId="40" fontId="1" numFmtId="3" xfId="0" applyAlignment="1" applyBorder="1" applyFont="1" applyNumberFormat="1">
      <alignment horizontal="right" vertical="center"/>
    </xf>
    <xf borderId="8" fillId="40" fontId="14" numFmtId="3" xfId="0" applyAlignment="1" applyBorder="1" applyFont="1" applyNumberFormat="1">
      <alignment horizontal="right" vertical="center"/>
    </xf>
    <xf borderId="8" fillId="35" fontId="32" numFmtId="3" xfId="0" applyAlignment="1" applyBorder="1" applyFont="1" applyNumberFormat="1">
      <alignment horizontal="right" shrinkToFit="0" vertical="center" wrapText="1"/>
    </xf>
    <xf borderId="8" fillId="27" fontId="31" numFmtId="3" xfId="0" applyAlignment="1" applyBorder="1" applyFont="1" applyNumberFormat="1">
      <alignment horizontal="right" shrinkToFit="0" vertical="center" wrapText="1"/>
    </xf>
    <xf borderId="8" fillId="36" fontId="32" numFmtId="3" xfId="0" applyAlignment="1" applyBorder="1" applyFont="1" applyNumberFormat="1">
      <alignment horizontal="right" shrinkToFit="0" vertical="center" wrapText="1"/>
    </xf>
    <xf borderId="8" fillId="28" fontId="1" numFmtId="3" xfId="0" applyAlignment="1" applyBorder="1" applyFont="1" applyNumberFormat="1">
      <alignment horizontal="right" shrinkToFit="0" vertical="center" wrapText="1"/>
    </xf>
    <xf borderId="8" fillId="28" fontId="32" numFmtId="3" xfId="0" applyAlignment="1" applyBorder="1" applyFont="1" applyNumberFormat="1">
      <alignment horizontal="right" shrinkToFit="0" vertical="center" wrapText="1"/>
    </xf>
    <xf borderId="0" fillId="0" fontId="1" numFmtId="10" xfId="0" applyAlignment="1" applyFont="1" applyNumberFormat="1">
      <alignment vertical="center"/>
    </xf>
    <xf borderId="8" fillId="0" fontId="34" numFmtId="3" xfId="0" applyAlignment="1" applyBorder="1" applyFont="1" applyNumberFormat="1">
      <alignment shrinkToFit="0" vertical="center" wrapText="1"/>
    </xf>
    <xf borderId="8" fillId="0" fontId="35" numFmtId="3" xfId="0" applyAlignment="1" applyBorder="1" applyFont="1" applyNumberFormat="1">
      <alignment horizontal="right" shrinkToFit="0" vertical="center" wrapText="1"/>
    </xf>
    <xf borderId="8" fillId="37" fontId="32" numFmtId="3" xfId="0" applyAlignment="1" applyBorder="1" applyFont="1" applyNumberFormat="1">
      <alignment horizontal="right" shrinkToFit="0" vertical="center" wrapText="1"/>
    </xf>
    <xf borderId="8" fillId="0" fontId="3" numFmtId="3" xfId="0" applyAlignment="1" applyBorder="1" applyFont="1" applyNumberFormat="1">
      <alignment horizontal="right" vertical="center"/>
    </xf>
    <xf borderId="8" fillId="6" fontId="36" numFmtId="3" xfId="0" applyAlignment="1" applyBorder="1" applyFont="1" applyNumberFormat="1">
      <alignment horizontal="right" vertical="center"/>
    </xf>
    <xf borderId="8" fillId="0" fontId="2" numFmtId="3" xfId="0" applyAlignment="1" applyBorder="1" applyFont="1" applyNumberFormat="1">
      <alignment horizontal="right" vertical="center"/>
    </xf>
    <xf borderId="8" fillId="0" fontId="2" numFmtId="0" xfId="0" applyAlignment="1" applyBorder="1" applyFont="1">
      <alignment horizontal="right" vertical="center"/>
    </xf>
    <xf borderId="8" fillId="0" fontId="36" numFmtId="3" xfId="0" applyAlignment="1" applyBorder="1" applyFont="1" applyNumberFormat="1">
      <alignment horizontal="right" vertical="center"/>
    </xf>
    <xf borderId="8" fillId="37" fontId="1" numFmtId="3" xfId="0" applyAlignment="1" applyBorder="1" applyFont="1" applyNumberFormat="1">
      <alignment horizontal="right" shrinkToFit="0" vertical="center" wrapText="1"/>
    </xf>
    <xf borderId="8" fillId="29" fontId="32" numFmtId="3" xfId="0" applyAlignment="1" applyBorder="1" applyFont="1" applyNumberFormat="1">
      <alignment horizontal="right" shrinkToFit="0" vertical="center" wrapText="1"/>
    </xf>
    <xf borderId="8" fillId="29" fontId="1" numFmtId="3" xfId="0" applyAlignment="1" applyBorder="1" applyFont="1" applyNumberFormat="1">
      <alignment horizontal="right" shrinkToFit="0" vertical="center" wrapText="1"/>
    </xf>
    <xf borderId="8" fillId="17" fontId="1" numFmtId="3" xfId="0" applyAlignment="1" applyBorder="1" applyFont="1" applyNumberFormat="1">
      <alignment horizontal="right" shrinkToFit="0" vertical="center" wrapText="1"/>
    </xf>
    <xf borderId="8" fillId="16" fontId="32" numFmtId="3" xfId="0" applyAlignment="1" applyBorder="1" applyFont="1" applyNumberFormat="1">
      <alignment horizontal="right" shrinkToFit="0" vertical="center" wrapText="1"/>
    </xf>
    <xf borderId="8" fillId="0" fontId="2" numFmtId="3" xfId="0" applyAlignment="1" applyBorder="1" applyFont="1" applyNumberFormat="1">
      <alignment horizontal="center" vertical="center"/>
    </xf>
    <xf borderId="8" fillId="0" fontId="2" numFmtId="9" xfId="0" applyAlignment="1" applyBorder="1" applyFont="1" applyNumberFormat="1">
      <alignment horizontal="right" vertical="center"/>
    </xf>
    <xf borderId="0" fillId="0" fontId="2" numFmtId="0" xfId="0" applyAlignment="1" applyFont="1">
      <alignment horizontal="left" vertical="center"/>
    </xf>
    <xf borderId="0" fillId="0" fontId="37" numFmtId="3" xfId="0" applyAlignment="1" applyFont="1" applyNumberFormat="1">
      <alignment vertical="center"/>
    </xf>
    <xf borderId="8" fillId="0" fontId="2" numFmtId="3" xfId="0" applyAlignment="1" applyBorder="1" applyFont="1" applyNumberFormat="1">
      <alignment horizontal="center"/>
    </xf>
    <xf borderId="8" fillId="0" fontId="36" numFmtId="3" xfId="0" applyAlignment="1" applyBorder="1" applyFont="1" applyNumberFormat="1">
      <alignment shrinkToFit="0" vertical="center" wrapText="1"/>
    </xf>
    <xf borderId="8" fillId="0" fontId="2" numFmtId="3" xfId="0" applyAlignment="1" applyBorder="1" applyFont="1" applyNumberFormat="1">
      <alignment horizontal="right" shrinkToFit="0" vertical="center" wrapText="1"/>
    </xf>
    <xf borderId="8" fillId="0" fontId="36" numFmtId="3" xfId="0" applyAlignment="1" applyBorder="1" applyFont="1" applyNumberFormat="1">
      <alignment vertical="center"/>
    </xf>
    <xf borderId="8" fillId="0" fontId="23" numFmtId="0" xfId="0" applyAlignment="1" applyBorder="1" applyFont="1">
      <alignment horizontal="right" vertical="center"/>
    </xf>
    <xf borderId="8" fillId="0" fontId="1" numFmtId="3" xfId="0" applyAlignment="1" applyBorder="1" applyFont="1" applyNumberFormat="1">
      <alignment horizontal="right" vertical="center"/>
    </xf>
    <xf borderId="0" fillId="0" fontId="2" numFmtId="0" xfId="0" applyAlignment="1" applyFont="1">
      <alignment horizontal="left"/>
    </xf>
    <xf borderId="8" fillId="34" fontId="26" numFmtId="3" xfId="0" applyAlignment="1" applyBorder="1" applyFont="1" applyNumberFormat="1">
      <alignment horizontal="right" shrinkToFit="0" vertical="center" wrapText="1"/>
    </xf>
    <xf borderId="8" fillId="6" fontId="1" numFmtId="3" xfId="0" applyAlignment="1" applyBorder="1" applyFont="1" applyNumberFormat="1">
      <alignment horizontal="right" shrinkToFit="0" vertical="center" wrapText="1"/>
    </xf>
    <xf borderId="8" fillId="41" fontId="1" numFmtId="3" xfId="0" applyAlignment="1" applyBorder="1" applyFill="1" applyFont="1" applyNumberFormat="1">
      <alignment horizontal="right" shrinkToFit="0" vertical="center" wrapText="1"/>
    </xf>
    <xf borderId="8" fillId="0" fontId="23" numFmtId="3" xfId="0" applyAlignment="1" applyBorder="1" applyFont="1" applyNumberFormat="1">
      <alignment horizontal="right" vertical="center"/>
    </xf>
    <xf borderId="8" fillId="41" fontId="1" numFmtId="9" xfId="0" applyAlignment="1" applyBorder="1" applyFont="1" applyNumberFormat="1">
      <alignment horizontal="right" shrinkToFit="0" vertical="center" wrapText="1"/>
    </xf>
    <xf borderId="8" fillId="21" fontId="33" numFmtId="3" xfId="0" applyAlignment="1" applyBorder="1" applyFont="1" applyNumberFormat="1">
      <alignment horizontal="right" shrinkToFit="0" vertical="center" wrapText="1"/>
    </xf>
    <xf borderId="0" fillId="0" fontId="2" numFmtId="3" xfId="0" applyAlignment="1" applyFont="1" applyNumberFormat="1">
      <alignment horizontal="right" vertical="center"/>
    </xf>
    <xf borderId="8" fillId="36" fontId="32" numFmtId="3" xfId="0" applyAlignment="1" applyBorder="1" applyFont="1" applyNumberFormat="1">
      <alignment horizontal="right" shrinkToFit="0" wrapText="1"/>
    </xf>
    <xf borderId="8" fillId="28" fontId="1" numFmtId="3" xfId="0" applyAlignment="1" applyBorder="1" applyFont="1" applyNumberFormat="1">
      <alignment horizontal="right" shrinkToFit="0" wrapText="1"/>
    </xf>
    <xf borderId="8" fillId="37" fontId="32" numFmtId="3" xfId="0" applyAlignment="1" applyBorder="1" applyFont="1" applyNumberFormat="1">
      <alignment horizontal="right" shrinkToFit="0" wrapText="1"/>
    </xf>
    <xf borderId="8" fillId="29" fontId="32" numFmtId="3" xfId="0" applyAlignment="1" applyBorder="1" applyFont="1" applyNumberFormat="1">
      <alignment horizontal="right" shrinkToFit="0" wrapText="1"/>
    </xf>
    <xf borderId="8" fillId="29" fontId="1" numFmtId="3" xfId="0" applyAlignment="1" applyBorder="1" applyFont="1" applyNumberFormat="1">
      <alignment horizontal="right" shrinkToFit="0" wrapText="1"/>
    </xf>
    <xf borderId="8" fillId="17" fontId="1" numFmtId="3" xfId="0" applyAlignment="1" applyBorder="1" applyFont="1" applyNumberFormat="1">
      <alignment horizontal="right" shrinkToFit="0" wrapText="1"/>
    </xf>
    <xf borderId="8" fillId="0" fontId="2" numFmtId="3" xfId="0" applyBorder="1" applyFont="1" applyNumberFormat="1"/>
    <xf borderId="8" fillId="40" fontId="1" numFmtId="3" xfId="0" applyAlignment="1" applyBorder="1" applyFont="1" applyNumberFormat="1">
      <alignment horizontal="right"/>
    </xf>
    <xf borderId="8" fillId="0" fontId="2" numFmtId="3" xfId="0" applyAlignment="1" applyBorder="1" applyFont="1" applyNumberFormat="1">
      <alignment horizontal="right"/>
    </xf>
    <xf borderId="8" fillId="0" fontId="2" numFmtId="0" xfId="0" applyAlignment="1" applyBorder="1" applyFont="1">
      <alignment horizontal="right"/>
    </xf>
    <xf borderId="8" fillId="0" fontId="38" numFmtId="3" xfId="0" applyBorder="1" applyFont="1" applyNumberFormat="1"/>
    <xf borderId="8" fillId="40" fontId="14" numFmtId="3" xfId="0" applyAlignment="1" applyBorder="1" applyFont="1" applyNumberFormat="1">
      <alignment horizontal="right"/>
    </xf>
    <xf borderId="8" fillId="0" fontId="39" numFmtId="3" xfId="0" applyAlignment="1" applyBorder="1" applyFont="1" applyNumberFormat="1">
      <alignment shrinkToFit="0" vertical="center" wrapText="1"/>
    </xf>
    <xf borderId="8" fillId="40" fontId="38" numFmtId="3" xfId="0" applyAlignment="1" applyBorder="1" applyFont="1" applyNumberFormat="1">
      <alignment vertical="center"/>
    </xf>
    <xf borderId="8" fillId="0" fontId="38" numFmtId="3" xfId="0" applyAlignment="1" applyBorder="1" applyFont="1" applyNumberFormat="1">
      <alignment vertical="center"/>
    </xf>
    <xf borderId="8" fillId="40" fontId="1" numFmtId="3" xfId="0" applyAlignment="1" applyBorder="1" applyFont="1" applyNumberFormat="1">
      <alignment vertical="center"/>
    </xf>
    <xf borderId="8" fillId="40" fontId="2" numFmtId="3" xfId="0" applyAlignment="1" applyBorder="1" applyFont="1" applyNumberFormat="1">
      <alignment vertical="center"/>
    </xf>
    <xf borderId="8" fillId="42" fontId="1" numFmtId="3" xfId="0" applyBorder="1" applyFill="1" applyFont="1" applyNumberFormat="1"/>
    <xf borderId="8" fillId="42" fontId="2" numFmtId="3" xfId="0" applyBorder="1" applyFont="1" applyNumberFormat="1"/>
    <xf borderId="8" fillId="42" fontId="2" numFmtId="3" xfId="0" applyAlignment="1" applyBorder="1" applyFont="1" applyNumberFormat="1">
      <alignment vertical="center"/>
    </xf>
    <xf borderId="8" fillId="42" fontId="38" numFmtId="3" xfId="0" applyAlignment="1" applyBorder="1" applyFont="1" applyNumberFormat="1">
      <alignment vertical="center"/>
    </xf>
    <xf borderId="8" fillId="42" fontId="2" numFmtId="3" xfId="0" applyAlignment="1" applyBorder="1" applyFont="1" applyNumberFormat="1">
      <alignment horizontal="right"/>
    </xf>
    <xf borderId="1" fillId="42" fontId="2" numFmtId="0" xfId="0" applyBorder="1" applyFont="1"/>
    <xf borderId="8" fillId="32" fontId="1" numFmtId="3" xfId="0" applyBorder="1" applyFont="1" applyNumberFormat="1"/>
    <xf borderId="8" fillId="39" fontId="1" numFmtId="3" xfId="0" applyAlignment="1" applyBorder="1" applyFont="1" applyNumberFormat="1">
      <alignment horizontal="right" shrinkToFit="0" wrapText="1"/>
    </xf>
    <xf borderId="8" fillId="31" fontId="1" numFmtId="3" xfId="0" applyAlignment="1" applyBorder="1" applyFont="1" applyNumberFormat="1">
      <alignment horizontal="right" shrinkToFit="0" wrapText="1"/>
    </xf>
    <xf borderId="8" fillId="34" fontId="1" numFmtId="3" xfId="0" applyAlignment="1" applyBorder="1" applyFont="1" applyNumberFormat="1">
      <alignment horizontal="right" shrinkToFit="0" wrapText="1"/>
    </xf>
    <xf borderId="8" fillId="41" fontId="1" numFmtId="3" xfId="0" applyAlignment="1" applyBorder="1" applyFont="1" applyNumberFormat="1">
      <alignment horizontal="right" shrinkToFit="0" wrapText="1"/>
    </xf>
    <xf borderId="8" fillId="33" fontId="1" numFmtId="3" xfId="0" applyAlignment="1" applyBorder="1" applyFont="1" applyNumberFormat="1">
      <alignment horizontal="right" shrinkToFit="0" wrapText="1"/>
    </xf>
    <xf borderId="8" fillId="26" fontId="1" numFmtId="3" xfId="0" applyAlignment="1" applyBorder="1" applyFont="1" applyNumberFormat="1">
      <alignment horizontal="right" shrinkToFit="0" wrapText="1"/>
    </xf>
    <xf borderId="8" fillId="43" fontId="1" numFmtId="3" xfId="0" applyAlignment="1" applyBorder="1" applyFill="1" applyFont="1" applyNumberFormat="1">
      <alignment horizontal="right" shrinkToFit="0" wrapText="1"/>
    </xf>
    <xf borderId="8" fillId="27" fontId="31" numFmtId="3" xfId="0" applyAlignment="1" applyBorder="1" applyFont="1" applyNumberFormat="1">
      <alignment horizontal="right" shrinkToFit="0" wrapText="1"/>
    </xf>
    <xf borderId="8" fillId="36" fontId="1" numFmtId="3" xfId="0" applyAlignment="1" applyBorder="1" applyFont="1" applyNumberFormat="1">
      <alignment horizontal="right" shrinkToFit="0" wrapText="1"/>
    </xf>
    <xf borderId="0" fillId="0" fontId="38" numFmtId="0" xfId="0" applyFont="1"/>
    <xf borderId="8" fillId="40" fontId="38" numFmtId="3" xfId="0" applyBorder="1" applyFont="1" applyNumberFormat="1"/>
    <xf borderId="8" fillId="42" fontId="1" numFmtId="3" xfId="0" applyAlignment="1" applyBorder="1" applyFont="1" applyNumberFormat="1">
      <alignment vertical="center"/>
    </xf>
    <xf borderId="8" fillId="42" fontId="1" numFmtId="3" xfId="0" applyAlignment="1" applyBorder="1" applyFont="1" applyNumberFormat="1">
      <alignment horizontal="right" shrinkToFit="0" vertical="center" wrapText="1"/>
    </xf>
    <xf borderId="8" fillId="42" fontId="38" numFmtId="3" xfId="0" applyBorder="1" applyFont="1" applyNumberFormat="1"/>
    <xf borderId="1" fillId="42" fontId="2" numFmtId="3" xfId="0" applyAlignment="1" applyBorder="1" applyFont="1" applyNumberFormat="1">
      <alignment vertical="center"/>
    </xf>
    <xf borderId="1" fillId="42" fontId="2" numFmtId="0" xfId="0" applyAlignment="1" applyBorder="1" applyFont="1">
      <alignment vertical="center"/>
    </xf>
    <xf borderId="8" fillId="37" fontId="1" numFmtId="3" xfId="0" applyAlignment="1" applyBorder="1" applyFont="1" applyNumberFormat="1">
      <alignment horizontal="right" shrinkToFit="0" wrapText="1"/>
    </xf>
    <xf borderId="8" fillId="42" fontId="2" numFmtId="3" xfId="0" applyAlignment="1" applyBorder="1" applyFont="1" applyNumberFormat="1">
      <alignment horizontal="right" vertical="center"/>
    </xf>
    <xf borderId="8" fillId="31" fontId="1" numFmtId="3" xfId="0" applyAlignment="1" applyBorder="1" applyFont="1" applyNumberFormat="1">
      <alignment horizontal="right" shrinkToFit="0" vertical="center" wrapText="1"/>
    </xf>
    <xf borderId="8" fillId="44" fontId="1" numFmtId="3" xfId="0" applyAlignment="1" applyBorder="1" applyFill="1" applyFont="1" applyNumberFormat="1">
      <alignment horizontal="right" shrinkToFit="0" vertical="center" wrapText="1"/>
    </xf>
    <xf borderId="8" fillId="45" fontId="31" numFmtId="3" xfId="0" applyAlignment="1" applyBorder="1" applyFill="1" applyFont="1" applyNumberFormat="1">
      <alignment horizontal="right" shrinkToFit="0" vertical="center" wrapText="1"/>
    </xf>
    <xf borderId="8" fillId="16" fontId="1" numFmtId="3" xfId="0" applyAlignment="1" applyBorder="1" applyFont="1" applyNumberFormat="1">
      <alignment horizontal="right" shrinkToFit="0" vertical="center" wrapText="1"/>
    </xf>
    <xf borderId="8" fillId="0" fontId="1" numFmtId="3" xfId="0" applyAlignment="1" applyBorder="1" applyFont="1" applyNumberFormat="1">
      <alignment horizontal="right"/>
    </xf>
    <xf borderId="8" fillId="0" fontId="23" numFmtId="3" xfId="0" applyAlignment="1" applyBorder="1" applyFont="1" applyNumberFormat="1">
      <alignment horizontal="right"/>
    </xf>
    <xf borderId="8" fillId="0" fontId="2" numFmtId="10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0"/>
  <cols>
    <col customWidth="1" min="1" max="1" width="71.0"/>
    <col customWidth="1" min="2" max="2" width="34.13"/>
    <col customWidth="1" min="3" max="3" width="12.63"/>
    <col customWidth="1" min="4" max="4" width="1.38"/>
    <col customWidth="1" min="5" max="6" width="12.63"/>
    <col customWidth="1" min="9" max="9" width="1.38"/>
    <col customWidth="1" min="13" max="13" width="16.38"/>
    <col customWidth="1" min="14" max="14" width="1.38"/>
    <col customWidth="1" min="18" max="18" width="18.25"/>
    <col customWidth="1" min="19" max="19" width="1.38"/>
    <col customWidth="1" min="24" max="24" width="1.38"/>
    <col customWidth="1" min="28" max="28" width="20.13"/>
    <col customWidth="1" min="29" max="29" width="1.38"/>
    <col customWidth="1" min="33" max="33" width="20.13"/>
    <col customWidth="1" min="34" max="34" width="1.38"/>
    <col customWidth="1" min="39" max="39" width="1.38"/>
    <col customWidth="1" min="43" max="43" width="16.38"/>
    <col customWidth="1" min="44" max="44" width="1.38"/>
    <col customWidth="1" min="48" max="48" width="18.25"/>
    <col customWidth="1" min="49" max="49" width="1.38"/>
    <col customWidth="1" min="54" max="54" width="1.38"/>
    <col customWidth="1" min="58" max="58" width="20.13"/>
    <col customWidth="1" min="59" max="59" width="1.38"/>
    <col customWidth="1" min="63" max="63" width="20.13"/>
    <col customWidth="1" min="64" max="64" width="1.38"/>
    <col customWidth="1" min="69" max="69" width="1.38"/>
    <col customWidth="1" min="73" max="73" width="16.38"/>
    <col customWidth="1" min="74" max="74" width="1.38"/>
    <col customWidth="1" min="78" max="78" width="18.25"/>
    <col customWidth="1" min="79" max="79" width="1.38"/>
    <col customWidth="1" min="84" max="84" width="1.38"/>
    <col customWidth="1" min="88" max="88" width="20.13"/>
    <col customWidth="1" min="89" max="89" width="1.38"/>
    <col customWidth="1" min="93" max="93" width="20.13"/>
    <col customWidth="1" min="94" max="94" width="1.38"/>
    <col customWidth="1" min="99" max="99" width="1.38"/>
    <col customWidth="1" min="103" max="103" width="16.38"/>
    <col customWidth="1" min="104" max="104" width="1.38"/>
    <col customWidth="1" min="108" max="108" width="18.25"/>
    <col customWidth="1" min="109" max="109" width="1.38"/>
    <col customWidth="1" min="114" max="114" width="1.38"/>
    <col customWidth="1" min="118" max="118" width="20.13"/>
    <col customWidth="1" min="119" max="119" width="1.38"/>
    <col customWidth="1" min="120" max="120" width="19.0"/>
    <col customWidth="1" min="121" max="121" width="20.75"/>
    <col customWidth="1" min="123" max="123" width="20.13"/>
    <col customWidth="1" min="124" max="124" width="1.38"/>
    <col customWidth="1" min="125" max="125" width="16.25"/>
    <col customWidth="1" min="126" max="126" width="19.25"/>
    <col customWidth="1" min="127" max="127" width="20.63"/>
    <col customWidth="1" min="128" max="128" width="1.38"/>
    <col customWidth="1" min="129" max="130" width="21.13"/>
    <col customWidth="1" min="131" max="131" width="20.63"/>
    <col customWidth="1" min="132" max="132" width="1.38"/>
    <col customWidth="1" min="133" max="133" width="22.38"/>
    <col customWidth="1" min="134" max="134" width="23.0"/>
    <col customWidth="1" min="135" max="135" width="20.63"/>
    <col customWidth="1" min="136" max="136" width="1.38"/>
    <col customWidth="1" min="137" max="137" width="18.25"/>
    <col customWidth="1" min="138" max="138" width="15.0"/>
    <col customWidth="1" min="139" max="139" width="20.63"/>
    <col customWidth="1" min="140" max="140" width="1.38"/>
    <col customWidth="1" min="141" max="141" width="26.38"/>
    <col customWidth="1" min="142" max="142" width="23.0"/>
    <col customWidth="1" min="143" max="143" width="20.63"/>
    <col customWidth="1" min="144" max="144" width="1.38"/>
    <col customWidth="1" min="145" max="145" width="24.88"/>
    <col customWidth="1" min="146" max="146" width="18.25"/>
    <col customWidth="1" min="147" max="147" width="20.63"/>
    <col customWidth="1" min="148" max="148" width="1.38"/>
    <col customWidth="1" min="149" max="149" width="18.0"/>
    <col customWidth="1" min="150" max="150" width="15.88"/>
    <col customWidth="1" min="151" max="151" width="20.63"/>
    <col customWidth="1" min="152" max="152" width="1.38"/>
    <col customWidth="1" min="153" max="154" width="21.13"/>
    <col customWidth="1" min="155" max="155" width="20.63"/>
    <col customWidth="1" min="156" max="156" width="1.38"/>
    <col customWidth="1" min="157" max="157" width="22.38"/>
    <col customWidth="1" min="158" max="158" width="18.25"/>
    <col customWidth="1" min="159" max="159" width="20.63"/>
    <col customWidth="1" min="160" max="160" width="1.38"/>
    <col customWidth="1" hidden="1" min="162" max="162" width="20.13"/>
  </cols>
  <sheetData>
    <row r="1" ht="15.7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</row>
    <row r="2" ht="15.75" customHeight="1">
      <c r="A2" s="1" t="s">
        <v>1</v>
      </c>
      <c r="B2" s="2"/>
      <c r="C2" s="3"/>
      <c r="D2" s="4"/>
      <c r="E2" s="9" t="s">
        <v>2</v>
      </c>
      <c r="F2" s="9"/>
      <c r="G2" s="10"/>
      <c r="H2" s="11"/>
      <c r="I2" s="12"/>
      <c r="J2" s="9" t="s">
        <v>2</v>
      </c>
      <c r="K2" s="9"/>
      <c r="L2" s="10"/>
      <c r="M2" s="11"/>
      <c r="N2" s="12"/>
      <c r="O2" s="9" t="s">
        <v>2</v>
      </c>
      <c r="P2" s="9"/>
      <c r="Q2" s="10"/>
      <c r="R2" s="11"/>
      <c r="S2" s="12"/>
      <c r="T2" s="9" t="s">
        <v>2</v>
      </c>
      <c r="U2" s="9"/>
      <c r="V2" s="10"/>
      <c r="W2" s="11"/>
      <c r="X2" s="12"/>
      <c r="Y2" s="9" t="s">
        <v>2</v>
      </c>
      <c r="Z2" s="9"/>
      <c r="AA2" s="10"/>
      <c r="AB2" s="11"/>
      <c r="AC2" s="12"/>
      <c r="AD2" s="9" t="s">
        <v>2</v>
      </c>
      <c r="AE2" s="9"/>
      <c r="AF2" s="13"/>
      <c r="AG2" s="14"/>
      <c r="AH2" s="12"/>
      <c r="AI2" s="15" t="s">
        <v>3</v>
      </c>
      <c r="AJ2" s="15"/>
      <c r="AK2" s="16"/>
      <c r="AL2" s="16"/>
      <c r="AM2" s="12"/>
      <c r="AN2" s="15" t="s">
        <v>3</v>
      </c>
      <c r="AO2" s="15"/>
      <c r="AP2" s="16"/>
      <c r="AQ2" s="16"/>
      <c r="AR2" s="12"/>
      <c r="AS2" s="15" t="s">
        <v>3</v>
      </c>
      <c r="AT2" s="15"/>
      <c r="AU2" s="16"/>
      <c r="AV2" s="16"/>
      <c r="AW2" s="4"/>
      <c r="AX2" s="15" t="s">
        <v>3</v>
      </c>
      <c r="AY2" s="15"/>
      <c r="AZ2" s="16"/>
      <c r="BA2" s="16"/>
      <c r="BB2" s="12"/>
      <c r="BC2" s="15" t="s">
        <v>3</v>
      </c>
      <c r="BD2" s="15"/>
      <c r="BE2" s="16"/>
      <c r="BF2" s="16"/>
      <c r="BG2" s="12"/>
      <c r="BH2" s="15" t="s">
        <v>3</v>
      </c>
      <c r="BI2" s="15"/>
      <c r="BJ2" s="16"/>
      <c r="BK2" s="16"/>
      <c r="BL2" s="4"/>
      <c r="BM2" s="17" t="s">
        <v>5</v>
      </c>
      <c r="BN2" s="17"/>
      <c r="BO2" s="18"/>
      <c r="BP2" s="18"/>
      <c r="BQ2" s="12"/>
      <c r="BR2" s="17" t="s">
        <v>5</v>
      </c>
      <c r="BS2" s="17"/>
      <c r="BT2" s="18"/>
      <c r="BU2" s="18"/>
      <c r="BV2" s="12"/>
      <c r="BW2" s="17" t="s">
        <v>5</v>
      </c>
      <c r="BX2" s="17"/>
      <c r="BY2" s="18"/>
      <c r="BZ2" s="18"/>
      <c r="CA2" s="12"/>
      <c r="CB2" s="17" t="s">
        <v>5</v>
      </c>
      <c r="CC2" s="17"/>
      <c r="CD2" s="18"/>
      <c r="CE2" s="18"/>
      <c r="CF2" s="12"/>
      <c r="CG2" s="17" t="s">
        <v>5</v>
      </c>
      <c r="CH2" s="17"/>
      <c r="CI2" s="18"/>
      <c r="CJ2" s="18"/>
      <c r="CK2" s="12"/>
      <c r="CL2" s="17" t="s">
        <v>5</v>
      </c>
      <c r="CM2" s="17"/>
      <c r="CN2" s="18"/>
      <c r="CO2" s="18"/>
      <c r="CP2" s="4"/>
      <c r="CQ2" s="23" t="s">
        <v>6</v>
      </c>
      <c r="CR2" s="23"/>
      <c r="CS2" s="25"/>
      <c r="CT2" s="25"/>
      <c r="CU2" s="12"/>
      <c r="CV2" s="23" t="s">
        <v>6</v>
      </c>
      <c r="CW2" s="23"/>
      <c r="CX2" s="25"/>
      <c r="CY2" s="25"/>
      <c r="CZ2" s="12"/>
      <c r="DA2" s="23" t="s">
        <v>6</v>
      </c>
      <c r="DB2" s="23"/>
      <c r="DC2" s="25"/>
      <c r="DD2" s="25"/>
      <c r="DE2" s="12"/>
      <c r="DF2" s="23" t="s">
        <v>6</v>
      </c>
      <c r="DG2" s="23"/>
      <c r="DH2" s="25"/>
      <c r="DI2" s="25"/>
      <c r="DJ2" s="12"/>
      <c r="DK2" s="23" t="s">
        <v>6</v>
      </c>
      <c r="DL2" s="23"/>
      <c r="DM2" s="25"/>
      <c r="DN2" s="25"/>
      <c r="DO2" s="12"/>
      <c r="DP2" s="23" t="s">
        <v>6</v>
      </c>
      <c r="DQ2" s="23"/>
      <c r="DR2" s="25"/>
      <c r="DS2" s="25"/>
      <c r="DT2" s="4"/>
      <c r="DU2" s="27" t="s">
        <v>7</v>
      </c>
      <c r="DV2" s="27"/>
      <c r="DW2" s="28"/>
      <c r="DX2" s="4"/>
      <c r="DY2" s="27" t="s">
        <v>7</v>
      </c>
      <c r="DZ2" s="27"/>
      <c r="EA2" s="28"/>
      <c r="EB2" s="4"/>
      <c r="EC2" s="27" t="s">
        <v>7</v>
      </c>
      <c r="ED2" s="27"/>
      <c r="EE2" s="28"/>
      <c r="EF2" s="4"/>
      <c r="EG2" s="29" t="s">
        <v>8</v>
      </c>
      <c r="EH2" s="29"/>
      <c r="EI2" s="30"/>
      <c r="EJ2" s="4"/>
      <c r="EK2" s="29" t="s">
        <v>8</v>
      </c>
      <c r="EL2" s="29"/>
      <c r="EM2" s="30"/>
      <c r="EN2" s="4"/>
      <c r="EO2" s="29" t="s">
        <v>8</v>
      </c>
      <c r="EP2" s="29"/>
      <c r="EQ2" s="30"/>
      <c r="ER2" s="4"/>
      <c r="ES2" s="31" t="s">
        <v>9</v>
      </c>
      <c r="ET2" s="32"/>
      <c r="EU2" s="33"/>
      <c r="EV2" s="4"/>
      <c r="EW2" s="31" t="s">
        <v>9</v>
      </c>
      <c r="EX2" s="32"/>
      <c r="EY2" s="33"/>
      <c r="EZ2" s="4"/>
      <c r="FA2" s="31" t="s">
        <v>9</v>
      </c>
      <c r="FB2" s="32"/>
      <c r="FC2" s="33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</row>
    <row r="3" ht="15.75" customHeight="1">
      <c r="A3" s="34" t="s">
        <v>10</v>
      </c>
      <c r="B3" s="2"/>
      <c r="C3" s="3"/>
      <c r="D3" s="4"/>
      <c r="E3" s="35" t="s">
        <v>11</v>
      </c>
      <c r="F3" s="35"/>
      <c r="G3" s="35"/>
      <c r="H3" s="35"/>
      <c r="I3" s="4"/>
      <c r="J3" s="36" t="s">
        <v>12</v>
      </c>
      <c r="K3" s="37"/>
      <c r="L3" s="37"/>
      <c r="M3" s="37"/>
      <c r="N3" s="4"/>
      <c r="O3" s="38" t="s">
        <v>13</v>
      </c>
      <c r="P3" s="39"/>
      <c r="Q3" s="39"/>
      <c r="R3" s="39"/>
      <c r="S3" s="4"/>
      <c r="T3" s="35" t="s">
        <v>11</v>
      </c>
      <c r="U3" s="35"/>
      <c r="V3" s="35"/>
      <c r="W3" s="35"/>
      <c r="X3" s="4"/>
      <c r="Y3" s="36" t="s">
        <v>12</v>
      </c>
      <c r="Z3" s="37"/>
      <c r="AA3" s="37"/>
      <c r="AB3" s="37"/>
      <c r="AC3" s="4"/>
      <c r="AD3" s="38" t="s">
        <v>13</v>
      </c>
      <c r="AE3" s="39"/>
      <c r="AF3" s="39"/>
      <c r="AG3" s="39"/>
      <c r="AH3" s="4"/>
      <c r="AI3" s="35" t="s">
        <v>11</v>
      </c>
      <c r="AJ3" s="35"/>
      <c r="AK3" s="35"/>
      <c r="AL3" s="35"/>
      <c r="AM3" s="4"/>
      <c r="AN3" s="36" t="s">
        <v>12</v>
      </c>
      <c r="AO3" s="37"/>
      <c r="AP3" s="37"/>
      <c r="AQ3" s="37"/>
      <c r="AR3" s="4"/>
      <c r="AS3" s="38" t="s">
        <v>13</v>
      </c>
      <c r="AT3" s="39"/>
      <c r="AU3" s="39"/>
      <c r="AV3" s="39"/>
      <c r="AW3" s="4"/>
      <c r="AX3" s="35" t="s">
        <v>11</v>
      </c>
      <c r="AY3" s="35"/>
      <c r="AZ3" s="35"/>
      <c r="BA3" s="35"/>
      <c r="BB3" s="4"/>
      <c r="BC3" s="36" t="s">
        <v>12</v>
      </c>
      <c r="BD3" s="37"/>
      <c r="BE3" s="37"/>
      <c r="BF3" s="37"/>
      <c r="BG3" s="4"/>
      <c r="BH3" s="38" t="s">
        <v>13</v>
      </c>
      <c r="BI3" s="39"/>
      <c r="BJ3" s="39"/>
      <c r="BK3" s="39"/>
      <c r="BL3" s="4"/>
      <c r="BM3" s="35" t="s">
        <v>11</v>
      </c>
      <c r="BN3" s="35"/>
      <c r="BO3" s="35"/>
      <c r="BP3" s="35"/>
      <c r="BQ3" s="4"/>
      <c r="BR3" s="36" t="s">
        <v>12</v>
      </c>
      <c r="BS3" s="37"/>
      <c r="BT3" s="37"/>
      <c r="BU3" s="37"/>
      <c r="BV3" s="4"/>
      <c r="BW3" s="38" t="s">
        <v>13</v>
      </c>
      <c r="BX3" s="39"/>
      <c r="BY3" s="39"/>
      <c r="BZ3" s="39"/>
      <c r="CA3" s="4"/>
      <c r="CB3" s="35" t="s">
        <v>11</v>
      </c>
      <c r="CC3" s="35"/>
      <c r="CD3" s="35"/>
      <c r="CE3" s="35"/>
      <c r="CF3" s="4"/>
      <c r="CG3" s="36" t="s">
        <v>12</v>
      </c>
      <c r="CH3" s="37"/>
      <c r="CI3" s="37"/>
      <c r="CJ3" s="37"/>
      <c r="CK3" s="4"/>
      <c r="CL3" s="38" t="s">
        <v>13</v>
      </c>
      <c r="CM3" s="39"/>
      <c r="CN3" s="39"/>
      <c r="CO3" s="39"/>
      <c r="CP3" s="4"/>
      <c r="CQ3" s="35" t="s">
        <v>11</v>
      </c>
      <c r="CR3" s="35"/>
      <c r="CS3" s="35"/>
      <c r="CT3" s="35"/>
      <c r="CU3" s="4"/>
      <c r="CV3" s="36" t="s">
        <v>12</v>
      </c>
      <c r="CW3" s="37"/>
      <c r="CX3" s="37"/>
      <c r="CY3" s="37"/>
      <c r="CZ3" s="4"/>
      <c r="DA3" s="38" t="s">
        <v>13</v>
      </c>
      <c r="DB3" s="39"/>
      <c r="DC3" s="39"/>
      <c r="DD3" s="39"/>
      <c r="DE3" s="4"/>
      <c r="DF3" s="35" t="s">
        <v>11</v>
      </c>
      <c r="DG3" s="35"/>
      <c r="DH3" s="35"/>
      <c r="DI3" s="35"/>
      <c r="DJ3" s="4"/>
      <c r="DK3" s="36" t="s">
        <v>12</v>
      </c>
      <c r="DL3" s="37"/>
      <c r="DM3" s="37"/>
      <c r="DN3" s="37"/>
      <c r="DO3" s="4"/>
      <c r="DP3" s="38" t="s">
        <v>13</v>
      </c>
      <c r="DQ3" s="39"/>
      <c r="DR3" s="39"/>
      <c r="DS3" s="39"/>
      <c r="DT3" s="4"/>
      <c r="DU3" s="35" t="s">
        <v>11</v>
      </c>
      <c r="DV3" s="35"/>
      <c r="DW3" s="35"/>
      <c r="DX3" s="4"/>
      <c r="DY3" s="36" t="s">
        <v>12</v>
      </c>
      <c r="DZ3" s="37"/>
      <c r="EA3" s="37"/>
      <c r="EB3" s="4"/>
      <c r="EC3" s="38" t="s">
        <v>13</v>
      </c>
      <c r="ED3" s="39"/>
      <c r="EE3" s="39"/>
      <c r="EF3" s="4"/>
      <c r="EG3" s="35" t="s">
        <v>11</v>
      </c>
      <c r="EH3" s="35"/>
      <c r="EI3" s="35"/>
      <c r="EJ3" s="4"/>
      <c r="EK3" s="36" t="s">
        <v>12</v>
      </c>
      <c r="EL3" s="37"/>
      <c r="EM3" s="37"/>
      <c r="EN3" s="4"/>
      <c r="EO3" s="38" t="s">
        <v>13</v>
      </c>
      <c r="EP3" s="39"/>
      <c r="EQ3" s="39"/>
      <c r="ER3" s="4"/>
      <c r="ES3" s="35" t="s">
        <v>11</v>
      </c>
      <c r="ET3" s="35"/>
      <c r="EU3" s="35"/>
      <c r="EV3" s="4"/>
      <c r="EW3" s="36" t="s">
        <v>12</v>
      </c>
      <c r="EX3" s="37"/>
      <c r="EY3" s="37"/>
      <c r="EZ3" s="4"/>
      <c r="FA3" s="38" t="s">
        <v>13</v>
      </c>
      <c r="FB3" s="39"/>
      <c r="FC3" s="39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</row>
    <row r="4" ht="15.75" customHeight="1">
      <c r="A4" s="1" t="s">
        <v>16</v>
      </c>
      <c r="B4" s="2"/>
      <c r="C4" s="3"/>
      <c r="D4" s="4"/>
      <c r="E4" s="4"/>
      <c r="F4" s="44" t="s">
        <v>17</v>
      </c>
      <c r="G4" s="46"/>
      <c r="H4" s="4"/>
      <c r="I4" s="4"/>
      <c r="J4" s="4"/>
      <c r="K4" s="44" t="s">
        <v>17</v>
      </c>
      <c r="L4" s="46"/>
      <c r="M4" s="4"/>
      <c r="N4" s="4"/>
      <c r="O4" s="4"/>
      <c r="P4" s="44" t="s">
        <v>17</v>
      </c>
      <c r="Q4" s="46"/>
      <c r="R4" s="4"/>
      <c r="S4" s="4"/>
      <c r="T4" s="12"/>
      <c r="U4" s="47" t="s">
        <v>19</v>
      </c>
      <c r="V4" s="48"/>
      <c r="W4" s="12"/>
      <c r="X4" s="12"/>
      <c r="Y4" s="12"/>
      <c r="Z4" s="47" t="s">
        <v>19</v>
      </c>
      <c r="AA4" s="48"/>
      <c r="AB4" s="12"/>
      <c r="AC4" s="12"/>
      <c r="AD4" s="12"/>
      <c r="AE4" s="47" t="s">
        <v>19</v>
      </c>
      <c r="AF4" s="48"/>
      <c r="AG4" s="12"/>
      <c r="AH4" s="4"/>
      <c r="AI4" s="4"/>
      <c r="AJ4" s="44" t="s">
        <v>17</v>
      </c>
      <c r="AK4" s="49"/>
      <c r="AL4" s="12"/>
      <c r="AM4" s="12"/>
      <c r="AN4" s="12"/>
      <c r="AO4" s="44" t="s">
        <v>17</v>
      </c>
      <c r="AP4" s="49"/>
      <c r="AQ4" s="4"/>
      <c r="AR4" s="4"/>
      <c r="AS4" s="4"/>
      <c r="AT4" s="44" t="s">
        <v>17</v>
      </c>
      <c r="AU4" s="46"/>
      <c r="AV4" s="4"/>
      <c r="AW4" s="4"/>
      <c r="AX4" s="50"/>
      <c r="AY4" s="51" t="s">
        <v>19</v>
      </c>
      <c r="AZ4" s="52"/>
      <c r="BA4" s="50"/>
      <c r="BB4" s="50"/>
      <c r="BC4" s="50"/>
      <c r="BD4" s="51" t="s">
        <v>19</v>
      </c>
      <c r="BE4" s="52"/>
      <c r="BF4" s="50"/>
      <c r="BG4" s="50"/>
      <c r="BH4" s="50"/>
      <c r="BI4" s="51" t="s">
        <v>19</v>
      </c>
      <c r="BJ4" s="52"/>
      <c r="BK4" s="50"/>
      <c r="BL4" s="4"/>
      <c r="BM4" s="4"/>
      <c r="BN4" s="44" t="s">
        <v>17</v>
      </c>
      <c r="BO4" s="49"/>
      <c r="BP4" s="12"/>
      <c r="BQ4" s="12"/>
      <c r="BR4" s="12"/>
      <c r="BS4" s="44" t="s">
        <v>17</v>
      </c>
      <c r="BT4" s="49"/>
      <c r="BU4" s="4"/>
      <c r="BV4" s="4"/>
      <c r="BW4" s="4"/>
      <c r="BX4" s="44" t="s">
        <v>17</v>
      </c>
      <c r="BY4" s="46"/>
      <c r="BZ4" s="4"/>
      <c r="CA4" s="4"/>
      <c r="CB4" s="50"/>
      <c r="CC4" s="51" t="s">
        <v>19</v>
      </c>
      <c r="CD4" s="52"/>
      <c r="CE4" s="50"/>
      <c r="CF4" s="50"/>
      <c r="CG4" s="50"/>
      <c r="CH4" s="51" t="s">
        <v>19</v>
      </c>
      <c r="CI4" s="52"/>
      <c r="CJ4" s="50"/>
      <c r="CK4" s="50"/>
      <c r="CL4" s="50"/>
      <c r="CM4" s="51" t="s">
        <v>19</v>
      </c>
      <c r="CN4" s="52"/>
      <c r="CO4" s="50"/>
      <c r="CP4" s="4"/>
      <c r="CQ4" s="4"/>
      <c r="CR4" s="44" t="s">
        <v>17</v>
      </c>
      <c r="CS4" s="49"/>
      <c r="CT4" s="12"/>
      <c r="CU4" s="12"/>
      <c r="CV4" s="12"/>
      <c r="CW4" s="44" t="s">
        <v>17</v>
      </c>
      <c r="CX4" s="49"/>
      <c r="CY4" s="4"/>
      <c r="CZ4" s="4"/>
      <c r="DA4" s="4"/>
      <c r="DB4" s="44" t="s">
        <v>17</v>
      </c>
      <c r="DC4" s="46"/>
      <c r="DD4" s="4"/>
      <c r="DE4" s="4"/>
      <c r="DF4" s="50"/>
      <c r="DG4" s="51" t="s">
        <v>19</v>
      </c>
      <c r="DH4" s="52"/>
      <c r="DI4" s="50"/>
      <c r="DJ4" s="50"/>
      <c r="DK4" s="50"/>
      <c r="DL4" s="51" t="s">
        <v>19</v>
      </c>
      <c r="DM4" s="52"/>
      <c r="DN4" s="50"/>
      <c r="DO4" s="50"/>
      <c r="DP4" s="50"/>
      <c r="DQ4" s="51" t="s">
        <v>19</v>
      </c>
      <c r="DR4" s="52"/>
      <c r="DS4" s="50"/>
      <c r="DT4" s="4"/>
      <c r="DU4" s="53" t="s">
        <v>19</v>
      </c>
      <c r="DV4" s="44"/>
      <c r="DW4" s="49"/>
      <c r="DX4" s="4"/>
      <c r="DY4" s="53" t="s">
        <v>19</v>
      </c>
      <c r="DZ4" s="44"/>
      <c r="EA4" s="49"/>
      <c r="EB4" s="4"/>
      <c r="EC4" s="53" t="s">
        <v>19</v>
      </c>
      <c r="ED4" s="44"/>
      <c r="EE4" s="46"/>
      <c r="EF4" s="4"/>
      <c r="EG4" s="53" t="s">
        <v>19</v>
      </c>
      <c r="EH4" s="44"/>
      <c r="EI4" s="49"/>
      <c r="EJ4" s="4"/>
      <c r="EK4" s="53" t="s">
        <v>19</v>
      </c>
      <c r="EL4" s="44"/>
      <c r="EM4" s="49"/>
      <c r="EN4" s="4"/>
      <c r="EO4" s="53" t="s">
        <v>19</v>
      </c>
      <c r="EP4" s="44"/>
      <c r="EQ4" s="46"/>
      <c r="ER4" s="4"/>
      <c r="ES4" s="53" t="s">
        <v>19</v>
      </c>
      <c r="ET4" s="44"/>
      <c r="EU4" s="49"/>
      <c r="EV4" s="4"/>
      <c r="EW4" s="53" t="s">
        <v>19</v>
      </c>
      <c r="EX4" s="44"/>
      <c r="EY4" s="49"/>
      <c r="EZ4" s="4"/>
      <c r="FA4" s="4"/>
      <c r="FB4" s="44" t="s">
        <v>17</v>
      </c>
      <c r="FC4" s="46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</row>
    <row r="5" ht="29.25" customHeight="1">
      <c r="A5" s="4"/>
      <c r="B5" s="2"/>
      <c r="C5" s="3"/>
      <c r="D5" s="54"/>
      <c r="E5" s="56" t="s">
        <v>20</v>
      </c>
      <c r="F5" s="57"/>
      <c r="G5" s="57"/>
      <c r="H5" s="58"/>
      <c r="I5" s="59"/>
      <c r="J5" s="56" t="s">
        <v>21</v>
      </c>
      <c r="K5" s="57"/>
      <c r="L5" s="57"/>
      <c r="M5" s="58"/>
      <c r="N5" s="59"/>
      <c r="O5" s="56" t="s">
        <v>22</v>
      </c>
      <c r="P5" s="57"/>
      <c r="Q5" s="57"/>
      <c r="R5" s="58"/>
      <c r="S5" s="59"/>
      <c r="T5" s="60" t="s">
        <v>20</v>
      </c>
      <c r="U5" s="61"/>
      <c r="V5" s="61"/>
      <c r="W5" s="62"/>
      <c r="X5" s="54"/>
      <c r="Y5" s="63" t="s">
        <v>23</v>
      </c>
      <c r="Z5" s="64"/>
      <c r="AA5" s="64"/>
      <c r="AB5" s="65"/>
      <c r="AC5" s="59"/>
      <c r="AD5" s="60" t="s">
        <v>24</v>
      </c>
      <c r="AE5" s="61"/>
      <c r="AF5" s="61"/>
      <c r="AG5" s="65"/>
      <c r="AH5" s="54"/>
      <c r="AI5" s="56" t="s">
        <v>20</v>
      </c>
      <c r="AJ5" s="57"/>
      <c r="AK5" s="57"/>
      <c r="AL5" s="58"/>
      <c r="AM5" s="59"/>
      <c r="AN5" s="56" t="s">
        <v>21</v>
      </c>
      <c r="AO5" s="57"/>
      <c r="AP5" s="57"/>
      <c r="AQ5" s="58"/>
      <c r="AR5" s="59"/>
      <c r="AS5" s="56" t="s">
        <v>22</v>
      </c>
      <c r="AT5" s="57"/>
      <c r="AU5" s="66"/>
      <c r="AV5" s="67"/>
      <c r="AW5" s="54"/>
      <c r="AX5" s="63" t="s">
        <v>20</v>
      </c>
      <c r="AY5" s="68"/>
      <c r="AZ5" s="68"/>
      <c r="BA5" s="62"/>
      <c r="BB5" s="54"/>
      <c r="BC5" s="63" t="s">
        <v>23</v>
      </c>
      <c r="BD5" s="68"/>
      <c r="BE5" s="68"/>
      <c r="BF5" s="62"/>
      <c r="BG5" s="54"/>
      <c r="BH5" s="63" t="s">
        <v>24</v>
      </c>
      <c r="BI5" s="68"/>
      <c r="BJ5" s="68"/>
      <c r="BK5" s="62"/>
      <c r="BL5" s="54"/>
      <c r="BM5" s="56" t="s">
        <v>20</v>
      </c>
      <c r="BN5" s="57"/>
      <c r="BO5" s="57"/>
      <c r="BP5" s="58"/>
      <c r="BQ5" s="59"/>
      <c r="BR5" s="56" t="s">
        <v>21</v>
      </c>
      <c r="BS5" s="57"/>
      <c r="BT5" s="57"/>
      <c r="BU5" s="58"/>
      <c r="BV5" s="59"/>
      <c r="BW5" s="56" t="s">
        <v>22</v>
      </c>
      <c r="BX5" s="57"/>
      <c r="BY5" s="66"/>
      <c r="BZ5" s="67"/>
      <c r="CA5" s="54"/>
      <c r="CB5" s="63" t="s">
        <v>20</v>
      </c>
      <c r="CC5" s="68"/>
      <c r="CD5" s="68"/>
      <c r="CE5" s="62"/>
      <c r="CF5" s="54"/>
      <c r="CG5" s="63" t="s">
        <v>23</v>
      </c>
      <c r="CH5" s="68"/>
      <c r="CI5" s="68"/>
      <c r="CJ5" s="62"/>
      <c r="CK5" s="54"/>
      <c r="CL5" s="63" t="s">
        <v>24</v>
      </c>
      <c r="CM5" s="68"/>
      <c r="CN5" s="68"/>
      <c r="CO5" s="62"/>
      <c r="CP5" s="54"/>
      <c r="CQ5" s="56" t="s">
        <v>20</v>
      </c>
      <c r="CR5" s="57"/>
      <c r="CS5" s="57"/>
      <c r="CT5" s="58"/>
      <c r="CU5" s="59"/>
      <c r="CV5" s="56" t="s">
        <v>21</v>
      </c>
      <c r="CW5" s="57"/>
      <c r="CX5" s="57"/>
      <c r="CY5" s="58"/>
      <c r="CZ5" s="59"/>
      <c r="DA5" s="56" t="s">
        <v>22</v>
      </c>
      <c r="DB5" s="57"/>
      <c r="DC5" s="66"/>
      <c r="DD5" s="67"/>
      <c r="DE5" s="54"/>
      <c r="DF5" s="63" t="s">
        <v>20</v>
      </c>
      <c r="DG5" s="68"/>
      <c r="DH5" s="68"/>
      <c r="DI5" s="62"/>
      <c r="DJ5" s="54"/>
      <c r="DK5" s="63" t="s">
        <v>23</v>
      </c>
      <c r="DL5" s="68"/>
      <c r="DM5" s="68"/>
      <c r="DN5" s="62"/>
      <c r="DO5" s="54"/>
      <c r="DP5" s="63" t="s">
        <v>24</v>
      </c>
      <c r="DQ5" s="68"/>
      <c r="DR5" s="68"/>
      <c r="DS5" s="62"/>
      <c r="DT5" s="54"/>
      <c r="DU5" s="73" t="s">
        <v>20</v>
      </c>
      <c r="DV5" s="74"/>
      <c r="DW5" s="74"/>
      <c r="DX5" s="54"/>
      <c r="DY5" s="73" t="s">
        <v>23</v>
      </c>
      <c r="DZ5" s="74"/>
      <c r="EA5" s="74"/>
      <c r="EB5" s="54"/>
      <c r="EC5" s="73" t="s">
        <v>24</v>
      </c>
      <c r="ED5" s="74"/>
      <c r="EE5" s="74"/>
      <c r="EF5" s="54"/>
      <c r="EG5" s="73" t="s">
        <v>20</v>
      </c>
      <c r="EH5" s="74"/>
      <c r="EI5" s="74"/>
      <c r="EJ5" s="54"/>
      <c r="EK5" s="73" t="s">
        <v>23</v>
      </c>
      <c r="EL5" s="74"/>
      <c r="EM5" s="74"/>
      <c r="EN5" s="54"/>
      <c r="EO5" s="73" t="s">
        <v>24</v>
      </c>
      <c r="EP5" s="74"/>
      <c r="EQ5" s="74"/>
      <c r="ER5" s="54"/>
      <c r="ES5" s="73" t="s">
        <v>20</v>
      </c>
      <c r="ET5" s="74"/>
      <c r="EU5" s="74"/>
      <c r="EV5" s="54"/>
      <c r="EW5" s="73" t="s">
        <v>23</v>
      </c>
      <c r="EX5" s="74"/>
      <c r="EY5" s="74"/>
      <c r="EZ5" s="54"/>
      <c r="FA5" s="73" t="s">
        <v>24</v>
      </c>
      <c r="FB5" s="74"/>
      <c r="FC5" s="74"/>
      <c r="FD5" s="5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</row>
    <row r="6" ht="87.0" customHeight="1">
      <c r="A6" s="75" t="s">
        <v>28</v>
      </c>
      <c r="B6" s="76" t="s">
        <v>29</v>
      </c>
      <c r="C6" s="78" t="s">
        <v>30</v>
      </c>
      <c r="D6" s="79"/>
      <c r="E6" s="80" t="s">
        <v>31</v>
      </c>
      <c r="F6" s="80" t="s">
        <v>32</v>
      </c>
      <c r="G6" s="80" t="s">
        <v>33</v>
      </c>
      <c r="H6" s="82" t="s">
        <v>34</v>
      </c>
      <c r="I6" s="83"/>
      <c r="J6" s="80" t="s">
        <v>31</v>
      </c>
      <c r="K6" s="80" t="s">
        <v>32</v>
      </c>
      <c r="L6" s="80" t="s">
        <v>33</v>
      </c>
      <c r="M6" s="82" t="s">
        <v>34</v>
      </c>
      <c r="N6" s="83"/>
      <c r="O6" s="80" t="s">
        <v>31</v>
      </c>
      <c r="P6" s="80" t="s">
        <v>32</v>
      </c>
      <c r="Q6" s="80" t="s">
        <v>33</v>
      </c>
      <c r="R6" s="82" t="s">
        <v>34</v>
      </c>
      <c r="S6" s="83"/>
      <c r="T6" s="80" t="s">
        <v>31</v>
      </c>
      <c r="U6" s="80" t="s">
        <v>32</v>
      </c>
      <c r="V6" s="80" t="s">
        <v>33</v>
      </c>
      <c r="W6" s="89" t="s">
        <v>34</v>
      </c>
      <c r="X6" s="83"/>
      <c r="Y6" s="80" t="s">
        <v>31</v>
      </c>
      <c r="Z6" s="80" t="s">
        <v>32</v>
      </c>
      <c r="AA6" s="80" t="s">
        <v>33</v>
      </c>
      <c r="AB6" s="89" t="s">
        <v>34</v>
      </c>
      <c r="AC6" s="83"/>
      <c r="AD6" s="80" t="s">
        <v>31</v>
      </c>
      <c r="AE6" s="80" t="s">
        <v>32</v>
      </c>
      <c r="AF6" s="80" t="s">
        <v>33</v>
      </c>
      <c r="AG6" s="89" t="s">
        <v>34</v>
      </c>
      <c r="AH6" s="83"/>
      <c r="AI6" s="80" t="s">
        <v>37</v>
      </c>
      <c r="AJ6" s="80" t="s">
        <v>38</v>
      </c>
      <c r="AK6" s="80" t="s">
        <v>39</v>
      </c>
      <c r="AL6" s="82" t="s">
        <v>40</v>
      </c>
      <c r="AM6" s="83"/>
      <c r="AN6" s="80" t="s">
        <v>37</v>
      </c>
      <c r="AO6" s="80" t="s">
        <v>38</v>
      </c>
      <c r="AP6" s="80" t="s">
        <v>39</v>
      </c>
      <c r="AQ6" s="82" t="s">
        <v>40</v>
      </c>
      <c r="AR6" s="83"/>
      <c r="AS6" s="80" t="s">
        <v>37</v>
      </c>
      <c r="AT6" s="80" t="s">
        <v>38</v>
      </c>
      <c r="AU6" s="80" t="s">
        <v>39</v>
      </c>
      <c r="AV6" s="82" t="s">
        <v>40</v>
      </c>
      <c r="AW6" s="83"/>
      <c r="AX6" s="80" t="s">
        <v>37</v>
      </c>
      <c r="AY6" s="80" t="s">
        <v>38</v>
      </c>
      <c r="AZ6" s="80" t="s">
        <v>39</v>
      </c>
      <c r="BA6" s="89" t="s">
        <v>40</v>
      </c>
      <c r="BB6" s="83"/>
      <c r="BC6" s="80" t="s">
        <v>37</v>
      </c>
      <c r="BD6" s="80" t="s">
        <v>38</v>
      </c>
      <c r="BE6" s="80" t="s">
        <v>39</v>
      </c>
      <c r="BF6" s="89" t="s">
        <v>40</v>
      </c>
      <c r="BG6" s="83"/>
      <c r="BH6" s="80" t="s">
        <v>37</v>
      </c>
      <c r="BI6" s="80" t="s">
        <v>38</v>
      </c>
      <c r="BJ6" s="80" t="s">
        <v>39</v>
      </c>
      <c r="BK6" s="89" t="s">
        <v>40</v>
      </c>
      <c r="BL6" s="83"/>
      <c r="BM6" s="80" t="s">
        <v>41</v>
      </c>
      <c r="BN6" s="80" t="s">
        <v>42</v>
      </c>
      <c r="BO6" s="80" t="s">
        <v>43</v>
      </c>
      <c r="BP6" s="82" t="s">
        <v>44</v>
      </c>
      <c r="BQ6" s="83"/>
      <c r="BR6" s="80" t="s">
        <v>41</v>
      </c>
      <c r="BS6" s="80" t="s">
        <v>42</v>
      </c>
      <c r="BT6" s="80" t="s">
        <v>43</v>
      </c>
      <c r="BU6" s="82" t="s">
        <v>44</v>
      </c>
      <c r="BV6" s="83"/>
      <c r="BW6" s="80" t="s">
        <v>41</v>
      </c>
      <c r="BX6" s="80" t="s">
        <v>42</v>
      </c>
      <c r="BY6" s="80" t="s">
        <v>43</v>
      </c>
      <c r="BZ6" s="82" t="s">
        <v>44</v>
      </c>
      <c r="CA6" s="83"/>
      <c r="CB6" s="80" t="s">
        <v>41</v>
      </c>
      <c r="CC6" s="80" t="s">
        <v>42</v>
      </c>
      <c r="CD6" s="80" t="s">
        <v>43</v>
      </c>
      <c r="CE6" s="89" t="s">
        <v>44</v>
      </c>
      <c r="CF6" s="83"/>
      <c r="CG6" s="80" t="s">
        <v>41</v>
      </c>
      <c r="CH6" s="80" t="s">
        <v>42</v>
      </c>
      <c r="CI6" s="80" t="s">
        <v>43</v>
      </c>
      <c r="CJ6" s="89" t="s">
        <v>44</v>
      </c>
      <c r="CK6" s="83"/>
      <c r="CL6" s="80" t="s">
        <v>41</v>
      </c>
      <c r="CM6" s="80" t="s">
        <v>42</v>
      </c>
      <c r="CN6" s="80" t="s">
        <v>43</v>
      </c>
      <c r="CO6" s="89" t="s">
        <v>44</v>
      </c>
      <c r="CP6" s="83"/>
      <c r="CQ6" s="80" t="s">
        <v>41</v>
      </c>
      <c r="CR6" s="80" t="s">
        <v>42</v>
      </c>
      <c r="CS6" s="80" t="s">
        <v>43</v>
      </c>
      <c r="CT6" s="82" t="s">
        <v>44</v>
      </c>
      <c r="CU6" s="83"/>
      <c r="CV6" s="80" t="s">
        <v>41</v>
      </c>
      <c r="CW6" s="80" t="s">
        <v>42</v>
      </c>
      <c r="CX6" s="80" t="s">
        <v>43</v>
      </c>
      <c r="CY6" s="82" t="s">
        <v>44</v>
      </c>
      <c r="CZ6" s="83"/>
      <c r="DA6" s="80" t="s">
        <v>41</v>
      </c>
      <c r="DB6" s="80" t="s">
        <v>42</v>
      </c>
      <c r="DC6" s="80" t="s">
        <v>43</v>
      </c>
      <c r="DD6" s="82" t="s">
        <v>45</v>
      </c>
      <c r="DE6" s="83"/>
      <c r="DF6" s="80" t="s">
        <v>41</v>
      </c>
      <c r="DG6" s="80" t="s">
        <v>42</v>
      </c>
      <c r="DH6" s="80" t="s">
        <v>43</v>
      </c>
      <c r="DI6" s="89" t="s">
        <v>45</v>
      </c>
      <c r="DJ6" s="83"/>
      <c r="DK6" s="80" t="s">
        <v>41</v>
      </c>
      <c r="DL6" s="80" t="s">
        <v>42</v>
      </c>
      <c r="DM6" s="80" t="s">
        <v>43</v>
      </c>
      <c r="DN6" s="89" t="s">
        <v>45</v>
      </c>
      <c r="DO6" s="83"/>
      <c r="DP6" s="80" t="s">
        <v>47</v>
      </c>
      <c r="DQ6" s="80" t="s">
        <v>48</v>
      </c>
      <c r="DR6" s="80" t="s">
        <v>49</v>
      </c>
      <c r="DS6" s="89" t="s">
        <v>45</v>
      </c>
      <c r="DT6" s="79"/>
      <c r="DU6" s="101" t="s">
        <v>50</v>
      </c>
      <c r="DV6" s="101" t="s">
        <v>51</v>
      </c>
      <c r="DW6" s="103" t="s">
        <v>52</v>
      </c>
      <c r="DX6" s="79"/>
      <c r="DY6" s="101" t="s">
        <v>53</v>
      </c>
      <c r="DZ6" s="101" t="s">
        <v>51</v>
      </c>
      <c r="EA6" s="103" t="s">
        <v>52</v>
      </c>
      <c r="EB6" s="79"/>
      <c r="EC6" s="101" t="s">
        <v>55</v>
      </c>
      <c r="ED6" s="101" t="s">
        <v>51</v>
      </c>
      <c r="EE6" s="103" t="s">
        <v>52</v>
      </c>
      <c r="EF6" s="79"/>
      <c r="EG6" s="101" t="s">
        <v>50</v>
      </c>
      <c r="EH6" s="101" t="s">
        <v>51</v>
      </c>
      <c r="EI6" s="103" t="s">
        <v>52</v>
      </c>
      <c r="EJ6" s="79"/>
      <c r="EK6" s="101" t="s">
        <v>53</v>
      </c>
      <c r="EL6" s="101" t="s">
        <v>51</v>
      </c>
      <c r="EM6" s="103" t="s">
        <v>52</v>
      </c>
      <c r="EN6" s="79"/>
      <c r="EO6" s="101" t="s">
        <v>55</v>
      </c>
      <c r="EP6" s="101" t="s">
        <v>51</v>
      </c>
      <c r="EQ6" s="103" t="s">
        <v>52</v>
      </c>
      <c r="ER6" s="79"/>
      <c r="ES6" s="101" t="s">
        <v>50</v>
      </c>
      <c r="ET6" s="101" t="s">
        <v>51</v>
      </c>
      <c r="EU6" s="103" t="s">
        <v>52</v>
      </c>
      <c r="EV6" s="79"/>
      <c r="EW6" s="101" t="s">
        <v>53</v>
      </c>
      <c r="EX6" s="101" t="s">
        <v>51</v>
      </c>
      <c r="EY6" s="103" t="s">
        <v>52</v>
      </c>
      <c r="EZ6" s="79"/>
      <c r="FA6" s="101" t="s">
        <v>55</v>
      </c>
      <c r="FB6" s="101" t="s">
        <v>51</v>
      </c>
      <c r="FC6" s="103" t="s">
        <v>52</v>
      </c>
      <c r="FD6" s="79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</row>
    <row r="7" ht="29.25" customHeight="1">
      <c r="A7" s="109" t="s">
        <v>67</v>
      </c>
      <c r="B7" s="111"/>
      <c r="C7" s="112"/>
      <c r="D7" s="113"/>
      <c r="E7" s="115"/>
      <c r="F7" s="115"/>
      <c r="G7" s="115"/>
      <c r="H7" s="115"/>
      <c r="I7" s="113"/>
      <c r="J7" s="115"/>
      <c r="K7" s="115"/>
      <c r="L7" s="115"/>
      <c r="M7" s="115"/>
      <c r="N7" s="113"/>
      <c r="O7" s="115"/>
      <c r="P7" s="115"/>
      <c r="Q7" s="115"/>
      <c r="R7" s="115"/>
      <c r="S7" s="113"/>
      <c r="T7" s="111"/>
      <c r="U7" s="115"/>
      <c r="V7" s="115"/>
      <c r="W7" s="115"/>
      <c r="X7" s="113"/>
      <c r="Y7" s="111"/>
      <c r="Z7" s="115"/>
      <c r="AA7" s="115"/>
      <c r="AB7" s="115"/>
      <c r="AC7" s="113"/>
      <c r="AD7" s="111"/>
      <c r="AE7" s="115"/>
      <c r="AF7" s="115"/>
      <c r="AG7" s="115"/>
      <c r="AH7" s="113"/>
      <c r="AI7" s="115"/>
      <c r="AJ7" s="115"/>
      <c r="AK7" s="115"/>
      <c r="AL7" s="115"/>
      <c r="AM7" s="113"/>
      <c r="AN7" s="115"/>
      <c r="AO7" s="115"/>
      <c r="AP7" s="115"/>
      <c r="AQ7" s="115"/>
      <c r="AR7" s="113"/>
      <c r="AS7" s="115"/>
      <c r="AT7" s="115"/>
      <c r="AU7" s="115"/>
      <c r="AV7" s="115"/>
      <c r="AW7" s="113"/>
      <c r="AX7" s="111"/>
      <c r="AY7" s="115"/>
      <c r="AZ7" s="115"/>
      <c r="BA7" s="115"/>
      <c r="BB7" s="113"/>
      <c r="BC7" s="111"/>
      <c r="BD7" s="115"/>
      <c r="BE7" s="115"/>
      <c r="BF7" s="115"/>
      <c r="BG7" s="113"/>
      <c r="BH7" s="111"/>
      <c r="BI7" s="115"/>
      <c r="BJ7" s="115"/>
      <c r="BK7" s="115"/>
      <c r="BL7" s="113"/>
      <c r="BM7" s="115"/>
      <c r="BN7" s="115"/>
      <c r="BO7" s="115"/>
      <c r="BP7" s="115"/>
      <c r="BQ7" s="113"/>
      <c r="BR7" s="115"/>
      <c r="BS7" s="115"/>
      <c r="BT7" s="115"/>
      <c r="BU7" s="115"/>
      <c r="BV7" s="113"/>
      <c r="BW7" s="115"/>
      <c r="BX7" s="115"/>
      <c r="BY7" s="115"/>
      <c r="BZ7" s="115"/>
      <c r="CA7" s="113"/>
      <c r="CB7" s="111"/>
      <c r="CC7" s="115"/>
      <c r="CD7" s="115"/>
      <c r="CE7" s="115"/>
      <c r="CF7" s="113"/>
      <c r="CG7" s="111"/>
      <c r="CH7" s="115"/>
      <c r="CI7" s="115"/>
      <c r="CJ7" s="115"/>
      <c r="CK7" s="113"/>
      <c r="CL7" s="111"/>
      <c r="CM7" s="115"/>
      <c r="CN7" s="115"/>
      <c r="CO7" s="115"/>
      <c r="CP7" s="113"/>
      <c r="CQ7" s="115"/>
      <c r="CR7" s="115"/>
      <c r="CS7" s="115"/>
      <c r="CT7" s="115"/>
      <c r="CU7" s="113"/>
      <c r="CV7" s="115"/>
      <c r="CW7" s="115"/>
      <c r="CX7" s="115"/>
      <c r="CY7" s="115"/>
      <c r="CZ7" s="113"/>
      <c r="DA7" s="115"/>
      <c r="DB7" s="115"/>
      <c r="DC7" s="115"/>
      <c r="DD7" s="115"/>
      <c r="DE7" s="113"/>
      <c r="DF7" s="111"/>
      <c r="DG7" s="115"/>
      <c r="DH7" s="115"/>
      <c r="DI7" s="115"/>
      <c r="DJ7" s="113"/>
      <c r="DK7" s="111"/>
      <c r="DL7" s="115"/>
      <c r="DM7" s="115"/>
      <c r="DN7" s="115"/>
      <c r="DO7" s="113"/>
      <c r="DP7" s="111"/>
      <c r="DQ7" s="115"/>
      <c r="DR7" s="115"/>
      <c r="DS7" s="115"/>
      <c r="DT7" s="113"/>
      <c r="DU7" s="115"/>
      <c r="DV7" s="115"/>
      <c r="DW7" s="115"/>
      <c r="DX7" s="113"/>
      <c r="DY7" s="115"/>
      <c r="DZ7" s="115"/>
      <c r="EA7" s="115"/>
      <c r="EB7" s="113"/>
      <c r="EC7" s="115"/>
      <c r="ED7" s="115"/>
      <c r="EE7" s="115"/>
      <c r="EF7" s="113"/>
      <c r="EG7" s="115"/>
      <c r="EH7" s="115"/>
      <c r="EI7" s="115"/>
      <c r="EJ7" s="113"/>
      <c r="EK7" s="115"/>
      <c r="EL7" s="115"/>
      <c r="EM7" s="115"/>
      <c r="EN7" s="113"/>
      <c r="EO7" s="115"/>
      <c r="EP7" s="115"/>
      <c r="EQ7" s="115"/>
      <c r="ER7" s="113"/>
      <c r="ES7" s="115"/>
      <c r="ET7" s="115"/>
      <c r="EU7" s="115"/>
      <c r="EV7" s="113"/>
      <c r="EW7" s="115"/>
      <c r="EX7" s="115"/>
      <c r="EY7" s="115"/>
      <c r="EZ7" s="113"/>
      <c r="FA7" s="115"/>
      <c r="FB7" s="115"/>
      <c r="FC7" s="115"/>
      <c r="FD7" s="113"/>
      <c r="FE7" s="42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20"/>
      <c r="FS7" s="4"/>
      <c r="FT7" s="4"/>
    </row>
    <row r="8" ht="15.75" customHeight="1">
      <c r="A8" s="125"/>
      <c r="B8" s="126"/>
      <c r="C8" s="127"/>
      <c r="D8" s="129"/>
      <c r="E8" s="125"/>
      <c r="F8" s="125"/>
      <c r="G8" s="125"/>
      <c r="H8" s="125"/>
      <c r="I8" s="129"/>
      <c r="J8" s="125"/>
      <c r="K8" s="125"/>
      <c r="L8" s="125"/>
      <c r="M8" s="125"/>
      <c r="N8" s="129"/>
      <c r="O8" s="125"/>
      <c r="P8" s="125"/>
      <c r="Q8" s="125"/>
      <c r="R8" s="125"/>
      <c r="S8" s="129"/>
      <c r="T8" s="125"/>
      <c r="U8" s="125"/>
      <c r="V8" s="125"/>
      <c r="W8" s="125"/>
      <c r="X8" s="129"/>
      <c r="Y8" s="125"/>
      <c r="Z8" s="125"/>
      <c r="AA8" s="125"/>
      <c r="AB8" s="125"/>
      <c r="AC8" s="129"/>
      <c r="AD8" s="125"/>
      <c r="AE8" s="125"/>
      <c r="AF8" s="125"/>
      <c r="AG8" s="125"/>
      <c r="AH8" s="129"/>
      <c r="AI8" s="125"/>
      <c r="AJ8" s="125"/>
      <c r="AK8" s="125"/>
      <c r="AL8" s="125"/>
      <c r="AM8" s="129"/>
      <c r="AN8" s="125"/>
      <c r="AO8" s="125"/>
      <c r="AP8" s="125"/>
      <c r="AQ8" s="125"/>
      <c r="AR8" s="129"/>
      <c r="AS8" s="125"/>
      <c r="AT8" s="125"/>
      <c r="AU8" s="125"/>
      <c r="AV8" s="125"/>
      <c r="AW8" s="129"/>
      <c r="AX8" s="125"/>
      <c r="AY8" s="125"/>
      <c r="AZ8" s="125"/>
      <c r="BA8" s="125"/>
      <c r="BB8" s="129"/>
      <c r="BC8" s="125"/>
      <c r="BD8" s="125"/>
      <c r="BE8" s="125"/>
      <c r="BF8" s="125"/>
      <c r="BG8" s="129"/>
      <c r="BH8" s="125"/>
      <c r="BI8" s="125"/>
      <c r="BJ8" s="125"/>
      <c r="BK8" s="125"/>
      <c r="BL8" s="129"/>
      <c r="BM8" s="125"/>
      <c r="BN8" s="125"/>
      <c r="BO8" s="125"/>
      <c r="BP8" s="125"/>
      <c r="BQ8" s="129"/>
      <c r="BR8" s="125"/>
      <c r="BS8" s="125"/>
      <c r="BT8" s="125"/>
      <c r="BU8" s="125"/>
      <c r="BV8" s="129"/>
      <c r="BW8" s="125"/>
      <c r="BX8" s="125"/>
      <c r="BY8" s="125"/>
      <c r="BZ8" s="125"/>
      <c r="CA8" s="129"/>
      <c r="CB8" s="125"/>
      <c r="CC8" s="125"/>
      <c r="CD8" s="125"/>
      <c r="CE8" s="125"/>
      <c r="CF8" s="129"/>
      <c r="CG8" s="125"/>
      <c r="CH8" s="125"/>
      <c r="CI8" s="125"/>
      <c r="CJ8" s="125"/>
      <c r="CK8" s="129"/>
      <c r="CL8" s="125"/>
      <c r="CM8" s="125"/>
      <c r="CN8" s="125"/>
      <c r="CO8" s="125"/>
      <c r="CP8" s="129"/>
      <c r="CQ8" s="125"/>
      <c r="CR8" s="125"/>
      <c r="CS8" s="125"/>
      <c r="CT8" s="125"/>
      <c r="CU8" s="129"/>
      <c r="CV8" s="125"/>
      <c r="CW8" s="125"/>
      <c r="CX8" s="125"/>
      <c r="CY8" s="125"/>
      <c r="CZ8" s="129"/>
      <c r="DA8" s="125"/>
      <c r="DB8" s="125"/>
      <c r="DC8" s="125"/>
      <c r="DD8" s="125"/>
      <c r="DE8" s="129"/>
      <c r="DF8" s="125"/>
      <c r="DG8" s="125"/>
      <c r="DH8" s="125"/>
      <c r="DI8" s="125"/>
      <c r="DJ8" s="129"/>
      <c r="DK8" s="125"/>
      <c r="DL8" s="125"/>
      <c r="DM8" s="125"/>
      <c r="DN8" s="125"/>
      <c r="DO8" s="129"/>
      <c r="DP8" s="125"/>
      <c r="DQ8" s="125"/>
      <c r="DR8" s="125"/>
      <c r="DS8" s="125"/>
      <c r="DT8" s="129"/>
      <c r="DU8" s="125"/>
      <c r="DV8" s="125"/>
      <c r="DW8" s="125"/>
      <c r="DX8" s="129"/>
      <c r="DY8" s="125"/>
      <c r="DZ8" s="125"/>
      <c r="EA8" s="125"/>
      <c r="EB8" s="129"/>
      <c r="EC8" s="125"/>
      <c r="ED8" s="125"/>
      <c r="EE8" s="125"/>
      <c r="EF8" s="129"/>
      <c r="EG8" s="125"/>
      <c r="EH8" s="125"/>
      <c r="EI8" s="125"/>
      <c r="EJ8" s="129"/>
      <c r="EK8" s="125"/>
      <c r="EL8" s="125"/>
      <c r="EM8" s="125"/>
      <c r="EN8" s="129"/>
      <c r="EO8" s="125"/>
      <c r="EP8" s="125"/>
      <c r="EQ8" s="125"/>
      <c r="ER8" s="129"/>
      <c r="ES8" s="125"/>
      <c r="ET8" s="125"/>
      <c r="EU8" s="125"/>
      <c r="EV8" s="129"/>
      <c r="EW8" s="125"/>
      <c r="EX8" s="125"/>
      <c r="EY8" s="125"/>
      <c r="EZ8" s="129"/>
      <c r="FA8" s="125"/>
      <c r="FB8" s="125"/>
      <c r="FC8" s="125"/>
      <c r="FD8" s="129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</row>
    <row r="9" ht="15.75" customHeight="1">
      <c r="A9" s="137" t="s">
        <v>68</v>
      </c>
      <c r="B9" s="138"/>
      <c r="C9" s="139"/>
      <c r="D9" s="140"/>
      <c r="E9" s="141"/>
      <c r="F9" s="141"/>
      <c r="G9" s="141"/>
      <c r="H9" s="142"/>
      <c r="I9" s="140"/>
      <c r="J9" s="141"/>
      <c r="K9" s="141"/>
      <c r="L9" s="141"/>
      <c r="M9" s="142"/>
      <c r="N9" s="140"/>
      <c r="O9" s="141"/>
      <c r="P9" s="141"/>
      <c r="Q9" s="141"/>
      <c r="R9" s="142"/>
      <c r="S9" s="140"/>
      <c r="T9" s="141"/>
      <c r="U9" s="141"/>
      <c r="V9" s="141"/>
      <c r="W9" s="142"/>
      <c r="X9" s="140"/>
      <c r="Y9" s="141"/>
      <c r="Z9" s="141"/>
      <c r="AA9" s="141"/>
      <c r="AB9" s="142"/>
      <c r="AC9" s="140"/>
      <c r="AD9" s="141"/>
      <c r="AE9" s="141"/>
      <c r="AF9" s="141"/>
      <c r="AG9" s="142"/>
      <c r="AH9" s="140"/>
      <c r="AI9" s="141"/>
      <c r="AJ9" s="141"/>
      <c r="AK9" s="141"/>
      <c r="AL9" s="142"/>
      <c r="AM9" s="140"/>
      <c r="AN9" s="141"/>
      <c r="AO9" s="141"/>
      <c r="AP9" s="141"/>
      <c r="AQ9" s="142"/>
      <c r="AR9" s="140"/>
      <c r="AS9" s="141"/>
      <c r="AT9" s="141"/>
      <c r="AU9" s="141"/>
      <c r="AV9" s="142"/>
      <c r="AW9" s="140"/>
      <c r="AX9" s="141"/>
      <c r="AY9" s="141"/>
      <c r="AZ9" s="141"/>
      <c r="BA9" s="142"/>
      <c r="BB9" s="140"/>
      <c r="BC9" s="141"/>
      <c r="BD9" s="141"/>
      <c r="BE9" s="141"/>
      <c r="BF9" s="142"/>
      <c r="BG9" s="140"/>
      <c r="BH9" s="141"/>
      <c r="BI9" s="141"/>
      <c r="BJ9" s="141"/>
      <c r="BK9" s="142"/>
      <c r="BL9" s="140"/>
      <c r="BM9" s="141"/>
      <c r="BN9" s="141"/>
      <c r="BO9" s="141"/>
      <c r="BP9" s="142"/>
      <c r="BQ9" s="140"/>
      <c r="BR9" s="141"/>
      <c r="BS9" s="141"/>
      <c r="BT9" s="141"/>
      <c r="BU9" s="142"/>
      <c r="BV9" s="140"/>
      <c r="BW9" s="141"/>
      <c r="BX9" s="141"/>
      <c r="BY9" s="141"/>
      <c r="BZ9" s="142"/>
      <c r="CA9" s="140"/>
      <c r="CB9" s="141"/>
      <c r="CC9" s="141"/>
      <c r="CD9" s="141"/>
      <c r="CE9" s="142"/>
      <c r="CF9" s="140"/>
      <c r="CG9" s="141"/>
      <c r="CH9" s="141"/>
      <c r="CI9" s="141"/>
      <c r="CJ9" s="142"/>
      <c r="CK9" s="140"/>
      <c r="CL9" s="141"/>
      <c r="CM9" s="141"/>
      <c r="CN9" s="141"/>
      <c r="CO9" s="142"/>
      <c r="CP9" s="140"/>
      <c r="CQ9" s="141"/>
      <c r="CR9" s="141"/>
      <c r="CS9" s="141"/>
      <c r="CT9" s="142"/>
      <c r="CU9" s="140"/>
      <c r="CV9" s="141"/>
      <c r="CW9" s="141"/>
      <c r="CX9" s="141"/>
      <c r="CY9" s="142"/>
      <c r="CZ9" s="140"/>
      <c r="DA9" s="141"/>
      <c r="DB9" s="141"/>
      <c r="DC9" s="141"/>
      <c r="DD9" s="142"/>
      <c r="DE9" s="140"/>
      <c r="DF9" s="141"/>
      <c r="DG9" s="141"/>
      <c r="DH9" s="141"/>
      <c r="DI9" s="142"/>
      <c r="DJ9" s="140"/>
      <c r="DK9" s="141"/>
      <c r="DL9" s="141"/>
      <c r="DM9" s="141"/>
      <c r="DN9" s="142"/>
      <c r="DO9" s="140"/>
      <c r="DP9" s="141"/>
      <c r="DQ9" s="141"/>
      <c r="DR9" s="141"/>
      <c r="DS9" s="142"/>
      <c r="DT9" s="140"/>
      <c r="DU9" s="142"/>
      <c r="DV9" s="141"/>
      <c r="DW9" s="141"/>
      <c r="DX9" s="140"/>
      <c r="DY9" s="142"/>
      <c r="DZ9" s="141"/>
      <c r="EA9" s="141"/>
      <c r="EB9" s="140"/>
      <c r="EC9" s="142"/>
      <c r="ED9" s="141"/>
      <c r="EE9" s="141"/>
      <c r="EF9" s="140"/>
      <c r="EG9" s="142"/>
      <c r="EH9" s="141"/>
      <c r="EI9" s="141"/>
      <c r="EJ9" s="140"/>
      <c r="EK9" s="142"/>
      <c r="EL9" s="141"/>
      <c r="EM9" s="141"/>
      <c r="EN9" s="140"/>
      <c r="EO9" s="142"/>
      <c r="EP9" s="141"/>
      <c r="EQ9" s="141"/>
      <c r="ER9" s="140"/>
      <c r="ES9" s="142"/>
      <c r="ET9" s="141"/>
      <c r="EU9" s="141"/>
      <c r="EV9" s="140"/>
      <c r="EW9" s="142"/>
      <c r="EX9" s="141"/>
      <c r="EY9" s="141"/>
      <c r="EZ9" s="140"/>
      <c r="FA9" s="142"/>
      <c r="FB9" s="141"/>
      <c r="FC9" s="141"/>
      <c r="FD9" s="140"/>
      <c r="FE9" s="4"/>
      <c r="FF9" s="20" t="str">
        <f>SUM(#REF!,#REF!,#REF!,#REF!,#REF!)</f>
        <v>#REF!</v>
      </c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1"/>
      <c r="FT9" s="148"/>
    </row>
    <row r="10" ht="15.75" customHeight="1">
      <c r="A10" s="149" t="s">
        <v>69</v>
      </c>
      <c r="B10" s="150" t="s">
        <v>70</v>
      </c>
      <c r="C10" s="152" t="s">
        <v>71</v>
      </c>
      <c r="D10" s="153">
        <v>1.0</v>
      </c>
      <c r="E10" s="154">
        <v>1.0</v>
      </c>
      <c r="F10" s="154">
        <v>2.0</v>
      </c>
      <c r="G10" s="155">
        <v>3.0</v>
      </c>
      <c r="H10" s="156">
        <f t="shared" ref="H10:H16" si="5">SUM(E10:G10)</f>
        <v>6</v>
      </c>
      <c r="I10" s="153">
        <v>1.0</v>
      </c>
      <c r="J10" s="154">
        <v>1.0</v>
      </c>
      <c r="K10" s="154">
        <v>2.0</v>
      </c>
      <c r="L10" s="155">
        <v>3.0</v>
      </c>
      <c r="M10" s="156">
        <f t="shared" ref="M10:M16" si="6">SUM(J10:L10)</f>
        <v>6</v>
      </c>
      <c r="N10" s="153">
        <v>1.0</v>
      </c>
      <c r="O10" s="154">
        <v>1.0</v>
      </c>
      <c r="P10" s="154">
        <v>2.0</v>
      </c>
      <c r="Q10" s="155">
        <v>3.0</v>
      </c>
      <c r="R10" s="156">
        <f t="shared" ref="R10:R16" si="7">SUM(O10:Q10)</f>
        <v>6</v>
      </c>
      <c r="S10" s="153"/>
      <c r="T10" s="154">
        <v>1.0</v>
      </c>
      <c r="U10" s="154">
        <v>2.0</v>
      </c>
      <c r="V10" s="155"/>
      <c r="W10" s="156">
        <f t="shared" ref="W10:W16" si="8">SUM(T10:V10)</f>
        <v>3</v>
      </c>
      <c r="X10" s="153"/>
      <c r="Y10" s="154">
        <v>1.0</v>
      </c>
      <c r="Z10" s="154">
        <v>2.0</v>
      </c>
      <c r="AA10" s="155"/>
      <c r="AB10" s="156">
        <f t="shared" ref="AB10:AB16" si="9">SUM(Y10:AA10)</f>
        <v>3</v>
      </c>
      <c r="AC10" s="153"/>
      <c r="AD10" s="154">
        <v>1.0</v>
      </c>
      <c r="AE10" s="154">
        <v>2.0</v>
      </c>
      <c r="AF10" s="155"/>
      <c r="AG10" s="156">
        <f t="shared" ref="AG10:AG16" si="10">SUM(AD10:AF10)</f>
        <v>3</v>
      </c>
      <c r="AH10" s="153"/>
      <c r="AI10" s="154">
        <v>1.0</v>
      </c>
      <c r="AJ10" s="154">
        <v>2.0</v>
      </c>
      <c r="AK10" s="155">
        <v>3.0</v>
      </c>
      <c r="AL10" s="156">
        <f t="shared" ref="AL10:AL16" si="11">SUM(AI10:AK10)</f>
        <v>6</v>
      </c>
      <c r="AM10" s="153">
        <v>1.0</v>
      </c>
      <c r="AN10" s="154">
        <v>1.0</v>
      </c>
      <c r="AO10" s="154">
        <v>2.0</v>
      </c>
      <c r="AP10" s="155">
        <v>3.0</v>
      </c>
      <c r="AQ10" s="156">
        <f t="shared" ref="AQ10:AQ16" si="12">SUM(AN10:AP10)</f>
        <v>6</v>
      </c>
      <c r="AR10" s="153">
        <v>1.0</v>
      </c>
      <c r="AS10" s="154">
        <v>1.0</v>
      </c>
      <c r="AT10" s="154">
        <v>2.0</v>
      </c>
      <c r="AU10" s="155">
        <v>3.0</v>
      </c>
      <c r="AV10" s="156">
        <f t="shared" ref="AV10:AV16" si="13">SUM(AS10:AU10)</f>
        <v>6</v>
      </c>
      <c r="AW10" s="153"/>
      <c r="AX10" s="154">
        <v>1.0</v>
      </c>
      <c r="AY10" s="154">
        <v>2.0</v>
      </c>
      <c r="AZ10" s="155"/>
      <c r="BA10" s="156">
        <f t="shared" ref="BA10:BA16" si="14">SUM(AX10:AZ10)</f>
        <v>3</v>
      </c>
      <c r="BB10" s="153"/>
      <c r="BC10" s="154">
        <v>1.0</v>
      </c>
      <c r="BD10" s="154">
        <v>2.0</v>
      </c>
      <c r="BE10" s="155"/>
      <c r="BF10" s="156">
        <f t="shared" ref="BF10:BF16" si="15">SUM(BC10:BE10)</f>
        <v>3</v>
      </c>
      <c r="BG10" s="153"/>
      <c r="BH10" s="154">
        <v>1.0</v>
      </c>
      <c r="BI10" s="154">
        <v>2.0</v>
      </c>
      <c r="BJ10" s="155"/>
      <c r="BK10" s="156">
        <f t="shared" ref="BK10:BK16" si="16">SUM(BH10:BJ10)</f>
        <v>3</v>
      </c>
      <c r="BL10" s="153"/>
      <c r="BM10" s="154">
        <v>1.0</v>
      </c>
      <c r="BN10" s="154">
        <v>2.0</v>
      </c>
      <c r="BO10" s="155">
        <v>3.0</v>
      </c>
      <c r="BP10" s="156">
        <f t="shared" ref="BP10:BP16" si="17">SUM(BM10:BO10)</f>
        <v>6</v>
      </c>
      <c r="BQ10" s="153">
        <v>1.0</v>
      </c>
      <c r="BR10" s="154">
        <v>1.0</v>
      </c>
      <c r="BS10" s="154">
        <v>2.0</v>
      </c>
      <c r="BT10" s="155">
        <v>3.0</v>
      </c>
      <c r="BU10" s="156">
        <f t="shared" ref="BU10:BU16" si="18">SUM(BR10:BT10)</f>
        <v>6</v>
      </c>
      <c r="BV10" s="153">
        <v>1.0</v>
      </c>
      <c r="BW10" s="154">
        <v>1.0</v>
      </c>
      <c r="BX10" s="154">
        <v>2.0</v>
      </c>
      <c r="BY10" s="155">
        <v>3.0</v>
      </c>
      <c r="BZ10" s="156">
        <f t="shared" ref="BZ10:BZ16" si="19">SUM(BW10:BY10)</f>
        <v>6</v>
      </c>
      <c r="CA10" s="153"/>
      <c r="CB10" s="154">
        <v>1.0</v>
      </c>
      <c r="CC10" s="154">
        <v>2.0</v>
      </c>
      <c r="CD10" s="155"/>
      <c r="CE10" s="156">
        <f t="shared" ref="CE10:CE16" si="20">SUM(CB10:CD10)</f>
        <v>3</v>
      </c>
      <c r="CF10" s="153"/>
      <c r="CG10" s="154">
        <v>1.0</v>
      </c>
      <c r="CH10" s="154">
        <v>2.0</v>
      </c>
      <c r="CI10" s="155"/>
      <c r="CJ10" s="156">
        <f t="shared" ref="CJ10:CJ16" si="21">SUM(CG10:CI10)</f>
        <v>3</v>
      </c>
      <c r="CK10" s="153"/>
      <c r="CL10" s="154">
        <v>1.0</v>
      </c>
      <c r="CM10" s="154">
        <v>2.0</v>
      </c>
      <c r="CN10" s="155"/>
      <c r="CO10" s="156">
        <f t="shared" ref="CO10:CO16" si="22">SUM(CL10:CN10)</f>
        <v>3</v>
      </c>
      <c r="CP10" s="153"/>
      <c r="CQ10" s="154">
        <v>1.0</v>
      </c>
      <c r="CR10" s="154">
        <v>2.0</v>
      </c>
      <c r="CS10" s="155">
        <v>3.0</v>
      </c>
      <c r="CT10" s="156">
        <f t="shared" ref="CT10:CT16" si="23">SUM(CQ10:CS10)</f>
        <v>6</v>
      </c>
      <c r="CU10" s="153">
        <v>1.0</v>
      </c>
      <c r="CV10" s="154">
        <v>1.0</v>
      </c>
      <c r="CW10" s="154">
        <v>2.0</v>
      </c>
      <c r="CX10" s="155">
        <v>3.0</v>
      </c>
      <c r="CY10" s="156">
        <f t="shared" ref="CY10:CY16" si="24">SUM(CV10:CX10)</f>
        <v>6</v>
      </c>
      <c r="CZ10" s="153">
        <v>1.0</v>
      </c>
      <c r="DA10" s="154">
        <v>1.0</v>
      </c>
      <c r="DB10" s="154">
        <v>2.0</v>
      </c>
      <c r="DC10" s="155">
        <v>3.0</v>
      </c>
      <c r="DD10" s="156">
        <f t="shared" ref="DD10:DD16" si="25">SUM(DA10:DC10)</f>
        <v>6</v>
      </c>
      <c r="DE10" s="153"/>
      <c r="DF10" s="154">
        <v>1.0</v>
      </c>
      <c r="DG10" s="154">
        <v>2.0</v>
      </c>
      <c r="DH10" s="155">
        <v>6.0</v>
      </c>
      <c r="DI10" s="156">
        <f t="shared" ref="DI10:DI16" si="26">SUM(DF10:DH10)</f>
        <v>9</v>
      </c>
      <c r="DJ10" s="153"/>
      <c r="DK10" s="154">
        <v>1.0</v>
      </c>
      <c r="DL10" s="154">
        <v>2.0</v>
      </c>
      <c r="DM10" s="155"/>
      <c r="DN10" s="156">
        <f t="shared" ref="DN10:DN16" si="27">SUM(DK10:DM10)</f>
        <v>3</v>
      </c>
      <c r="DO10" s="153"/>
      <c r="DP10" s="154">
        <v>1.0</v>
      </c>
      <c r="DQ10" s="154">
        <v>2.0</v>
      </c>
      <c r="DR10" s="155"/>
      <c r="DS10" s="156">
        <f t="shared" ref="DS10:DS16" si="28">SUM(DP10:DR10)</f>
        <v>3</v>
      </c>
      <c r="DT10" s="153"/>
      <c r="DU10" s="156">
        <f t="shared" ref="DU10:DU16" si="29">SUM(H10,AL10)</f>
        <v>12</v>
      </c>
      <c r="DV10" s="154">
        <f t="shared" ref="DV10:DV16" si="30">SUM(W10,BA10)</f>
        <v>6</v>
      </c>
      <c r="DW10" s="163">
        <f t="shared" ref="DW10:DW16" si="31">DV10/DU10</f>
        <v>0.5</v>
      </c>
      <c r="DX10" s="153"/>
      <c r="DY10" s="156">
        <f t="shared" ref="DY10:DY16" si="32">SUM(M10,AQ10)</f>
        <v>12</v>
      </c>
      <c r="DZ10" s="154">
        <f t="shared" ref="DZ10:DZ16" si="33">SUM(AB10,BF10)</f>
        <v>6</v>
      </c>
      <c r="EA10" s="163">
        <f t="shared" ref="EA10:EA16" si="34">DZ10/DY10</f>
        <v>0.5</v>
      </c>
      <c r="EB10" s="153"/>
      <c r="EC10" s="156">
        <f t="shared" ref="EC10:EC16" si="35">SUM(R10,AV10)</f>
        <v>12</v>
      </c>
      <c r="ED10" s="154">
        <f t="shared" ref="ED10:ED16" si="36">SUM(AG10,BK10)</f>
        <v>6</v>
      </c>
      <c r="EE10" s="163">
        <f t="shared" ref="EE10:EE16" si="37">ED10/EC10</f>
        <v>0.5</v>
      </c>
      <c r="EF10" s="153"/>
      <c r="EG10" s="156">
        <f t="shared" ref="EG10:EG16" si="38">SUM(CB10,DF10)</f>
        <v>2</v>
      </c>
      <c r="EH10" s="154">
        <f t="shared" ref="EH10:EH16" si="39">SUM(CQ10,DU10)</f>
        <v>13</v>
      </c>
      <c r="EI10" s="163">
        <f t="shared" ref="EI10:EI16" si="40">EH10/EG10</f>
        <v>6.5</v>
      </c>
      <c r="EJ10" s="153"/>
      <c r="EK10" s="156">
        <f t="shared" ref="EK10:EK16" si="41">SUM(CG10,DK10)</f>
        <v>2</v>
      </c>
      <c r="EL10" s="154">
        <f t="shared" ref="EL10:EL16" si="42">SUM(CV10,DZ10)</f>
        <v>7</v>
      </c>
      <c r="EM10" s="163">
        <f t="shared" ref="EM10:EM16" si="43">EL10/EK10</f>
        <v>3.5</v>
      </c>
      <c r="EN10" s="153"/>
      <c r="EO10" s="156">
        <f t="shared" ref="EO10:EP10" si="1">SUM(CL10,DP10)</f>
        <v>2</v>
      </c>
      <c r="EP10" s="156">
        <f t="shared" si="1"/>
        <v>4</v>
      </c>
      <c r="EQ10" s="163">
        <f t="shared" ref="EQ10:EQ16" si="45">EP10/EO10</f>
        <v>2</v>
      </c>
      <c r="ER10" s="153"/>
      <c r="ES10" s="156">
        <f t="shared" ref="ES10:ET10" si="2">SUM(DU10,EG10)</f>
        <v>14</v>
      </c>
      <c r="ET10" s="154">
        <f t="shared" si="2"/>
        <v>19</v>
      </c>
      <c r="EU10" s="163">
        <f t="shared" ref="EU10:EU16" si="47">ET10/ES10</f>
        <v>1.357142857</v>
      </c>
      <c r="EV10" s="153"/>
      <c r="EW10" s="156">
        <f t="shared" ref="EW10:EX10" si="3">SUM(DY10,EK10)</f>
        <v>14</v>
      </c>
      <c r="EX10" s="154">
        <f t="shared" si="3"/>
        <v>13</v>
      </c>
      <c r="EY10" s="163">
        <f t="shared" ref="EY10:EY16" si="49">EX10/EW10</f>
        <v>0.9285714286</v>
      </c>
      <c r="EZ10" s="153"/>
      <c r="FA10" s="156">
        <f t="shared" ref="FA10:FB10" si="4">SUM(EC10,EO10)</f>
        <v>14</v>
      </c>
      <c r="FB10" s="154">
        <f t="shared" si="4"/>
        <v>10</v>
      </c>
      <c r="FC10" s="163">
        <f t="shared" ref="FC10:FC16" si="51">FB10/FA10</f>
        <v>0.7142857143</v>
      </c>
      <c r="FD10" s="153"/>
      <c r="FE10" s="4"/>
      <c r="FF10" s="164"/>
      <c r="FG10" s="4"/>
      <c r="FH10" s="20"/>
      <c r="FI10" s="20"/>
      <c r="FJ10" s="4"/>
      <c r="FK10" s="4"/>
      <c r="FL10" s="20"/>
      <c r="FM10" s="20"/>
      <c r="FN10" s="4"/>
      <c r="FO10" s="4"/>
      <c r="FP10" s="4"/>
      <c r="FQ10" s="4"/>
      <c r="FR10" s="165"/>
      <c r="FS10" s="1"/>
      <c r="FT10" s="1"/>
    </row>
    <row r="11" ht="15.75" customHeight="1">
      <c r="A11" s="167"/>
      <c r="B11" s="168"/>
      <c r="C11" s="152"/>
      <c r="D11" s="153"/>
      <c r="E11" s="154"/>
      <c r="F11" s="154"/>
      <c r="G11" s="155"/>
      <c r="H11" s="156">
        <f t="shared" si="5"/>
        <v>0</v>
      </c>
      <c r="I11" s="153"/>
      <c r="J11" s="154"/>
      <c r="K11" s="154"/>
      <c r="L11" s="155"/>
      <c r="M11" s="156">
        <f t="shared" si="6"/>
        <v>0</v>
      </c>
      <c r="N11" s="153"/>
      <c r="O11" s="154"/>
      <c r="P11" s="154"/>
      <c r="Q11" s="155"/>
      <c r="R11" s="156">
        <f t="shared" si="7"/>
        <v>0</v>
      </c>
      <c r="S11" s="153"/>
      <c r="T11" s="154"/>
      <c r="U11" s="154"/>
      <c r="V11" s="155"/>
      <c r="W11" s="156">
        <f t="shared" si="8"/>
        <v>0</v>
      </c>
      <c r="X11" s="153"/>
      <c r="Y11" s="154"/>
      <c r="Z11" s="154"/>
      <c r="AA11" s="155"/>
      <c r="AB11" s="156">
        <f t="shared" si="9"/>
        <v>0</v>
      </c>
      <c r="AC11" s="153"/>
      <c r="AD11" s="154"/>
      <c r="AE11" s="154"/>
      <c r="AF11" s="155"/>
      <c r="AG11" s="156">
        <f t="shared" si="10"/>
        <v>0</v>
      </c>
      <c r="AH11" s="153"/>
      <c r="AI11" s="154"/>
      <c r="AJ11" s="154"/>
      <c r="AK11" s="155"/>
      <c r="AL11" s="156">
        <f t="shared" si="11"/>
        <v>0</v>
      </c>
      <c r="AM11" s="153"/>
      <c r="AN11" s="154"/>
      <c r="AO11" s="154"/>
      <c r="AP11" s="155"/>
      <c r="AQ11" s="156">
        <f t="shared" si="12"/>
        <v>0</v>
      </c>
      <c r="AR11" s="153"/>
      <c r="AS11" s="154"/>
      <c r="AT11" s="154"/>
      <c r="AU11" s="155"/>
      <c r="AV11" s="156">
        <f t="shared" si="13"/>
        <v>0</v>
      </c>
      <c r="AW11" s="153"/>
      <c r="AX11" s="154"/>
      <c r="AY11" s="154"/>
      <c r="AZ11" s="155"/>
      <c r="BA11" s="156">
        <f t="shared" si="14"/>
        <v>0</v>
      </c>
      <c r="BB11" s="153"/>
      <c r="BC11" s="154"/>
      <c r="BD11" s="154"/>
      <c r="BE11" s="155"/>
      <c r="BF11" s="156">
        <f t="shared" si="15"/>
        <v>0</v>
      </c>
      <c r="BG11" s="153"/>
      <c r="BH11" s="154"/>
      <c r="BI11" s="154"/>
      <c r="BJ11" s="155"/>
      <c r="BK11" s="156">
        <f t="shared" si="16"/>
        <v>0</v>
      </c>
      <c r="BL11" s="153"/>
      <c r="BM11" s="154"/>
      <c r="BN11" s="154"/>
      <c r="BO11" s="155"/>
      <c r="BP11" s="156">
        <f t="shared" si="17"/>
        <v>0</v>
      </c>
      <c r="BQ11" s="153"/>
      <c r="BR11" s="154"/>
      <c r="BS11" s="154"/>
      <c r="BT11" s="155"/>
      <c r="BU11" s="156">
        <f t="shared" si="18"/>
        <v>0</v>
      </c>
      <c r="BV11" s="153"/>
      <c r="BW11" s="154"/>
      <c r="BX11" s="154"/>
      <c r="BY11" s="155"/>
      <c r="BZ11" s="156">
        <f t="shared" si="19"/>
        <v>0</v>
      </c>
      <c r="CA11" s="153"/>
      <c r="CB11" s="154"/>
      <c r="CC11" s="154"/>
      <c r="CD11" s="155"/>
      <c r="CE11" s="156">
        <f t="shared" si="20"/>
        <v>0</v>
      </c>
      <c r="CF11" s="153"/>
      <c r="CG11" s="154"/>
      <c r="CH11" s="154"/>
      <c r="CI11" s="155"/>
      <c r="CJ11" s="156">
        <f t="shared" si="21"/>
        <v>0</v>
      </c>
      <c r="CK11" s="153"/>
      <c r="CL11" s="154"/>
      <c r="CM11" s="154"/>
      <c r="CN11" s="155"/>
      <c r="CO11" s="156">
        <f t="shared" si="22"/>
        <v>0</v>
      </c>
      <c r="CP11" s="153"/>
      <c r="CQ11" s="154">
        <v>1.0</v>
      </c>
      <c r="CR11" s="154">
        <v>2.0</v>
      </c>
      <c r="CS11" s="155">
        <v>3.0</v>
      </c>
      <c r="CT11" s="156">
        <f t="shared" si="23"/>
        <v>6</v>
      </c>
      <c r="CU11" s="153"/>
      <c r="CV11" s="154"/>
      <c r="CW11" s="154"/>
      <c r="CX11" s="155"/>
      <c r="CY11" s="156">
        <f t="shared" si="24"/>
        <v>0</v>
      </c>
      <c r="CZ11" s="153"/>
      <c r="DA11" s="154"/>
      <c r="DB11" s="154"/>
      <c r="DC11" s="155"/>
      <c r="DD11" s="156">
        <f t="shared" si="25"/>
        <v>0</v>
      </c>
      <c r="DE11" s="153"/>
      <c r="DF11" s="154">
        <v>1.0</v>
      </c>
      <c r="DG11" s="154">
        <v>2.0</v>
      </c>
      <c r="DH11" s="155">
        <v>6.0</v>
      </c>
      <c r="DI11" s="156">
        <f t="shared" si="26"/>
        <v>9</v>
      </c>
      <c r="DJ11" s="153"/>
      <c r="DK11" s="154"/>
      <c r="DL11" s="154"/>
      <c r="DM11" s="155"/>
      <c r="DN11" s="156">
        <f t="shared" si="27"/>
        <v>0</v>
      </c>
      <c r="DO11" s="153"/>
      <c r="DP11" s="154">
        <v>1.0</v>
      </c>
      <c r="DQ11" s="154">
        <v>2.0</v>
      </c>
      <c r="DR11" s="155"/>
      <c r="DS11" s="156">
        <f t="shared" si="28"/>
        <v>3</v>
      </c>
      <c r="DT11" s="153"/>
      <c r="DU11" s="156">
        <f t="shared" si="29"/>
        <v>0</v>
      </c>
      <c r="DV11" s="154">
        <f t="shared" si="30"/>
        <v>0</v>
      </c>
      <c r="DW11" s="163" t="str">
        <f t="shared" si="31"/>
        <v>#DIV/0!</v>
      </c>
      <c r="DX11" s="153"/>
      <c r="DY11" s="156">
        <f t="shared" si="32"/>
        <v>0</v>
      </c>
      <c r="DZ11" s="154">
        <f t="shared" si="33"/>
        <v>0</v>
      </c>
      <c r="EA11" s="163" t="str">
        <f t="shared" si="34"/>
        <v>#DIV/0!</v>
      </c>
      <c r="EB11" s="153"/>
      <c r="EC11" s="156">
        <f t="shared" si="35"/>
        <v>0</v>
      </c>
      <c r="ED11" s="154">
        <f t="shared" si="36"/>
        <v>0</v>
      </c>
      <c r="EE11" s="163" t="str">
        <f t="shared" si="37"/>
        <v>#DIV/0!</v>
      </c>
      <c r="EF11" s="153"/>
      <c r="EG11" s="156">
        <f t="shared" si="38"/>
        <v>1</v>
      </c>
      <c r="EH11" s="154">
        <f t="shared" si="39"/>
        <v>1</v>
      </c>
      <c r="EI11" s="163">
        <f t="shared" si="40"/>
        <v>1</v>
      </c>
      <c r="EJ11" s="153"/>
      <c r="EK11" s="156">
        <f t="shared" si="41"/>
        <v>0</v>
      </c>
      <c r="EL11" s="154">
        <f t="shared" si="42"/>
        <v>0</v>
      </c>
      <c r="EM11" s="163" t="str">
        <f t="shared" si="43"/>
        <v>#DIV/0!</v>
      </c>
      <c r="EN11" s="153"/>
      <c r="EO11" s="156">
        <f t="shared" ref="EO11:EP11" si="44">SUM(CL11,DP11)</f>
        <v>1</v>
      </c>
      <c r="EP11" s="156">
        <f t="shared" si="44"/>
        <v>2</v>
      </c>
      <c r="EQ11" s="163">
        <f t="shared" si="45"/>
        <v>2</v>
      </c>
      <c r="ER11" s="153"/>
      <c r="ES11" s="156">
        <f t="shared" ref="ES11:ET11" si="46">SUM(DU11,EG11)</f>
        <v>1</v>
      </c>
      <c r="ET11" s="154">
        <f t="shared" si="46"/>
        <v>1</v>
      </c>
      <c r="EU11" s="163">
        <f t="shared" si="47"/>
        <v>1</v>
      </c>
      <c r="EV11" s="153"/>
      <c r="EW11" s="156">
        <f t="shared" ref="EW11:EX11" si="48">SUM(DY11,EK11)</f>
        <v>0</v>
      </c>
      <c r="EX11" s="154">
        <f t="shared" si="48"/>
        <v>0</v>
      </c>
      <c r="EY11" s="163" t="str">
        <f t="shared" si="49"/>
        <v>#DIV/0!</v>
      </c>
      <c r="EZ11" s="153"/>
      <c r="FA11" s="156">
        <f t="shared" ref="FA11:FB11" si="50">SUM(EC11,EO11)</f>
        <v>1</v>
      </c>
      <c r="FB11" s="154">
        <f t="shared" si="50"/>
        <v>2</v>
      </c>
      <c r="FC11" s="163">
        <f t="shared" si="51"/>
        <v>2</v>
      </c>
      <c r="FD11" s="153"/>
      <c r="FE11" s="4"/>
      <c r="FF11" s="164"/>
      <c r="FG11" s="4"/>
      <c r="FH11" s="20"/>
      <c r="FI11" s="20"/>
      <c r="FJ11" s="4"/>
      <c r="FK11" s="4"/>
      <c r="FL11" s="20"/>
      <c r="FM11" s="20"/>
      <c r="FN11" s="4"/>
      <c r="FO11" s="4"/>
      <c r="FP11" s="4"/>
      <c r="FQ11" s="4"/>
      <c r="FR11" s="4"/>
      <c r="FS11" s="1"/>
      <c r="FT11" s="1"/>
    </row>
    <row r="12" ht="15.75" customHeight="1">
      <c r="A12" s="167"/>
      <c r="B12" s="168"/>
      <c r="C12" s="152"/>
      <c r="D12" s="153"/>
      <c r="E12" s="154"/>
      <c r="F12" s="154"/>
      <c r="G12" s="155"/>
      <c r="H12" s="156">
        <f t="shared" si="5"/>
        <v>0</v>
      </c>
      <c r="I12" s="153"/>
      <c r="J12" s="154"/>
      <c r="K12" s="154"/>
      <c r="L12" s="155"/>
      <c r="M12" s="156">
        <f t="shared" si="6"/>
        <v>0</v>
      </c>
      <c r="N12" s="153"/>
      <c r="O12" s="154"/>
      <c r="P12" s="154"/>
      <c r="Q12" s="155"/>
      <c r="R12" s="156">
        <f t="shared" si="7"/>
        <v>0</v>
      </c>
      <c r="S12" s="153"/>
      <c r="T12" s="154"/>
      <c r="U12" s="154"/>
      <c r="V12" s="155"/>
      <c r="W12" s="156">
        <f t="shared" si="8"/>
        <v>0</v>
      </c>
      <c r="X12" s="153"/>
      <c r="Y12" s="154"/>
      <c r="Z12" s="154"/>
      <c r="AA12" s="155"/>
      <c r="AB12" s="156">
        <f t="shared" si="9"/>
        <v>0</v>
      </c>
      <c r="AC12" s="153"/>
      <c r="AD12" s="154"/>
      <c r="AE12" s="154"/>
      <c r="AF12" s="155"/>
      <c r="AG12" s="156">
        <f t="shared" si="10"/>
        <v>0</v>
      </c>
      <c r="AH12" s="153"/>
      <c r="AI12" s="154"/>
      <c r="AJ12" s="154"/>
      <c r="AK12" s="155"/>
      <c r="AL12" s="156">
        <f t="shared" si="11"/>
        <v>0</v>
      </c>
      <c r="AM12" s="153"/>
      <c r="AN12" s="154"/>
      <c r="AO12" s="154"/>
      <c r="AP12" s="155"/>
      <c r="AQ12" s="156">
        <f t="shared" si="12"/>
        <v>0</v>
      </c>
      <c r="AR12" s="153"/>
      <c r="AS12" s="154"/>
      <c r="AT12" s="154"/>
      <c r="AU12" s="155"/>
      <c r="AV12" s="156">
        <f t="shared" si="13"/>
        <v>0</v>
      </c>
      <c r="AW12" s="153"/>
      <c r="AX12" s="154"/>
      <c r="AY12" s="154"/>
      <c r="AZ12" s="155"/>
      <c r="BA12" s="156">
        <f t="shared" si="14"/>
        <v>0</v>
      </c>
      <c r="BB12" s="153"/>
      <c r="BC12" s="154"/>
      <c r="BD12" s="154"/>
      <c r="BE12" s="155"/>
      <c r="BF12" s="156">
        <f t="shared" si="15"/>
        <v>0</v>
      </c>
      <c r="BG12" s="153"/>
      <c r="BH12" s="154"/>
      <c r="BI12" s="154"/>
      <c r="BJ12" s="155"/>
      <c r="BK12" s="156">
        <f t="shared" si="16"/>
        <v>0</v>
      </c>
      <c r="BL12" s="153"/>
      <c r="BM12" s="154"/>
      <c r="BN12" s="154"/>
      <c r="BO12" s="155"/>
      <c r="BP12" s="156">
        <f t="shared" si="17"/>
        <v>0</v>
      </c>
      <c r="BQ12" s="153"/>
      <c r="BR12" s="154"/>
      <c r="BS12" s="154"/>
      <c r="BT12" s="155"/>
      <c r="BU12" s="156">
        <f t="shared" si="18"/>
        <v>0</v>
      </c>
      <c r="BV12" s="153"/>
      <c r="BW12" s="154"/>
      <c r="BX12" s="154"/>
      <c r="BY12" s="155"/>
      <c r="BZ12" s="156">
        <f t="shared" si="19"/>
        <v>0</v>
      </c>
      <c r="CA12" s="153"/>
      <c r="CB12" s="154"/>
      <c r="CC12" s="154"/>
      <c r="CD12" s="155"/>
      <c r="CE12" s="156">
        <f t="shared" si="20"/>
        <v>0</v>
      </c>
      <c r="CF12" s="153"/>
      <c r="CG12" s="154"/>
      <c r="CH12" s="154"/>
      <c r="CI12" s="155"/>
      <c r="CJ12" s="156">
        <f t="shared" si="21"/>
        <v>0</v>
      </c>
      <c r="CK12" s="153"/>
      <c r="CL12" s="154"/>
      <c r="CM12" s="154"/>
      <c r="CN12" s="155"/>
      <c r="CO12" s="156">
        <f t="shared" si="22"/>
        <v>0</v>
      </c>
      <c r="CP12" s="153"/>
      <c r="CQ12" s="154">
        <v>1.0</v>
      </c>
      <c r="CR12" s="154">
        <v>2.0</v>
      </c>
      <c r="CS12" s="155">
        <v>3.0</v>
      </c>
      <c r="CT12" s="156">
        <f t="shared" si="23"/>
        <v>6</v>
      </c>
      <c r="CU12" s="153"/>
      <c r="CV12" s="154"/>
      <c r="CW12" s="154"/>
      <c r="CX12" s="155"/>
      <c r="CY12" s="156">
        <f t="shared" si="24"/>
        <v>0</v>
      </c>
      <c r="CZ12" s="153"/>
      <c r="DA12" s="154"/>
      <c r="DB12" s="154"/>
      <c r="DC12" s="155"/>
      <c r="DD12" s="156">
        <f t="shared" si="25"/>
        <v>0</v>
      </c>
      <c r="DE12" s="153"/>
      <c r="DF12" s="154">
        <v>1.0</v>
      </c>
      <c r="DG12" s="154">
        <v>2.0</v>
      </c>
      <c r="DH12" s="155">
        <v>6.0</v>
      </c>
      <c r="DI12" s="156">
        <f t="shared" si="26"/>
        <v>9</v>
      </c>
      <c r="DJ12" s="153"/>
      <c r="DK12" s="154"/>
      <c r="DL12" s="154"/>
      <c r="DM12" s="155"/>
      <c r="DN12" s="156">
        <f t="shared" si="27"/>
        <v>0</v>
      </c>
      <c r="DO12" s="153"/>
      <c r="DP12" s="154">
        <v>1.0</v>
      </c>
      <c r="DQ12" s="154">
        <v>2.0</v>
      </c>
      <c r="DR12" s="155"/>
      <c r="DS12" s="156">
        <f t="shared" si="28"/>
        <v>3</v>
      </c>
      <c r="DT12" s="153"/>
      <c r="DU12" s="156">
        <f t="shared" si="29"/>
        <v>0</v>
      </c>
      <c r="DV12" s="154">
        <f t="shared" si="30"/>
        <v>0</v>
      </c>
      <c r="DW12" s="163" t="str">
        <f t="shared" si="31"/>
        <v>#DIV/0!</v>
      </c>
      <c r="DX12" s="153"/>
      <c r="DY12" s="156">
        <f t="shared" si="32"/>
        <v>0</v>
      </c>
      <c r="DZ12" s="154">
        <f t="shared" si="33"/>
        <v>0</v>
      </c>
      <c r="EA12" s="163" t="str">
        <f t="shared" si="34"/>
        <v>#DIV/0!</v>
      </c>
      <c r="EB12" s="153"/>
      <c r="EC12" s="156">
        <f t="shared" si="35"/>
        <v>0</v>
      </c>
      <c r="ED12" s="154">
        <f t="shared" si="36"/>
        <v>0</v>
      </c>
      <c r="EE12" s="163" t="str">
        <f t="shared" si="37"/>
        <v>#DIV/0!</v>
      </c>
      <c r="EF12" s="153"/>
      <c r="EG12" s="156">
        <f t="shared" si="38"/>
        <v>1</v>
      </c>
      <c r="EH12" s="154">
        <f t="shared" si="39"/>
        <v>1</v>
      </c>
      <c r="EI12" s="163">
        <f t="shared" si="40"/>
        <v>1</v>
      </c>
      <c r="EJ12" s="153"/>
      <c r="EK12" s="156">
        <f t="shared" si="41"/>
        <v>0</v>
      </c>
      <c r="EL12" s="154">
        <f t="shared" si="42"/>
        <v>0</v>
      </c>
      <c r="EM12" s="163" t="str">
        <f t="shared" si="43"/>
        <v>#DIV/0!</v>
      </c>
      <c r="EN12" s="153"/>
      <c r="EO12" s="156">
        <f t="shared" ref="EO12:EP12" si="52">SUM(CL12,DP12)</f>
        <v>1</v>
      </c>
      <c r="EP12" s="156">
        <f t="shared" si="52"/>
        <v>2</v>
      </c>
      <c r="EQ12" s="163">
        <f t="shared" si="45"/>
        <v>2</v>
      </c>
      <c r="ER12" s="153"/>
      <c r="ES12" s="156">
        <f t="shared" ref="ES12:ET12" si="53">SUM(DU12,EG12)</f>
        <v>1</v>
      </c>
      <c r="ET12" s="154">
        <f t="shared" si="53"/>
        <v>1</v>
      </c>
      <c r="EU12" s="163">
        <f t="shared" si="47"/>
        <v>1</v>
      </c>
      <c r="EV12" s="153"/>
      <c r="EW12" s="156">
        <f t="shared" ref="EW12:EX12" si="54">SUM(DY12,EK12)</f>
        <v>0</v>
      </c>
      <c r="EX12" s="154">
        <f t="shared" si="54"/>
        <v>0</v>
      </c>
      <c r="EY12" s="163" t="str">
        <f t="shared" si="49"/>
        <v>#DIV/0!</v>
      </c>
      <c r="EZ12" s="153"/>
      <c r="FA12" s="156">
        <f t="shared" ref="FA12:FB12" si="55">SUM(EC12,EO12)</f>
        <v>1</v>
      </c>
      <c r="FB12" s="154">
        <f t="shared" si="55"/>
        <v>2</v>
      </c>
      <c r="FC12" s="163">
        <f t="shared" si="51"/>
        <v>2</v>
      </c>
      <c r="FD12" s="153"/>
      <c r="FE12" s="4"/>
      <c r="FF12" s="164"/>
      <c r="FG12" s="4"/>
      <c r="FH12" s="20"/>
      <c r="FI12" s="20"/>
      <c r="FJ12" s="4"/>
      <c r="FK12" s="4"/>
      <c r="FL12" s="20"/>
      <c r="FM12" s="20"/>
      <c r="FN12" s="4"/>
      <c r="FO12" s="4"/>
      <c r="FP12" s="4"/>
      <c r="FQ12" s="4"/>
      <c r="FR12" s="4"/>
      <c r="FS12" s="1"/>
      <c r="FT12" s="1"/>
    </row>
    <row r="13" ht="15.75" customHeight="1">
      <c r="A13" s="169"/>
      <c r="B13" s="168"/>
      <c r="C13" s="152"/>
      <c r="D13" s="153"/>
      <c r="E13" s="154"/>
      <c r="F13" s="154"/>
      <c r="G13" s="154"/>
      <c r="H13" s="156">
        <f t="shared" si="5"/>
        <v>0</v>
      </c>
      <c r="I13" s="153"/>
      <c r="J13" s="154"/>
      <c r="K13" s="154"/>
      <c r="L13" s="154"/>
      <c r="M13" s="156">
        <f t="shared" si="6"/>
        <v>0</v>
      </c>
      <c r="N13" s="153"/>
      <c r="O13" s="154"/>
      <c r="P13" s="154"/>
      <c r="Q13" s="154"/>
      <c r="R13" s="156">
        <f t="shared" si="7"/>
        <v>0</v>
      </c>
      <c r="S13" s="153"/>
      <c r="T13" s="154"/>
      <c r="U13" s="154"/>
      <c r="V13" s="154"/>
      <c r="W13" s="156">
        <f t="shared" si="8"/>
        <v>0</v>
      </c>
      <c r="X13" s="153"/>
      <c r="Y13" s="154"/>
      <c r="Z13" s="154"/>
      <c r="AA13" s="154"/>
      <c r="AB13" s="156">
        <f t="shared" si="9"/>
        <v>0</v>
      </c>
      <c r="AC13" s="153"/>
      <c r="AD13" s="154"/>
      <c r="AE13" s="154"/>
      <c r="AF13" s="154"/>
      <c r="AG13" s="156">
        <f t="shared" si="10"/>
        <v>0</v>
      </c>
      <c r="AH13" s="153"/>
      <c r="AI13" s="154"/>
      <c r="AJ13" s="154"/>
      <c r="AK13" s="154"/>
      <c r="AL13" s="156">
        <f t="shared" si="11"/>
        <v>0</v>
      </c>
      <c r="AM13" s="153"/>
      <c r="AN13" s="154"/>
      <c r="AO13" s="154"/>
      <c r="AP13" s="154"/>
      <c r="AQ13" s="156">
        <f t="shared" si="12"/>
        <v>0</v>
      </c>
      <c r="AR13" s="153"/>
      <c r="AS13" s="154"/>
      <c r="AT13" s="154"/>
      <c r="AU13" s="154"/>
      <c r="AV13" s="156">
        <f t="shared" si="13"/>
        <v>0</v>
      </c>
      <c r="AW13" s="153"/>
      <c r="AX13" s="154"/>
      <c r="AY13" s="154"/>
      <c r="AZ13" s="154"/>
      <c r="BA13" s="156">
        <f t="shared" si="14"/>
        <v>0</v>
      </c>
      <c r="BB13" s="153"/>
      <c r="BC13" s="154"/>
      <c r="BD13" s="154"/>
      <c r="BE13" s="154"/>
      <c r="BF13" s="156">
        <f t="shared" si="15"/>
        <v>0</v>
      </c>
      <c r="BG13" s="153"/>
      <c r="BH13" s="154"/>
      <c r="BI13" s="154"/>
      <c r="BJ13" s="154"/>
      <c r="BK13" s="156">
        <f t="shared" si="16"/>
        <v>0</v>
      </c>
      <c r="BL13" s="153"/>
      <c r="BM13" s="154"/>
      <c r="BN13" s="154"/>
      <c r="BO13" s="154"/>
      <c r="BP13" s="156">
        <f t="shared" si="17"/>
        <v>0</v>
      </c>
      <c r="BQ13" s="153"/>
      <c r="BR13" s="154"/>
      <c r="BS13" s="154"/>
      <c r="BT13" s="154"/>
      <c r="BU13" s="156">
        <f t="shared" si="18"/>
        <v>0</v>
      </c>
      <c r="BV13" s="153"/>
      <c r="BW13" s="154"/>
      <c r="BX13" s="154"/>
      <c r="BY13" s="154"/>
      <c r="BZ13" s="156">
        <f t="shared" si="19"/>
        <v>0</v>
      </c>
      <c r="CA13" s="153"/>
      <c r="CB13" s="154"/>
      <c r="CC13" s="154"/>
      <c r="CD13" s="154"/>
      <c r="CE13" s="156">
        <f t="shared" si="20"/>
        <v>0</v>
      </c>
      <c r="CF13" s="153"/>
      <c r="CG13" s="154"/>
      <c r="CH13" s="154"/>
      <c r="CI13" s="154"/>
      <c r="CJ13" s="156">
        <f t="shared" si="21"/>
        <v>0</v>
      </c>
      <c r="CK13" s="153"/>
      <c r="CL13" s="154"/>
      <c r="CM13" s="154"/>
      <c r="CN13" s="154"/>
      <c r="CO13" s="156">
        <f t="shared" si="22"/>
        <v>0</v>
      </c>
      <c r="CP13" s="153"/>
      <c r="CQ13" s="154">
        <v>1.0</v>
      </c>
      <c r="CR13" s="154">
        <v>2.0</v>
      </c>
      <c r="CS13" s="155">
        <v>3.0</v>
      </c>
      <c r="CT13" s="156">
        <f t="shared" si="23"/>
        <v>6</v>
      </c>
      <c r="CU13" s="153"/>
      <c r="CV13" s="154"/>
      <c r="CW13" s="154"/>
      <c r="CX13" s="154"/>
      <c r="CY13" s="156">
        <f t="shared" si="24"/>
        <v>0</v>
      </c>
      <c r="CZ13" s="153"/>
      <c r="DA13" s="154"/>
      <c r="DB13" s="154"/>
      <c r="DC13" s="154"/>
      <c r="DD13" s="156">
        <f t="shared" si="25"/>
        <v>0</v>
      </c>
      <c r="DE13" s="153"/>
      <c r="DF13" s="154">
        <v>1.0</v>
      </c>
      <c r="DG13" s="154">
        <v>2.0</v>
      </c>
      <c r="DH13" s="155">
        <v>6.0</v>
      </c>
      <c r="DI13" s="156">
        <f t="shared" si="26"/>
        <v>9</v>
      </c>
      <c r="DJ13" s="153"/>
      <c r="DK13" s="154"/>
      <c r="DL13" s="154"/>
      <c r="DM13" s="154"/>
      <c r="DN13" s="156">
        <f t="shared" si="27"/>
        <v>0</v>
      </c>
      <c r="DO13" s="153"/>
      <c r="DP13" s="154">
        <v>1.0</v>
      </c>
      <c r="DQ13" s="154">
        <v>2.0</v>
      </c>
      <c r="DR13" s="154"/>
      <c r="DS13" s="156">
        <f t="shared" si="28"/>
        <v>3</v>
      </c>
      <c r="DT13" s="153"/>
      <c r="DU13" s="156">
        <f t="shared" si="29"/>
        <v>0</v>
      </c>
      <c r="DV13" s="154">
        <f t="shared" si="30"/>
        <v>0</v>
      </c>
      <c r="DW13" s="163" t="str">
        <f t="shared" si="31"/>
        <v>#DIV/0!</v>
      </c>
      <c r="DX13" s="153"/>
      <c r="DY13" s="156">
        <f t="shared" si="32"/>
        <v>0</v>
      </c>
      <c r="DZ13" s="154">
        <f t="shared" si="33"/>
        <v>0</v>
      </c>
      <c r="EA13" s="163" t="str">
        <f t="shared" si="34"/>
        <v>#DIV/0!</v>
      </c>
      <c r="EB13" s="153"/>
      <c r="EC13" s="156">
        <f t="shared" si="35"/>
        <v>0</v>
      </c>
      <c r="ED13" s="154">
        <f t="shared" si="36"/>
        <v>0</v>
      </c>
      <c r="EE13" s="163" t="str">
        <f t="shared" si="37"/>
        <v>#DIV/0!</v>
      </c>
      <c r="EF13" s="153"/>
      <c r="EG13" s="156">
        <f t="shared" si="38"/>
        <v>1</v>
      </c>
      <c r="EH13" s="154">
        <f t="shared" si="39"/>
        <v>1</v>
      </c>
      <c r="EI13" s="163">
        <f t="shared" si="40"/>
        <v>1</v>
      </c>
      <c r="EJ13" s="153"/>
      <c r="EK13" s="156">
        <f t="shared" si="41"/>
        <v>0</v>
      </c>
      <c r="EL13" s="154">
        <f t="shared" si="42"/>
        <v>0</v>
      </c>
      <c r="EM13" s="163" t="str">
        <f t="shared" si="43"/>
        <v>#DIV/0!</v>
      </c>
      <c r="EN13" s="153"/>
      <c r="EO13" s="156">
        <f t="shared" ref="EO13:EP13" si="56">SUM(CL13,DP13)</f>
        <v>1</v>
      </c>
      <c r="EP13" s="156">
        <f t="shared" si="56"/>
        <v>2</v>
      </c>
      <c r="EQ13" s="163">
        <f t="shared" si="45"/>
        <v>2</v>
      </c>
      <c r="ER13" s="153"/>
      <c r="ES13" s="156">
        <f t="shared" ref="ES13:ET13" si="57">SUM(DU13,EG13)</f>
        <v>1</v>
      </c>
      <c r="ET13" s="154">
        <f t="shared" si="57"/>
        <v>1</v>
      </c>
      <c r="EU13" s="163">
        <f t="shared" si="47"/>
        <v>1</v>
      </c>
      <c r="EV13" s="153"/>
      <c r="EW13" s="156">
        <f t="shared" ref="EW13:EX13" si="58">SUM(DY13,EK13)</f>
        <v>0</v>
      </c>
      <c r="EX13" s="154">
        <f t="shared" si="58"/>
        <v>0</v>
      </c>
      <c r="EY13" s="163" t="str">
        <f t="shared" si="49"/>
        <v>#DIV/0!</v>
      </c>
      <c r="EZ13" s="153"/>
      <c r="FA13" s="156">
        <f t="shared" ref="FA13:FB13" si="59">SUM(EC13,EO13)</f>
        <v>1</v>
      </c>
      <c r="FB13" s="154">
        <f t="shared" si="59"/>
        <v>2</v>
      </c>
      <c r="FC13" s="163">
        <f t="shared" si="51"/>
        <v>2</v>
      </c>
      <c r="FD13" s="153"/>
      <c r="FE13" s="4"/>
      <c r="FF13" s="164"/>
      <c r="FG13" s="4"/>
      <c r="FH13" s="20"/>
      <c r="FI13" s="20"/>
      <c r="FJ13" s="4"/>
      <c r="FK13" s="4"/>
      <c r="FL13" s="20"/>
      <c r="FM13" s="20"/>
      <c r="FN13" s="4"/>
      <c r="FO13" s="4"/>
      <c r="FP13" s="4"/>
      <c r="FQ13" s="4"/>
      <c r="FR13" s="4"/>
      <c r="FS13" s="1"/>
      <c r="FT13" s="1"/>
    </row>
    <row r="14" ht="15.75" customHeight="1">
      <c r="A14" s="167"/>
      <c r="B14" s="168"/>
      <c r="C14" s="152"/>
      <c r="D14" s="153"/>
      <c r="E14" s="154"/>
      <c r="F14" s="154"/>
      <c r="G14" s="154"/>
      <c r="H14" s="156">
        <f t="shared" si="5"/>
        <v>0</v>
      </c>
      <c r="I14" s="153"/>
      <c r="J14" s="154"/>
      <c r="K14" s="154"/>
      <c r="L14" s="154"/>
      <c r="M14" s="156">
        <f t="shared" si="6"/>
        <v>0</v>
      </c>
      <c r="N14" s="153"/>
      <c r="O14" s="154"/>
      <c r="P14" s="154"/>
      <c r="Q14" s="154"/>
      <c r="R14" s="156">
        <f t="shared" si="7"/>
        <v>0</v>
      </c>
      <c r="S14" s="153"/>
      <c r="T14" s="154"/>
      <c r="U14" s="154"/>
      <c r="V14" s="154"/>
      <c r="W14" s="156">
        <f t="shared" si="8"/>
        <v>0</v>
      </c>
      <c r="X14" s="153"/>
      <c r="Y14" s="154"/>
      <c r="Z14" s="154"/>
      <c r="AA14" s="154"/>
      <c r="AB14" s="156">
        <f t="shared" si="9"/>
        <v>0</v>
      </c>
      <c r="AC14" s="153"/>
      <c r="AD14" s="154"/>
      <c r="AE14" s="154"/>
      <c r="AF14" s="154"/>
      <c r="AG14" s="156">
        <f t="shared" si="10"/>
        <v>0</v>
      </c>
      <c r="AH14" s="153"/>
      <c r="AI14" s="154"/>
      <c r="AJ14" s="154"/>
      <c r="AK14" s="154"/>
      <c r="AL14" s="156">
        <f t="shared" si="11"/>
        <v>0</v>
      </c>
      <c r="AM14" s="153"/>
      <c r="AN14" s="154"/>
      <c r="AO14" s="154"/>
      <c r="AP14" s="154"/>
      <c r="AQ14" s="156">
        <f t="shared" si="12"/>
        <v>0</v>
      </c>
      <c r="AR14" s="153"/>
      <c r="AS14" s="154"/>
      <c r="AT14" s="154"/>
      <c r="AU14" s="154"/>
      <c r="AV14" s="156">
        <f t="shared" si="13"/>
        <v>0</v>
      </c>
      <c r="AW14" s="153"/>
      <c r="AX14" s="154"/>
      <c r="AY14" s="154"/>
      <c r="AZ14" s="154"/>
      <c r="BA14" s="156">
        <f t="shared" si="14"/>
        <v>0</v>
      </c>
      <c r="BB14" s="153"/>
      <c r="BC14" s="154"/>
      <c r="BD14" s="154"/>
      <c r="BE14" s="154"/>
      <c r="BF14" s="156">
        <f t="shared" si="15"/>
        <v>0</v>
      </c>
      <c r="BG14" s="153"/>
      <c r="BH14" s="154"/>
      <c r="BI14" s="154"/>
      <c r="BJ14" s="154"/>
      <c r="BK14" s="156">
        <f t="shared" si="16"/>
        <v>0</v>
      </c>
      <c r="BL14" s="153"/>
      <c r="BM14" s="154"/>
      <c r="BN14" s="154"/>
      <c r="BO14" s="154"/>
      <c r="BP14" s="156">
        <f t="shared" si="17"/>
        <v>0</v>
      </c>
      <c r="BQ14" s="153"/>
      <c r="BR14" s="154"/>
      <c r="BS14" s="154"/>
      <c r="BT14" s="154"/>
      <c r="BU14" s="156">
        <f t="shared" si="18"/>
        <v>0</v>
      </c>
      <c r="BV14" s="153"/>
      <c r="BW14" s="154"/>
      <c r="BX14" s="154"/>
      <c r="BY14" s="154"/>
      <c r="BZ14" s="156">
        <f t="shared" si="19"/>
        <v>0</v>
      </c>
      <c r="CA14" s="153"/>
      <c r="CB14" s="154"/>
      <c r="CC14" s="154"/>
      <c r="CD14" s="154"/>
      <c r="CE14" s="156">
        <f t="shared" si="20"/>
        <v>0</v>
      </c>
      <c r="CF14" s="153"/>
      <c r="CG14" s="154"/>
      <c r="CH14" s="154"/>
      <c r="CI14" s="154"/>
      <c r="CJ14" s="156">
        <f t="shared" si="21"/>
        <v>0</v>
      </c>
      <c r="CK14" s="153"/>
      <c r="CL14" s="154"/>
      <c r="CM14" s="154"/>
      <c r="CN14" s="154"/>
      <c r="CO14" s="156">
        <f t="shared" si="22"/>
        <v>0</v>
      </c>
      <c r="CP14" s="153"/>
      <c r="CQ14" s="154">
        <v>1.0</v>
      </c>
      <c r="CR14" s="154">
        <v>2.0</v>
      </c>
      <c r="CS14" s="155">
        <v>3.0</v>
      </c>
      <c r="CT14" s="156">
        <f t="shared" si="23"/>
        <v>6</v>
      </c>
      <c r="CU14" s="153"/>
      <c r="CV14" s="154"/>
      <c r="CW14" s="154"/>
      <c r="CX14" s="154"/>
      <c r="CY14" s="156">
        <f t="shared" si="24"/>
        <v>0</v>
      </c>
      <c r="CZ14" s="153"/>
      <c r="DA14" s="154"/>
      <c r="DB14" s="154"/>
      <c r="DC14" s="154"/>
      <c r="DD14" s="156">
        <f t="shared" si="25"/>
        <v>0</v>
      </c>
      <c r="DE14" s="153"/>
      <c r="DF14" s="154">
        <v>1.0</v>
      </c>
      <c r="DG14" s="154">
        <v>2.0</v>
      </c>
      <c r="DH14" s="155">
        <v>6.0</v>
      </c>
      <c r="DI14" s="156">
        <f t="shared" si="26"/>
        <v>9</v>
      </c>
      <c r="DJ14" s="153"/>
      <c r="DK14" s="154"/>
      <c r="DL14" s="154"/>
      <c r="DM14" s="154"/>
      <c r="DN14" s="156">
        <f t="shared" si="27"/>
        <v>0</v>
      </c>
      <c r="DO14" s="153"/>
      <c r="DP14" s="154">
        <v>1.0</v>
      </c>
      <c r="DQ14" s="154">
        <v>2.0</v>
      </c>
      <c r="DR14" s="154"/>
      <c r="DS14" s="156">
        <f t="shared" si="28"/>
        <v>3</v>
      </c>
      <c r="DT14" s="153"/>
      <c r="DU14" s="156">
        <f t="shared" si="29"/>
        <v>0</v>
      </c>
      <c r="DV14" s="154">
        <f t="shared" si="30"/>
        <v>0</v>
      </c>
      <c r="DW14" s="163" t="str">
        <f t="shared" si="31"/>
        <v>#DIV/0!</v>
      </c>
      <c r="DX14" s="153"/>
      <c r="DY14" s="156">
        <f t="shared" si="32"/>
        <v>0</v>
      </c>
      <c r="DZ14" s="154">
        <f t="shared" si="33"/>
        <v>0</v>
      </c>
      <c r="EA14" s="163" t="str">
        <f t="shared" si="34"/>
        <v>#DIV/0!</v>
      </c>
      <c r="EB14" s="153"/>
      <c r="EC14" s="156">
        <f t="shared" si="35"/>
        <v>0</v>
      </c>
      <c r="ED14" s="154">
        <f t="shared" si="36"/>
        <v>0</v>
      </c>
      <c r="EE14" s="163" t="str">
        <f t="shared" si="37"/>
        <v>#DIV/0!</v>
      </c>
      <c r="EF14" s="153"/>
      <c r="EG14" s="156">
        <f t="shared" si="38"/>
        <v>1</v>
      </c>
      <c r="EH14" s="154">
        <f t="shared" si="39"/>
        <v>1</v>
      </c>
      <c r="EI14" s="163">
        <f t="shared" si="40"/>
        <v>1</v>
      </c>
      <c r="EJ14" s="153"/>
      <c r="EK14" s="156">
        <f t="shared" si="41"/>
        <v>0</v>
      </c>
      <c r="EL14" s="154">
        <f t="shared" si="42"/>
        <v>0</v>
      </c>
      <c r="EM14" s="163" t="str">
        <f t="shared" si="43"/>
        <v>#DIV/0!</v>
      </c>
      <c r="EN14" s="153"/>
      <c r="EO14" s="156">
        <f t="shared" ref="EO14:EP14" si="60">SUM(CL14,DP14)</f>
        <v>1</v>
      </c>
      <c r="EP14" s="156">
        <f t="shared" si="60"/>
        <v>2</v>
      </c>
      <c r="EQ14" s="163">
        <f t="shared" si="45"/>
        <v>2</v>
      </c>
      <c r="ER14" s="153"/>
      <c r="ES14" s="156">
        <f t="shared" ref="ES14:ET14" si="61">SUM(DU14,EG14)</f>
        <v>1</v>
      </c>
      <c r="ET14" s="154">
        <f t="shared" si="61"/>
        <v>1</v>
      </c>
      <c r="EU14" s="163">
        <f t="shared" si="47"/>
        <v>1</v>
      </c>
      <c r="EV14" s="153"/>
      <c r="EW14" s="156">
        <f t="shared" ref="EW14:EX14" si="62">SUM(DY14,EK14)</f>
        <v>0</v>
      </c>
      <c r="EX14" s="154">
        <f t="shared" si="62"/>
        <v>0</v>
      </c>
      <c r="EY14" s="163" t="str">
        <f t="shared" si="49"/>
        <v>#DIV/0!</v>
      </c>
      <c r="EZ14" s="153"/>
      <c r="FA14" s="156">
        <f t="shared" ref="FA14:FB14" si="63">SUM(EC14,EO14)</f>
        <v>1</v>
      </c>
      <c r="FB14" s="154">
        <f t="shared" si="63"/>
        <v>2</v>
      </c>
      <c r="FC14" s="163">
        <f t="shared" si="51"/>
        <v>2</v>
      </c>
      <c r="FD14" s="153"/>
      <c r="FE14" s="4"/>
      <c r="FF14" s="164"/>
      <c r="FG14" s="4"/>
      <c r="FH14" s="20"/>
      <c r="FI14" s="20"/>
      <c r="FJ14" s="4"/>
      <c r="FK14" s="4"/>
      <c r="FL14" s="20"/>
      <c r="FM14" s="20"/>
      <c r="FN14" s="4"/>
      <c r="FO14" s="4"/>
      <c r="FP14" s="4"/>
      <c r="FQ14" s="4"/>
      <c r="FR14" s="4"/>
      <c r="FS14" s="1"/>
      <c r="FT14" s="1"/>
    </row>
    <row r="15" ht="15.75" customHeight="1">
      <c r="A15" s="167"/>
      <c r="B15" s="168"/>
      <c r="C15" s="152"/>
      <c r="D15" s="153"/>
      <c r="E15" s="154"/>
      <c r="F15" s="154"/>
      <c r="G15" s="154"/>
      <c r="H15" s="156">
        <f t="shared" si="5"/>
        <v>0</v>
      </c>
      <c r="I15" s="153"/>
      <c r="J15" s="154"/>
      <c r="K15" s="154"/>
      <c r="L15" s="154"/>
      <c r="M15" s="156">
        <f t="shared" si="6"/>
        <v>0</v>
      </c>
      <c r="N15" s="153"/>
      <c r="O15" s="154"/>
      <c r="P15" s="154"/>
      <c r="Q15" s="154"/>
      <c r="R15" s="156">
        <f t="shared" si="7"/>
        <v>0</v>
      </c>
      <c r="S15" s="153"/>
      <c r="T15" s="154"/>
      <c r="U15" s="154"/>
      <c r="V15" s="154"/>
      <c r="W15" s="156">
        <f t="shared" si="8"/>
        <v>0</v>
      </c>
      <c r="X15" s="153"/>
      <c r="Y15" s="154"/>
      <c r="Z15" s="154"/>
      <c r="AA15" s="154"/>
      <c r="AB15" s="156">
        <f t="shared" si="9"/>
        <v>0</v>
      </c>
      <c r="AC15" s="153"/>
      <c r="AD15" s="154"/>
      <c r="AE15" s="154"/>
      <c r="AF15" s="154"/>
      <c r="AG15" s="156">
        <f t="shared" si="10"/>
        <v>0</v>
      </c>
      <c r="AH15" s="153"/>
      <c r="AI15" s="154"/>
      <c r="AJ15" s="154"/>
      <c r="AK15" s="154"/>
      <c r="AL15" s="156">
        <f t="shared" si="11"/>
        <v>0</v>
      </c>
      <c r="AM15" s="153"/>
      <c r="AN15" s="154"/>
      <c r="AO15" s="154"/>
      <c r="AP15" s="154"/>
      <c r="AQ15" s="156">
        <f t="shared" si="12"/>
        <v>0</v>
      </c>
      <c r="AR15" s="153"/>
      <c r="AS15" s="154"/>
      <c r="AT15" s="154"/>
      <c r="AU15" s="154"/>
      <c r="AV15" s="156">
        <f t="shared" si="13"/>
        <v>0</v>
      </c>
      <c r="AW15" s="153"/>
      <c r="AX15" s="154"/>
      <c r="AY15" s="154"/>
      <c r="AZ15" s="154"/>
      <c r="BA15" s="156">
        <f t="shared" si="14"/>
        <v>0</v>
      </c>
      <c r="BB15" s="153"/>
      <c r="BC15" s="154"/>
      <c r="BD15" s="154"/>
      <c r="BE15" s="154"/>
      <c r="BF15" s="156">
        <f t="shared" si="15"/>
        <v>0</v>
      </c>
      <c r="BG15" s="153"/>
      <c r="BH15" s="154"/>
      <c r="BI15" s="154"/>
      <c r="BJ15" s="154"/>
      <c r="BK15" s="156">
        <f t="shared" si="16"/>
        <v>0</v>
      </c>
      <c r="BL15" s="153"/>
      <c r="BM15" s="154"/>
      <c r="BN15" s="154"/>
      <c r="BO15" s="154"/>
      <c r="BP15" s="156">
        <f t="shared" si="17"/>
        <v>0</v>
      </c>
      <c r="BQ15" s="153"/>
      <c r="BR15" s="154"/>
      <c r="BS15" s="154"/>
      <c r="BT15" s="154"/>
      <c r="BU15" s="156">
        <f t="shared" si="18"/>
        <v>0</v>
      </c>
      <c r="BV15" s="153"/>
      <c r="BW15" s="154"/>
      <c r="BX15" s="154"/>
      <c r="BY15" s="154"/>
      <c r="BZ15" s="156">
        <f t="shared" si="19"/>
        <v>0</v>
      </c>
      <c r="CA15" s="153"/>
      <c r="CB15" s="154"/>
      <c r="CC15" s="154"/>
      <c r="CD15" s="154"/>
      <c r="CE15" s="156">
        <f t="shared" si="20"/>
        <v>0</v>
      </c>
      <c r="CF15" s="153"/>
      <c r="CG15" s="154"/>
      <c r="CH15" s="154"/>
      <c r="CI15" s="154"/>
      <c r="CJ15" s="156">
        <f t="shared" si="21"/>
        <v>0</v>
      </c>
      <c r="CK15" s="153"/>
      <c r="CL15" s="154"/>
      <c r="CM15" s="154"/>
      <c r="CN15" s="154"/>
      <c r="CO15" s="156">
        <f t="shared" si="22"/>
        <v>0</v>
      </c>
      <c r="CP15" s="153"/>
      <c r="CQ15" s="154">
        <v>1.0</v>
      </c>
      <c r="CR15" s="154">
        <v>2.0</v>
      </c>
      <c r="CS15" s="155">
        <v>3.0</v>
      </c>
      <c r="CT15" s="156">
        <f t="shared" si="23"/>
        <v>6</v>
      </c>
      <c r="CU15" s="153"/>
      <c r="CV15" s="154"/>
      <c r="CW15" s="154"/>
      <c r="CX15" s="154"/>
      <c r="CY15" s="156">
        <f t="shared" si="24"/>
        <v>0</v>
      </c>
      <c r="CZ15" s="153"/>
      <c r="DA15" s="154"/>
      <c r="DB15" s="154"/>
      <c r="DC15" s="154"/>
      <c r="DD15" s="156">
        <f t="shared" si="25"/>
        <v>0</v>
      </c>
      <c r="DE15" s="153"/>
      <c r="DF15" s="154">
        <v>1.0</v>
      </c>
      <c r="DG15" s="154">
        <v>2.0</v>
      </c>
      <c r="DH15" s="155">
        <v>6.0</v>
      </c>
      <c r="DI15" s="156">
        <f t="shared" si="26"/>
        <v>9</v>
      </c>
      <c r="DJ15" s="153"/>
      <c r="DK15" s="154"/>
      <c r="DL15" s="154"/>
      <c r="DM15" s="154"/>
      <c r="DN15" s="156">
        <f t="shared" si="27"/>
        <v>0</v>
      </c>
      <c r="DO15" s="153"/>
      <c r="DP15" s="154">
        <v>1.0</v>
      </c>
      <c r="DQ15" s="154">
        <v>2.0</v>
      </c>
      <c r="DR15" s="154"/>
      <c r="DS15" s="156">
        <f t="shared" si="28"/>
        <v>3</v>
      </c>
      <c r="DT15" s="153"/>
      <c r="DU15" s="156">
        <f t="shared" si="29"/>
        <v>0</v>
      </c>
      <c r="DV15" s="154">
        <f t="shared" si="30"/>
        <v>0</v>
      </c>
      <c r="DW15" s="163" t="str">
        <f t="shared" si="31"/>
        <v>#DIV/0!</v>
      </c>
      <c r="DX15" s="153"/>
      <c r="DY15" s="156">
        <f t="shared" si="32"/>
        <v>0</v>
      </c>
      <c r="DZ15" s="154">
        <f t="shared" si="33"/>
        <v>0</v>
      </c>
      <c r="EA15" s="163" t="str">
        <f t="shared" si="34"/>
        <v>#DIV/0!</v>
      </c>
      <c r="EB15" s="153"/>
      <c r="EC15" s="156">
        <f t="shared" si="35"/>
        <v>0</v>
      </c>
      <c r="ED15" s="154">
        <f t="shared" si="36"/>
        <v>0</v>
      </c>
      <c r="EE15" s="163" t="str">
        <f t="shared" si="37"/>
        <v>#DIV/0!</v>
      </c>
      <c r="EF15" s="153"/>
      <c r="EG15" s="156">
        <f t="shared" si="38"/>
        <v>1</v>
      </c>
      <c r="EH15" s="154">
        <f t="shared" si="39"/>
        <v>1</v>
      </c>
      <c r="EI15" s="163">
        <f t="shared" si="40"/>
        <v>1</v>
      </c>
      <c r="EJ15" s="153"/>
      <c r="EK15" s="156">
        <f t="shared" si="41"/>
        <v>0</v>
      </c>
      <c r="EL15" s="154">
        <f t="shared" si="42"/>
        <v>0</v>
      </c>
      <c r="EM15" s="163" t="str">
        <f t="shared" si="43"/>
        <v>#DIV/0!</v>
      </c>
      <c r="EN15" s="153"/>
      <c r="EO15" s="156">
        <f t="shared" ref="EO15:EP15" si="64">SUM(CL15,DP15)</f>
        <v>1</v>
      </c>
      <c r="EP15" s="156">
        <f t="shared" si="64"/>
        <v>2</v>
      </c>
      <c r="EQ15" s="163">
        <f t="shared" si="45"/>
        <v>2</v>
      </c>
      <c r="ER15" s="153"/>
      <c r="ES15" s="156">
        <f t="shared" ref="ES15:ET15" si="65">SUM(DU15,EG15)</f>
        <v>1</v>
      </c>
      <c r="ET15" s="154">
        <f t="shared" si="65"/>
        <v>1</v>
      </c>
      <c r="EU15" s="163">
        <f t="shared" si="47"/>
        <v>1</v>
      </c>
      <c r="EV15" s="153"/>
      <c r="EW15" s="156">
        <f t="shared" ref="EW15:EX15" si="66">SUM(DY15,EK15)</f>
        <v>0</v>
      </c>
      <c r="EX15" s="154">
        <f t="shared" si="66"/>
        <v>0</v>
      </c>
      <c r="EY15" s="163" t="str">
        <f t="shared" si="49"/>
        <v>#DIV/0!</v>
      </c>
      <c r="EZ15" s="153"/>
      <c r="FA15" s="156">
        <f t="shared" ref="FA15:FB15" si="67">SUM(EC15,EO15)</f>
        <v>1</v>
      </c>
      <c r="FB15" s="154">
        <f t="shared" si="67"/>
        <v>2</v>
      </c>
      <c r="FC15" s="163">
        <f t="shared" si="51"/>
        <v>2</v>
      </c>
      <c r="FD15" s="153"/>
      <c r="FE15" s="4"/>
      <c r="FF15" s="164"/>
      <c r="FG15" s="4"/>
      <c r="FH15" s="20"/>
      <c r="FI15" s="20"/>
      <c r="FJ15" s="4"/>
      <c r="FK15" s="4"/>
      <c r="FL15" s="20"/>
      <c r="FM15" s="20"/>
      <c r="FN15" s="4"/>
      <c r="FO15" s="4"/>
      <c r="FP15" s="4"/>
      <c r="FQ15" s="4"/>
      <c r="FR15" s="4"/>
      <c r="FS15" s="1"/>
      <c r="FT15" s="1"/>
    </row>
    <row r="16" ht="15.75" customHeight="1">
      <c r="A16" s="167"/>
      <c r="B16" s="168"/>
      <c r="C16" s="152"/>
      <c r="D16" s="153"/>
      <c r="E16" s="154"/>
      <c r="F16" s="154"/>
      <c r="G16" s="154"/>
      <c r="H16" s="156">
        <f t="shared" si="5"/>
        <v>0</v>
      </c>
      <c r="I16" s="153"/>
      <c r="J16" s="154"/>
      <c r="K16" s="154"/>
      <c r="L16" s="154"/>
      <c r="M16" s="156">
        <f t="shared" si="6"/>
        <v>0</v>
      </c>
      <c r="N16" s="153"/>
      <c r="O16" s="154"/>
      <c r="P16" s="154"/>
      <c r="Q16" s="154"/>
      <c r="R16" s="156">
        <f t="shared" si="7"/>
        <v>0</v>
      </c>
      <c r="S16" s="153"/>
      <c r="T16" s="154"/>
      <c r="U16" s="154"/>
      <c r="V16" s="154"/>
      <c r="W16" s="156">
        <f t="shared" si="8"/>
        <v>0</v>
      </c>
      <c r="X16" s="153"/>
      <c r="Y16" s="154"/>
      <c r="Z16" s="154"/>
      <c r="AA16" s="154"/>
      <c r="AB16" s="156">
        <f t="shared" si="9"/>
        <v>0</v>
      </c>
      <c r="AC16" s="153"/>
      <c r="AD16" s="154"/>
      <c r="AE16" s="154"/>
      <c r="AF16" s="154"/>
      <c r="AG16" s="156">
        <f t="shared" si="10"/>
        <v>0</v>
      </c>
      <c r="AH16" s="153"/>
      <c r="AI16" s="154"/>
      <c r="AJ16" s="154"/>
      <c r="AK16" s="154"/>
      <c r="AL16" s="156">
        <f t="shared" si="11"/>
        <v>0</v>
      </c>
      <c r="AM16" s="153"/>
      <c r="AN16" s="154"/>
      <c r="AO16" s="154"/>
      <c r="AP16" s="154"/>
      <c r="AQ16" s="156">
        <f t="shared" si="12"/>
        <v>0</v>
      </c>
      <c r="AR16" s="153"/>
      <c r="AS16" s="154"/>
      <c r="AT16" s="154"/>
      <c r="AU16" s="154"/>
      <c r="AV16" s="156">
        <f t="shared" si="13"/>
        <v>0</v>
      </c>
      <c r="AW16" s="153"/>
      <c r="AX16" s="154"/>
      <c r="AY16" s="154"/>
      <c r="AZ16" s="154"/>
      <c r="BA16" s="156">
        <f t="shared" si="14"/>
        <v>0</v>
      </c>
      <c r="BB16" s="153"/>
      <c r="BC16" s="154"/>
      <c r="BD16" s="154"/>
      <c r="BE16" s="154"/>
      <c r="BF16" s="156">
        <f t="shared" si="15"/>
        <v>0</v>
      </c>
      <c r="BG16" s="153"/>
      <c r="BH16" s="154"/>
      <c r="BI16" s="154"/>
      <c r="BJ16" s="154"/>
      <c r="BK16" s="156">
        <f t="shared" si="16"/>
        <v>0</v>
      </c>
      <c r="BL16" s="153"/>
      <c r="BM16" s="154"/>
      <c r="BN16" s="154"/>
      <c r="BO16" s="154"/>
      <c r="BP16" s="156">
        <f t="shared" si="17"/>
        <v>0</v>
      </c>
      <c r="BQ16" s="153"/>
      <c r="BR16" s="154"/>
      <c r="BS16" s="154"/>
      <c r="BT16" s="154"/>
      <c r="BU16" s="156">
        <f t="shared" si="18"/>
        <v>0</v>
      </c>
      <c r="BV16" s="153"/>
      <c r="BW16" s="154"/>
      <c r="BX16" s="154"/>
      <c r="BY16" s="154"/>
      <c r="BZ16" s="156">
        <f t="shared" si="19"/>
        <v>0</v>
      </c>
      <c r="CA16" s="153"/>
      <c r="CB16" s="154"/>
      <c r="CC16" s="154"/>
      <c r="CD16" s="154"/>
      <c r="CE16" s="156">
        <f t="shared" si="20"/>
        <v>0</v>
      </c>
      <c r="CF16" s="153"/>
      <c r="CG16" s="154"/>
      <c r="CH16" s="154"/>
      <c r="CI16" s="154"/>
      <c r="CJ16" s="156">
        <f t="shared" si="21"/>
        <v>0</v>
      </c>
      <c r="CK16" s="153"/>
      <c r="CL16" s="154"/>
      <c r="CM16" s="154"/>
      <c r="CN16" s="154"/>
      <c r="CO16" s="156">
        <f t="shared" si="22"/>
        <v>0</v>
      </c>
      <c r="CP16" s="153"/>
      <c r="CQ16" s="154">
        <v>1.0</v>
      </c>
      <c r="CR16" s="154">
        <v>2.0</v>
      </c>
      <c r="CS16" s="155">
        <v>3.0</v>
      </c>
      <c r="CT16" s="156">
        <f t="shared" si="23"/>
        <v>6</v>
      </c>
      <c r="CU16" s="153"/>
      <c r="CV16" s="154"/>
      <c r="CW16" s="154"/>
      <c r="CX16" s="154"/>
      <c r="CY16" s="156">
        <f t="shared" si="24"/>
        <v>0</v>
      </c>
      <c r="CZ16" s="153"/>
      <c r="DA16" s="154"/>
      <c r="DB16" s="154"/>
      <c r="DC16" s="154"/>
      <c r="DD16" s="156">
        <f t="shared" si="25"/>
        <v>0</v>
      </c>
      <c r="DE16" s="153"/>
      <c r="DF16" s="154">
        <v>1.0</v>
      </c>
      <c r="DG16" s="154">
        <v>2.0</v>
      </c>
      <c r="DH16" s="155">
        <v>6.0</v>
      </c>
      <c r="DI16" s="156">
        <f t="shared" si="26"/>
        <v>9</v>
      </c>
      <c r="DJ16" s="153"/>
      <c r="DK16" s="154"/>
      <c r="DL16" s="154"/>
      <c r="DM16" s="154"/>
      <c r="DN16" s="156">
        <f t="shared" si="27"/>
        <v>0</v>
      </c>
      <c r="DO16" s="153"/>
      <c r="DP16" s="154">
        <v>1.0</v>
      </c>
      <c r="DQ16" s="154">
        <v>2.0</v>
      </c>
      <c r="DR16" s="154"/>
      <c r="DS16" s="156">
        <f t="shared" si="28"/>
        <v>3</v>
      </c>
      <c r="DT16" s="153"/>
      <c r="DU16" s="156">
        <f t="shared" si="29"/>
        <v>0</v>
      </c>
      <c r="DV16" s="154">
        <f t="shared" si="30"/>
        <v>0</v>
      </c>
      <c r="DW16" s="163" t="str">
        <f t="shared" si="31"/>
        <v>#DIV/0!</v>
      </c>
      <c r="DX16" s="153"/>
      <c r="DY16" s="156">
        <f t="shared" si="32"/>
        <v>0</v>
      </c>
      <c r="DZ16" s="154">
        <f t="shared" si="33"/>
        <v>0</v>
      </c>
      <c r="EA16" s="163" t="str">
        <f t="shared" si="34"/>
        <v>#DIV/0!</v>
      </c>
      <c r="EB16" s="153"/>
      <c r="EC16" s="156">
        <f t="shared" si="35"/>
        <v>0</v>
      </c>
      <c r="ED16" s="154">
        <f t="shared" si="36"/>
        <v>0</v>
      </c>
      <c r="EE16" s="163" t="str">
        <f t="shared" si="37"/>
        <v>#DIV/0!</v>
      </c>
      <c r="EF16" s="153"/>
      <c r="EG16" s="156">
        <f t="shared" si="38"/>
        <v>1</v>
      </c>
      <c r="EH16" s="154">
        <f t="shared" si="39"/>
        <v>1</v>
      </c>
      <c r="EI16" s="163">
        <f t="shared" si="40"/>
        <v>1</v>
      </c>
      <c r="EJ16" s="153"/>
      <c r="EK16" s="156">
        <f t="shared" si="41"/>
        <v>0</v>
      </c>
      <c r="EL16" s="154">
        <f t="shared" si="42"/>
        <v>0</v>
      </c>
      <c r="EM16" s="163" t="str">
        <f t="shared" si="43"/>
        <v>#DIV/0!</v>
      </c>
      <c r="EN16" s="153"/>
      <c r="EO16" s="156">
        <f t="shared" ref="EO16:EP16" si="68">SUM(CL16,DP16)</f>
        <v>1</v>
      </c>
      <c r="EP16" s="156">
        <f t="shared" si="68"/>
        <v>2</v>
      </c>
      <c r="EQ16" s="163">
        <f t="shared" si="45"/>
        <v>2</v>
      </c>
      <c r="ER16" s="153"/>
      <c r="ES16" s="156">
        <f t="shared" ref="ES16:ET16" si="69">SUM(DU16,EG16)</f>
        <v>1</v>
      </c>
      <c r="ET16" s="154">
        <f t="shared" si="69"/>
        <v>1</v>
      </c>
      <c r="EU16" s="163">
        <f t="shared" si="47"/>
        <v>1</v>
      </c>
      <c r="EV16" s="153"/>
      <c r="EW16" s="156">
        <f t="shared" ref="EW16:EX16" si="70">SUM(DY16,EK16)</f>
        <v>0</v>
      </c>
      <c r="EX16" s="154">
        <f t="shared" si="70"/>
        <v>0</v>
      </c>
      <c r="EY16" s="163" t="str">
        <f t="shared" si="49"/>
        <v>#DIV/0!</v>
      </c>
      <c r="EZ16" s="153"/>
      <c r="FA16" s="156">
        <f t="shared" ref="FA16:FB16" si="71">SUM(EC16,EO16)</f>
        <v>1</v>
      </c>
      <c r="FB16" s="154">
        <f t="shared" si="71"/>
        <v>2</v>
      </c>
      <c r="FC16" s="163">
        <f t="shared" si="51"/>
        <v>2</v>
      </c>
      <c r="FD16" s="153"/>
      <c r="FE16" s="4"/>
      <c r="FF16" s="164"/>
      <c r="FG16" s="4"/>
      <c r="FH16" s="20"/>
      <c r="FI16" s="20"/>
      <c r="FJ16" s="4"/>
      <c r="FK16" s="4"/>
      <c r="FL16" s="20"/>
      <c r="FM16" s="20"/>
      <c r="FN16" s="4"/>
      <c r="FO16" s="4"/>
      <c r="FP16" s="4"/>
      <c r="FQ16" s="4"/>
      <c r="FR16" s="4"/>
      <c r="FS16" s="1"/>
      <c r="FT16" s="1"/>
    </row>
    <row r="17" ht="15.75" customHeight="1">
      <c r="A17" s="115" t="s">
        <v>80</v>
      </c>
      <c r="B17" s="115"/>
      <c r="C17" s="173"/>
      <c r="D17" s="174"/>
      <c r="E17" s="115"/>
      <c r="F17" s="115"/>
      <c r="G17" s="115"/>
      <c r="H17" s="175">
        <f>SUM(H10:H16)</f>
        <v>6</v>
      </c>
      <c r="I17" s="174"/>
      <c r="J17" s="115"/>
      <c r="K17" s="115"/>
      <c r="L17" s="115"/>
      <c r="M17" s="175">
        <f>SUM(M10:M16)</f>
        <v>6</v>
      </c>
      <c r="N17" s="174"/>
      <c r="O17" s="115"/>
      <c r="P17" s="115"/>
      <c r="Q17" s="115"/>
      <c r="R17" s="175">
        <f>SUM(R10:R16)</f>
        <v>6</v>
      </c>
      <c r="S17" s="174"/>
      <c r="T17" s="115"/>
      <c r="U17" s="115"/>
      <c r="V17" s="115"/>
      <c r="W17" s="175">
        <f>SUM(W10:W16)</f>
        <v>3</v>
      </c>
      <c r="X17" s="174"/>
      <c r="Y17" s="115"/>
      <c r="Z17" s="115"/>
      <c r="AA17" s="115"/>
      <c r="AB17" s="175">
        <f>SUM(AB10:AB16)</f>
        <v>3</v>
      </c>
      <c r="AC17" s="174"/>
      <c r="AD17" s="115"/>
      <c r="AE17" s="115"/>
      <c r="AF17" s="115"/>
      <c r="AG17" s="175">
        <f>SUM(AG10:AG16)</f>
        <v>3</v>
      </c>
      <c r="AH17" s="174"/>
      <c r="AI17" s="115"/>
      <c r="AJ17" s="115"/>
      <c r="AK17" s="115"/>
      <c r="AL17" s="175">
        <f>SUM(AL10:AL16)</f>
        <v>6</v>
      </c>
      <c r="AM17" s="174"/>
      <c r="AN17" s="115"/>
      <c r="AO17" s="115"/>
      <c r="AP17" s="115"/>
      <c r="AQ17" s="175">
        <f>SUM(AQ10:AQ16)</f>
        <v>6</v>
      </c>
      <c r="AR17" s="174"/>
      <c r="AS17" s="115"/>
      <c r="AT17" s="115"/>
      <c r="AU17" s="115"/>
      <c r="AV17" s="175">
        <f>SUM(AV10:AV16)</f>
        <v>6</v>
      </c>
      <c r="AW17" s="174"/>
      <c r="AX17" s="115"/>
      <c r="AY17" s="115"/>
      <c r="AZ17" s="115"/>
      <c r="BA17" s="175">
        <f>SUM(BA10:BA16)</f>
        <v>3</v>
      </c>
      <c r="BB17" s="174"/>
      <c r="BC17" s="115"/>
      <c r="BD17" s="115"/>
      <c r="BE17" s="115"/>
      <c r="BF17" s="175">
        <f>SUM(BF10:BF16)</f>
        <v>3</v>
      </c>
      <c r="BG17" s="174"/>
      <c r="BH17" s="115"/>
      <c r="BI17" s="115"/>
      <c r="BJ17" s="115"/>
      <c r="BK17" s="175">
        <f>SUM(BK10:BK16)</f>
        <v>3</v>
      </c>
      <c r="BL17" s="174"/>
      <c r="BM17" s="115"/>
      <c r="BN17" s="115"/>
      <c r="BO17" s="115"/>
      <c r="BP17" s="175">
        <f>SUM(BP10:BP16)</f>
        <v>6</v>
      </c>
      <c r="BQ17" s="174"/>
      <c r="BR17" s="115"/>
      <c r="BS17" s="115"/>
      <c r="BT17" s="115"/>
      <c r="BU17" s="175">
        <f>SUM(BU10:BU16)</f>
        <v>6</v>
      </c>
      <c r="BV17" s="174"/>
      <c r="BW17" s="115"/>
      <c r="BX17" s="115"/>
      <c r="BY17" s="115"/>
      <c r="BZ17" s="175">
        <f>SUM(BZ10:BZ16)</f>
        <v>6</v>
      </c>
      <c r="CA17" s="174"/>
      <c r="CB17" s="115"/>
      <c r="CC17" s="115"/>
      <c r="CD17" s="115"/>
      <c r="CE17" s="175">
        <f>SUM(CE10:CE16)</f>
        <v>3</v>
      </c>
      <c r="CF17" s="174"/>
      <c r="CG17" s="115"/>
      <c r="CH17" s="115"/>
      <c r="CI17" s="115"/>
      <c r="CJ17" s="175">
        <f>SUM(CJ10:CJ16)</f>
        <v>3</v>
      </c>
      <c r="CK17" s="174"/>
      <c r="CL17" s="115"/>
      <c r="CM17" s="115"/>
      <c r="CN17" s="115"/>
      <c r="CO17" s="175">
        <f>SUM(CO10:CO16)</f>
        <v>3</v>
      </c>
      <c r="CP17" s="174"/>
      <c r="CQ17" s="115"/>
      <c r="CR17" s="115"/>
      <c r="CS17" s="115"/>
      <c r="CT17" s="175">
        <f>SUM(CT10:CT16)</f>
        <v>42</v>
      </c>
      <c r="CU17" s="174"/>
      <c r="CV17" s="115"/>
      <c r="CW17" s="115"/>
      <c r="CX17" s="115"/>
      <c r="CY17" s="175">
        <f>SUM(CY10:CY16)</f>
        <v>6</v>
      </c>
      <c r="CZ17" s="174"/>
      <c r="DA17" s="115"/>
      <c r="DB17" s="115"/>
      <c r="DC17" s="115"/>
      <c r="DD17" s="175">
        <f>SUM(DD10:DD16)</f>
        <v>6</v>
      </c>
      <c r="DE17" s="174"/>
      <c r="DF17" s="115"/>
      <c r="DG17" s="115"/>
      <c r="DH17" s="115"/>
      <c r="DI17" s="175">
        <f>SUM(DI10:DI16)</f>
        <v>63</v>
      </c>
      <c r="DJ17" s="174"/>
      <c r="DK17" s="115"/>
      <c r="DL17" s="115"/>
      <c r="DM17" s="115"/>
      <c r="DN17" s="175">
        <f>SUM(DN10:DN16)</f>
        <v>3</v>
      </c>
      <c r="DO17" s="174"/>
      <c r="DP17" s="115"/>
      <c r="DQ17" s="115"/>
      <c r="DR17" s="115"/>
      <c r="DS17" s="175">
        <f>SUM(DS10:DS16)</f>
        <v>21</v>
      </c>
      <c r="DT17" s="174"/>
      <c r="DU17" s="175"/>
      <c r="DV17" s="175"/>
      <c r="DW17" s="177" t="str">
        <f>AVERAGE(DW10:DW16)</f>
        <v>#DIV/0!</v>
      </c>
      <c r="DX17" s="174"/>
      <c r="DY17" s="175"/>
      <c r="DZ17" s="175"/>
      <c r="EA17" s="177" t="str">
        <f>AVERAGE(EA10:EA16)</f>
        <v>#DIV/0!</v>
      </c>
      <c r="EB17" s="174"/>
      <c r="EC17" s="175"/>
      <c r="ED17" s="175"/>
      <c r="EE17" s="177" t="str">
        <f>AVERAGE(EE10:EE16)</f>
        <v>#DIV/0!</v>
      </c>
      <c r="EF17" s="174"/>
      <c r="EG17" s="175"/>
      <c r="EH17" s="175"/>
      <c r="EI17" s="177">
        <f>AVERAGE(EI10:EI16)</f>
        <v>1.785714286</v>
      </c>
      <c r="EJ17" s="174"/>
      <c r="EK17" s="175"/>
      <c r="EL17" s="175"/>
      <c r="EM17" s="177" t="str">
        <f>AVERAGE(EM10:EM16)</f>
        <v>#DIV/0!</v>
      </c>
      <c r="EN17" s="174"/>
      <c r="EO17" s="175"/>
      <c r="EP17" s="175"/>
      <c r="EQ17" s="177">
        <f>AVERAGE(EQ10:EQ16)</f>
        <v>2</v>
      </c>
      <c r="ER17" s="174"/>
      <c r="ES17" s="175"/>
      <c r="ET17" s="175"/>
      <c r="EU17" s="177">
        <f>AVERAGE(EU10:EU16)</f>
        <v>1.051020408</v>
      </c>
      <c r="EV17" s="174"/>
      <c r="EW17" s="175"/>
      <c r="EX17" s="175"/>
      <c r="EY17" s="177" t="str">
        <f>AVERAGE(EY10:EY16)</f>
        <v>#DIV/0!</v>
      </c>
      <c r="EZ17" s="174"/>
      <c r="FA17" s="175"/>
      <c r="FB17" s="175"/>
      <c r="FC17" s="177">
        <f>AVERAGE(FC10:FC16)</f>
        <v>1.816326531</v>
      </c>
      <c r="FD17" s="174"/>
      <c r="FE17" s="4"/>
      <c r="FF17" s="20" t="str">
        <f>SUM(FF9:FF16)</f>
        <v>#REF!</v>
      </c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20"/>
      <c r="FS17" s="4"/>
      <c r="FT17" s="4"/>
    </row>
    <row r="18" ht="15.75" customHeight="1">
      <c r="A18" s="137" t="s">
        <v>82</v>
      </c>
      <c r="B18" s="138"/>
      <c r="C18" s="139"/>
      <c r="D18" s="140"/>
      <c r="E18" s="141"/>
      <c r="F18" s="141"/>
      <c r="G18" s="141"/>
      <c r="H18" s="142"/>
      <c r="I18" s="140"/>
      <c r="J18" s="141"/>
      <c r="K18" s="141"/>
      <c r="L18" s="141"/>
      <c r="M18" s="142"/>
      <c r="N18" s="140"/>
      <c r="O18" s="141"/>
      <c r="P18" s="141"/>
      <c r="Q18" s="141"/>
      <c r="R18" s="142"/>
      <c r="S18" s="140"/>
      <c r="T18" s="141"/>
      <c r="U18" s="141"/>
      <c r="V18" s="141"/>
      <c r="W18" s="142"/>
      <c r="X18" s="140"/>
      <c r="Y18" s="141"/>
      <c r="Z18" s="141"/>
      <c r="AA18" s="141"/>
      <c r="AB18" s="142"/>
      <c r="AC18" s="140"/>
      <c r="AD18" s="141"/>
      <c r="AE18" s="141"/>
      <c r="AF18" s="141"/>
      <c r="AG18" s="142"/>
      <c r="AH18" s="140"/>
      <c r="AI18" s="141"/>
      <c r="AJ18" s="141"/>
      <c r="AK18" s="141"/>
      <c r="AL18" s="142"/>
      <c r="AM18" s="140"/>
      <c r="AN18" s="141"/>
      <c r="AO18" s="141"/>
      <c r="AP18" s="141"/>
      <c r="AQ18" s="142"/>
      <c r="AR18" s="140"/>
      <c r="AS18" s="141"/>
      <c r="AT18" s="141"/>
      <c r="AU18" s="141"/>
      <c r="AV18" s="142"/>
      <c r="AW18" s="140"/>
      <c r="AX18" s="141"/>
      <c r="AY18" s="141"/>
      <c r="AZ18" s="141"/>
      <c r="BA18" s="142"/>
      <c r="BB18" s="140"/>
      <c r="BC18" s="141"/>
      <c r="BD18" s="141"/>
      <c r="BE18" s="141"/>
      <c r="BF18" s="142"/>
      <c r="BG18" s="140"/>
      <c r="BH18" s="141"/>
      <c r="BI18" s="141"/>
      <c r="BJ18" s="141"/>
      <c r="BK18" s="142"/>
      <c r="BL18" s="140"/>
      <c r="BM18" s="141"/>
      <c r="BN18" s="141"/>
      <c r="BO18" s="141"/>
      <c r="BP18" s="142"/>
      <c r="BQ18" s="140"/>
      <c r="BR18" s="141"/>
      <c r="BS18" s="141"/>
      <c r="BT18" s="141"/>
      <c r="BU18" s="142"/>
      <c r="BV18" s="140"/>
      <c r="BW18" s="141"/>
      <c r="BX18" s="141"/>
      <c r="BY18" s="141"/>
      <c r="BZ18" s="142"/>
      <c r="CA18" s="140"/>
      <c r="CB18" s="141"/>
      <c r="CC18" s="141"/>
      <c r="CD18" s="141"/>
      <c r="CE18" s="142"/>
      <c r="CF18" s="140"/>
      <c r="CG18" s="141"/>
      <c r="CH18" s="141"/>
      <c r="CI18" s="141"/>
      <c r="CJ18" s="142"/>
      <c r="CK18" s="140"/>
      <c r="CL18" s="141"/>
      <c r="CM18" s="141"/>
      <c r="CN18" s="141"/>
      <c r="CO18" s="142"/>
      <c r="CP18" s="140"/>
      <c r="CQ18" s="141"/>
      <c r="CR18" s="141"/>
      <c r="CS18" s="141"/>
      <c r="CT18" s="142"/>
      <c r="CU18" s="140"/>
      <c r="CV18" s="141"/>
      <c r="CW18" s="141"/>
      <c r="CX18" s="141"/>
      <c r="CY18" s="142"/>
      <c r="CZ18" s="140"/>
      <c r="DA18" s="141"/>
      <c r="DB18" s="141"/>
      <c r="DC18" s="141"/>
      <c r="DD18" s="142"/>
      <c r="DE18" s="140"/>
      <c r="DF18" s="141"/>
      <c r="DG18" s="141"/>
      <c r="DH18" s="141"/>
      <c r="DI18" s="142"/>
      <c r="DJ18" s="140"/>
      <c r="DK18" s="141"/>
      <c r="DL18" s="141"/>
      <c r="DM18" s="141"/>
      <c r="DN18" s="142"/>
      <c r="DO18" s="140"/>
      <c r="DP18" s="141"/>
      <c r="DQ18" s="141"/>
      <c r="DR18" s="141"/>
      <c r="DS18" s="142"/>
      <c r="DT18" s="140"/>
      <c r="DU18" s="142"/>
      <c r="DV18" s="141"/>
      <c r="DW18" s="141"/>
      <c r="DX18" s="140"/>
      <c r="DY18" s="142"/>
      <c r="DZ18" s="141"/>
      <c r="EA18" s="141"/>
      <c r="EB18" s="140"/>
      <c r="EC18" s="142"/>
      <c r="ED18" s="141"/>
      <c r="EE18" s="141"/>
      <c r="EF18" s="140"/>
      <c r="EG18" s="142"/>
      <c r="EH18" s="141"/>
      <c r="EI18" s="141"/>
      <c r="EJ18" s="140"/>
      <c r="EK18" s="142"/>
      <c r="EL18" s="141"/>
      <c r="EM18" s="141"/>
      <c r="EN18" s="140"/>
      <c r="EO18" s="142"/>
      <c r="EP18" s="141"/>
      <c r="EQ18" s="141"/>
      <c r="ER18" s="140"/>
      <c r="ES18" s="142"/>
      <c r="ET18" s="141"/>
      <c r="EU18" s="141"/>
      <c r="EV18" s="140"/>
      <c r="EW18" s="142"/>
      <c r="EX18" s="141"/>
      <c r="EY18" s="141"/>
      <c r="EZ18" s="140"/>
      <c r="FA18" s="142"/>
      <c r="FB18" s="141"/>
      <c r="FC18" s="141"/>
      <c r="FD18" s="140"/>
      <c r="FE18" s="4"/>
      <c r="FF18" s="20" t="str">
        <f>SUM(#REF!,#REF!,#REF!,#REF!,#REF!)</f>
        <v>#REF!</v>
      </c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1"/>
      <c r="FT18" s="148"/>
    </row>
    <row r="19" ht="15.75" customHeight="1">
      <c r="A19" s="149" t="s">
        <v>83</v>
      </c>
      <c r="B19" s="150" t="s">
        <v>84</v>
      </c>
      <c r="C19" s="152" t="s">
        <v>71</v>
      </c>
      <c r="D19" s="153">
        <v>1.0</v>
      </c>
      <c r="E19" s="154">
        <v>1.0</v>
      </c>
      <c r="F19" s="154">
        <v>2.0</v>
      </c>
      <c r="G19" s="155">
        <v>3.0</v>
      </c>
      <c r="H19" s="156">
        <f t="shared" ref="H19:H25" si="76">SUM(E19:G19)</f>
        <v>6</v>
      </c>
      <c r="I19" s="153">
        <v>1.0</v>
      </c>
      <c r="J19" s="154">
        <v>1.0</v>
      </c>
      <c r="K19" s="154">
        <v>2.0</v>
      </c>
      <c r="L19" s="155">
        <v>3.0</v>
      </c>
      <c r="M19" s="156">
        <f t="shared" ref="M19:M25" si="77">SUM(J19:L19)</f>
        <v>6</v>
      </c>
      <c r="N19" s="153">
        <v>1.0</v>
      </c>
      <c r="O19" s="154">
        <v>1.0</v>
      </c>
      <c r="P19" s="154">
        <v>2.0</v>
      </c>
      <c r="Q19" s="155">
        <v>3.0</v>
      </c>
      <c r="R19" s="156">
        <f t="shared" ref="R19:R25" si="78">SUM(O19:Q19)</f>
        <v>6</v>
      </c>
      <c r="S19" s="153"/>
      <c r="T19" s="154">
        <v>1.0</v>
      </c>
      <c r="U19" s="154"/>
      <c r="V19" s="155"/>
      <c r="W19" s="156">
        <f t="shared" ref="W19:W25" si="79">SUM(T19:V19)</f>
        <v>1</v>
      </c>
      <c r="X19" s="153"/>
      <c r="Y19" s="154">
        <v>1.0</v>
      </c>
      <c r="Z19" s="154"/>
      <c r="AA19" s="155"/>
      <c r="AB19" s="156">
        <f t="shared" ref="AB19:AB25" si="80">SUM(Y19:AA19)</f>
        <v>1</v>
      </c>
      <c r="AC19" s="153"/>
      <c r="AD19" s="154">
        <v>1.0</v>
      </c>
      <c r="AE19" s="154"/>
      <c r="AF19" s="155"/>
      <c r="AG19" s="156">
        <f t="shared" ref="AG19:AG25" si="81">SUM(AD19:AF19)</f>
        <v>1</v>
      </c>
      <c r="AH19" s="153"/>
      <c r="AI19" s="154">
        <v>1.0</v>
      </c>
      <c r="AJ19" s="154">
        <v>2.0</v>
      </c>
      <c r="AK19" s="155">
        <v>3.0</v>
      </c>
      <c r="AL19" s="156">
        <f t="shared" ref="AL19:AL25" si="82">SUM(AI19:AK19)</f>
        <v>6</v>
      </c>
      <c r="AM19" s="153">
        <v>1.0</v>
      </c>
      <c r="AN19" s="154">
        <v>1.0</v>
      </c>
      <c r="AO19" s="154">
        <v>2.0</v>
      </c>
      <c r="AP19" s="155">
        <v>3.0</v>
      </c>
      <c r="AQ19" s="156">
        <f t="shared" ref="AQ19:AQ25" si="83">SUM(AN19:AP19)</f>
        <v>6</v>
      </c>
      <c r="AR19" s="153">
        <v>1.0</v>
      </c>
      <c r="AS19" s="154">
        <v>1.0</v>
      </c>
      <c r="AT19" s="154">
        <v>2.0</v>
      </c>
      <c r="AU19" s="155">
        <v>3.0</v>
      </c>
      <c r="AV19" s="156">
        <f t="shared" ref="AV19:AV25" si="84">SUM(AS19:AU19)</f>
        <v>6</v>
      </c>
      <c r="AW19" s="153"/>
      <c r="AX19" s="154">
        <v>1.0</v>
      </c>
      <c r="AY19" s="154"/>
      <c r="AZ19" s="155"/>
      <c r="BA19" s="156">
        <f t="shared" ref="BA19:BA25" si="85">SUM(AX19:AZ19)</f>
        <v>1</v>
      </c>
      <c r="BB19" s="153"/>
      <c r="BC19" s="154">
        <v>1.0</v>
      </c>
      <c r="BD19" s="154"/>
      <c r="BE19" s="155"/>
      <c r="BF19" s="156">
        <f t="shared" ref="BF19:BF25" si="86">SUM(BC19:BE19)</f>
        <v>1</v>
      </c>
      <c r="BG19" s="153"/>
      <c r="BH19" s="154">
        <v>1.0</v>
      </c>
      <c r="BI19" s="154"/>
      <c r="BJ19" s="155"/>
      <c r="BK19" s="156">
        <f t="shared" ref="BK19:BK25" si="87">SUM(BH19:BJ19)</f>
        <v>1</v>
      </c>
      <c r="BL19" s="153"/>
      <c r="BM19" s="154">
        <v>1.0</v>
      </c>
      <c r="BN19" s="154">
        <v>2.0</v>
      </c>
      <c r="BO19" s="155">
        <v>3.0</v>
      </c>
      <c r="BP19" s="156">
        <f t="shared" ref="BP19:BP25" si="88">SUM(BM19:BO19)</f>
        <v>6</v>
      </c>
      <c r="BQ19" s="153">
        <v>1.0</v>
      </c>
      <c r="BR19" s="154">
        <v>1.0</v>
      </c>
      <c r="BS19" s="154">
        <v>2.0</v>
      </c>
      <c r="BT19" s="155">
        <v>3.0</v>
      </c>
      <c r="BU19" s="156">
        <f t="shared" ref="BU19:BU25" si="89">SUM(BR19:BT19)</f>
        <v>6</v>
      </c>
      <c r="BV19" s="153">
        <v>1.0</v>
      </c>
      <c r="BW19" s="154">
        <v>1.0</v>
      </c>
      <c r="BX19" s="154">
        <v>2.0</v>
      </c>
      <c r="BY19" s="155">
        <v>3.0</v>
      </c>
      <c r="BZ19" s="156">
        <f t="shared" ref="BZ19:BZ25" si="90">SUM(BW19:BY19)</f>
        <v>6</v>
      </c>
      <c r="CA19" s="153"/>
      <c r="CB19" s="154">
        <v>1.0</v>
      </c>
      <c r="CC19" s="154"/>
      <c r="CD19" s="155"/>
      <c r="CE19" s="156">
        <f t="shared" ref="CE19:CE25" si="91">SUM(CB19:CD19)</f>
        <v>1</v>
      </c>
      <c r="CF19" s="153"/>
      <c r="CG19" s="154">
        <v>1.0</v>
      </c>
      <c r="CH19" s="154"/>
      <c r="CI19" s="155"/>
      <c r="CJ19" s="156">
        <f t="shared" ref="CJ19:CJ25" si="92">SUM(CG19:CI19)</f>
        <v>1</v>
      </c>
      <c r="CK19" s="153"/>
      <c r="CL19" s="154">
        <v>1.0</v>
      </c>
      <c r="CM19" s="154"/>
      <c r="CN19" s="155"/>
      <c r="CO19" s="156">
        <f t="shared" ref="CO19:CO25" si="93">SUM(CL19:CN19)</f>
        <v>1</v>
      </c>
      <c r="CP19" s="153"/>
      <c r="CQ19" s="154">
        <v>1.0</v>
      </c>
      <c r="CR19" s="154">
        <v>2.0</v>
      </c>
      <c r="CS19" s="155">
        <v>3.0</v>
      </c>
      <c r="CT19" s="156">
        <f t="shared" ref="CT19:CT25" si="94">SUM(CQ19:CS19)</f>
        <v>6</v>
      </c>
      <c r="CU19" s="153">
        <v>1.0</v>
      </c>
      <c r="CV19" s="154">
        <v>1.0</v>
      </c>
      <c r="CW19" s="154">
        <v>2.0</v>
      </c>
      <c r="CX19" s="155">
        <v>3.0</v>
      </c>
      <c r="CY19" s="156">
        <f t="shared" ref="CY19:CY25" si="95">SUM(CV19:CX19)</f>
        <v>6</v>
      </c>
      <c r="CZ19" s="153">
        <v>1.0</v>
      </c>
      <c r="DA19" s="154">
        <v>1.0</v>
      </c>
      <c r="DB19" s="154">
        <v>2.0</v>
      </c>
      <c r="DC19" s="155">
        <v>3.0</v>
      </c>
      <c r="DD19" s="156">
        <f t="shared" ref="DD19:DD25" si="96">SUM(DA19:DC19)</f>
        <v>6</v>
      </c>
      <c r="DE19" s="153"/>
      <c r="DF19" s="154">
        <v>1.0</v>
      </c>
      <c r="DG19" s="154"/>
      <c r="DH19" s="155"/>
      <c r="DI19" s="156">
        <f t="shared" ref="DI19:DI25" si="97">SUM(DF19:DH19)</f>
        <v>1</v>
      </c>
      <c r="DJ19" s="153"/>
      <c r="DK19" s="154">
        <v>1.0</v>
      </c>
      <c r="DL19" s="154"/>
      <c r="DM19" s="155"/>
      <c r="DN19" s="156">
        <f t="shared" ref="DN19:DN25" si="98">SUM(DK19:DM19)</f>
        <v>1</v>
      </c>
      <c r="DO19" s="153"/>
      <c r="DP19" s="154">
        <v>1.0</v>
      </c>
      <c r="DQ19" s="154"/>
      <c r="DR19" s="155"/>
      <c r="DS19" s="156">
        <f t="shared" ref="DS19:DS25" si="99">SUM(DP19:DR19)</f>
        <v>1</v>
      </c>
      <c r="DT19" s="153"/>
      <c r="DU19" s="156">
        <f t="shared" ref="DU19:DU25" si="100">SUM(H19,AL19)</f>
        <v>12</v>
      </c>
      <c r="DV19" s="154">
        <f t="shared" ref="DV19:DV25" si="101">SUM(W19,BA19)</f>
        <v>2</v>
      </c>
      <c r="DW19" s="163">
        <f t="shared" ref="DW19:DW25" si="102">DV19/DU19</f>
        <v>0.1666666667</v>
      </c>
      <c r="DX19" s="153"/>
      <c r="DY19" s="156">
        <f t="shared" ref="DY19:DY25" si="103">SUM(M19,AQ19)</f>
        <v>12</v>
      </c>
      <c r="DZ19" s="154">
        <f t="shared" ref="DZ19:DZ25" si="104">SUM(AB19,BF19)</f>
        <v>2</v>
      </c>
      <c r="EA19" s="163">
        <f t="shared" ref="EA19:EA25" si="105">DZ19/DY19</f>
        <v>0.1666666667</v>
      </c>
      <c r="EB19" s="153"/>
      <c r="EC19" s="156">
        <f t="shared" ref="EC19:EC25" si="106">SUM(R19,AV19)</f>
        <v>12</v>
      </c>
      <c r="ED19" s="154">
        <f t="shared" ref="ED19:ED25" si="107">SUM(AG19,BK19)</f>
        <v>2</v>
      </c>
      <c r="EE19" s="163">
        <f t="shared" ref="EE19:EE25" si="108">ED19/EC19</f>
        <v>0.1666666667</v>
      </c>
      <c r="EF19" s="153"/>
      <c r="EG19" s="156">
        <f t="shared" ref="EG19:EG25" si="109">SUM(CB19,DF19)</f>
        <v>2</v>
      </c>
      <c r="EH19" s="154">
        <f t="shared" ref="EH19:EH25" si="110">SUM(CQ19,DU19)</f>
        <v>13</v>
      </c>
      <c r="EI19" s="163">
        <f t="shared" ref="EI19:EI25" si="111">EH19/EG19</f>
        <v>6.5</v>
      </c>
      <c r="EJ19" s="153"/>
      <c r="EK19" s="156">
        <f t="shared" ref="EK19:EK25" si="112">SUM(CG19,DK19)</f>
        <v>2</v>
      </c>
      <c r="EL19" s="154">
        <f t="shared" ref="EL19:EL25" si="113">SUM(CV19,DZ19)</f>
        <v>3</v>
      </c>
      <c r="EM19" s="163">
        <f t="shared" ref="EM19:EM25" si="114">EL19/EK19</f>
        <v>1.5</v>
      </c>
      <c r="EN19" s="153"/>
      <c r="EO19" s="156">
        <f t="shared" ref="EO19:EP19" si="72">SUM(CL19,DP19)</f>
        <v>2</v>
      </c>
      <c r="EP19" s="156">
        <f t="shared" si="72"/>
        <v>0</v>
      </c>
      <c r="EQ19" s="163">
        <f t="shared" ref="EQ19:EQ25" si="116">EP19/EO19</f>
        <v>0</v>
      </c>
      <c r="ER19" s="153"/>
      <c r="ES19" s="156">
        <f t="shared" ref="ES19:ET19" si="73">SUM(DU19,EG19)</f>
        <v>14</v>
      </c>
      <c r="ET19" s="154">
        <f t="shared" si="73"/>
        <v>15</v>
      </c>
      <c r="EU19" s="163">
        <f t="shared" ref="EU19:EU25" si="118">ET19/ES19</f>
        <v>1.071428571</v>
      </c>
      <c r="EV19" s="153"/>
      <c r="EW19" s="156">
        <f t="shared" ref="EW19:EX19" si="74">SUM(DY19,EK19)</f>
        <v>14</v>
      </c>
      <c r="EX19" s="154">
        <f t="shared" si="74"/>
        <v>5</v>
      </c>
      <c r="EY19" s="163">
        <f t="shared" ref="EY19:EY25" si="120">EX19/EW19</f>
        <v>0.3571428571</v>
      </c>
      <c r="EZ19" s="153"/>
      <c r="FA19" s="156">
        <f t="shared" ref="FA19:FB19" si="75">SUM(EC19,EO19)</f>
        <v>14</v>
      </c>
      <c r="FB19" s="154">
        <f t="shared" si="75"/>
        <v>2</v>
      </c>
      <c r="FC19" s="163">
        <f t="shared" ref="FC19:FC25" si="122">FB19/FA19</f>
        <v>0.1428571429</v>
      </c>
      <c r="FD19" s="153"/>
      <c r="FE19" s="4"/>
      <c r="FF19" s="164"/>
      <c r="FG19" s="4"/>
      <c r="FH19" s="20"/>
      <c r="FI19" s="20"/>
      <c r="FJ19" s="4"/>
      <c r="FK19" s="4"/>
      <c r="FL19" s="20"/>
      <c r="FM19" s="20"/>
      <c r="FN19" s="4"/>
      <c r="FO19" s="4"/>
      <c r="FP19" s="4"/>
      <c r="FQ19" s="4"/>
      <c r="FR19" s="165"/>
      <c r="FS19" s="1"/>
      <c r="FT19" s="1"/>
    </row>
    <row r="20" ht="15.75" customHeight="1">
      <c r="A20" s="167"/>
      <c r="B20" s="168"/>
      <c r="C20" s="152"/>
      <c r="D20" s="153"/>
      <c r="E20" s="154"/>
      <c r="F20" s="154"/>
      <c r="G20" s="155"/>
      <c r="H20" s="156">
        <f t="shared" si="76"/>
        <v>0</v>
      </c>
      <c r="I20" s="153"/>
      <c r="J20" s="154"/>
      <c r="K20" s="154"/>
      <c r="L20" s="155"/>
      <c r="M20" s="156">
        <f t="shared" si="77"/>
        <v>0</v>
      </c>
      <c r="N20" s="153"/>
      <c r="O20" s="154"/>
      <c r="P20" s="154"/>
      <c r="Q20" s="155"/>
      <c r="R20" s="156">
        <f t="shared" si="78"/>
        <v>0</v>
      </c>
      <c r="S20" s="153"/>
      <c r="T20" s="154"/>
      <c r="U20" s="154"/>
      <c r="V20" s="155"/>
      <c r="W20" s="156">
        <f t="shared" si="79"/>
        <v>0</v>
      </c>
      <c r="X20" s="153"/>
      <c r="Y20" s="154"/>
      <c r="Z20" s="154"/>
      <c r="AA20" s="155"/>
      <c r="AB20" s="156">
        <f t="shared" si="80"/>
        <v>0</v>
      </c>
      <c r="AC20" s="153"/>
      <c r="AD20" s="154"/>
      <c r="AE20" s="154"/>
      <c r="AF20" s="155"/>
      <c r="AG20" s="156">
        <f t="shared" si="81"/>
        <v>0</v>
      </c>
      <c r="AH20" s="153"/>
      <c r="AI20" s="154"/>
      <c r="AJ20" s="154"/>
      <c r="AK20" s="155"/>
      <c r="AL20" s="156">
        <f t="shared" si="82"/>
        <v>0</v>
      </c>
      <c r="AM20" s="153"/>
      <c r="AN20" s="154"/>
      <c r="AO20" s="154"/>
      <c r="AP20" s="155"/>
      <c r="AQ20" s="156">
        <f t="shared" si="83"/>
        <v>0</v>
      </c>
      <c r="AR20" s="153"/>
      <c r="AS20" s="154"/>
      <c r="AT20" s="154"/>
      <c r="AU20" s="155"/>
      <c r="AV20" s="156">
        <f t="shared" si="84"/>
        <v>0</v>
      </c>
      <c r="AW20" s="153"/>
      <c r="AX20" s="154"/>
      <c r="AY20" s="154"/>
      <c r="AZ20" s="155"/>
      <c r="BA20" s="156">
        <f t="shared" si="85"/>
        <v>0</v>
      </c>
      <c r="BB20" s="153"/>
      <c r="BC20" s="154"/>
      <c r="BD20" s="154"/>
      <c r="BE20" s="155"/>
      <c r="BF20" s="156">
        <f t="shared" si="86"/>
        <v>0</v>
      </c>
      <c r="BG20" s="153"/>
      <c r="BH20" s="154"/>
      <c r="BI20" s="154"/>
      <c r="BJ20" s="155"/>
      <c r="BK20" s="156">
        <f t="shared" si="87"/>
        <v>0</v>
      </c>
      <c r="BL20" s="153"/>
      <c r="BM20" s="154"/>
      <c r="BN20" s="154"/>
      <c r="BO20" s="155"/>
      <c r="BP20" s="156">
        <f t="shared" si="88"/>
        <v>0</v>
      </c>
      <c r="BQ20" s="153"/>
      <c r="BR20" s="154"/>
      <c r="BS20" s="154"/>
      <c r="BT20" s="155"/>
      <c r="BU20" s="156">
        <f t="shared" si="89"/>
        <v>0</v>
      </c>
      <c r="BV20" s="153"/>
      <c r="BW20" s="154"/>
      <c r="BX20" s="154"/>
      <c r="BY20" s="155"/>
      <c r="BZ20" s="156">
        <f t="shared" si="90"/>
        <v>0</v>
      </c>
      <c r="CA20" s="153"/>
      <c r="CB20" s="154"/>
      <c r="CC20" s="154"/>
      <c r="CD20" s="155"/>
      <c r="CE20" s="156">
        <f t="shared" si="91"/>
        <v>0</v>
      </c>
      <c r="CF20" s="153"/>
      <c r="CG20" s="154"/>
      <c r="CH20" s="154"/>
      <c r="CI20" s="155"/>
      <c r="CJ20" s="156">
        <f t="shared" si="92"/>
        <v>0</v>
      </c>
      <c r="CK20" s="153"/>
      <c r="CL20" s="154"/>
      <c r="CM20" s="154"/>
      <c r="CN20" s="155"/>
      <c r="CO20" s="156">
        <f t="shared" si="93"/>
        <v>0</v>
      </c>
      <c r="CP20" s="153"/>
      <c r="CQ20" s="154"/>
      <c r="CR20" s="154"/>
      <c r="CS20" s="155"/>
      <c r="CT20" s="156">
        <f t="shared" si="94"/>
        <v>0</v>
      </c>
      <c r="CU20" s="153"/>
      <c r="CV20" s="154"/>
      <c r="CW20" s="154"/>
      <c r="CX20" s="155"/>
      <c r="CY20" s="156">
        <f t="shared" si="95"/>
        <v>0</v>
      </c>
      <c r="CZ20" s="153"/>
      <c r="DA20" s="154"/>
      <c r="DB20" s="154"/>
      <c r="DC20" s="155"/>
      <c r="DD20" s="156">
        <f t="shared" si="96"/>
        <v>0</v>
      </c>
      <c r="DE20" s="153"/>
      <c r="DF20" s="154"/>
      <c r="DG20" s="154"/>
      <c r="DH20" s="155"/>
      <c r="DI20" s="156">
        <f t="shared" si="97"/>
        <v>0</v>
      </c>
      <c r="DJ20" s="153"/>
      <c r="DK20" s="154"/>
      <c r="DL20" s="154"/>
      <c r="DM20" s="155"/>
      <c r="DN20" s="156">
        <f t="shared" si="98"/>
        <v>0</v>
      </c>
      <c r="DO20" s="153"/>
      <c r="DP20" s="154"/>
      <c r="DQ20" s="154"/>
      <c r="DR20" s="155"/>
      <c r="DS20" s="156">
        <f t="shared" si="99"/>
        <v>0</v>
      </c>
      <c r="DT20" s="153"/>
      <c r="DU20" s="156">
        <f t="shared" si="100"/>
        <v>0</v>
      </c>
      <c r="DV20" s="154">
        <f t="shared" si="101"/>
        <v>0</v>
      </c>
      <c r="DW20" s="163" t="str">
        <f t="shared" si="102"/>
        <v>#DIV/0!</v>
      </c>
      <c r="DX20" s="153"/>
      <c r="DY20" s="156">
        <f t="shared" si="103"/>
        <v>0</v>
      </c>
      <c r="DZ20" s="154">
        <f t="shared" si="104"/>
        <v>0</v>
      </c>
      <c r="EA20" s="163" t="str">
        <f t="shared" si="105"/>
        <v>#DIV/0!</v>
      </c>
      <c r="EB20" s="153"/>
      <c r="EC20" s="156">
        <f t="shared" si="106"/>
        <v>0</v>
      </c>
      <c r="ED20" s="154">
        <f t="shared" si="107"/>
        <v>0</v>
      </c>
      <c r="EE20" s="163" t="str">
        <f t="shared" si="108"/>
        <v>#DIV/0!</v>
      </c>
      <c r="EF20" s="153"/>
      <c r="EG20" s="156">
        <f t="shared" si="109"/>
        <v>0</v>
      </c>
      <c r="EH20" s="154">
        <f t="shared" si="110"/>
        <v>0</v>
      </c>
      <c r="EI20" s="163" t="str">
        <f t="shared" si="111"/>
        <v>#DIV/0!</v>
      </c>
      <c r="EJ20" s="153"/>
      <c r="EK20" s="156">
        <f t="shared" si="112"/>
        <v>0</v>
      </c>
      <c r="EL20" s="154">
        <f t="shared" si="113"/>
        <v>0</v>
      </c>
      <c r="EM20" s="163" t="str">
        <f t="shared" si="114"/>
        <v>#DIV/0!</v>
      </c>
      <c r="EN20" s="153"/>
      <c r="EO20" s="156">
        <f t="shared" ref="EO20:EP20" si="115">SUM(CL20,DP20)</f>
        <v>0</v>
      </c>
      <c r="EP20" s="156">
        <f t="shared" si="115"/>
        <v>0</v>
      </c>
      <c r="EQ20" s="163" t="str">
        <f t="shared" si="116"/>
        <v>#DIV/0!</v>
      </c>
      <c r="ER20" s="153"/>
      <c r="ES20" s="156">
        <f t="shared" ref="ES20:ET20" si="117">SUM(DU20,EG20)</f>
        <v>0</v>
      </c>
      <c r="ET20" s="154">
        <f t="shared" si="117"/>
        <v>0</v>
      </c>
      <c r="EU20" s="163" t="str">
        <f t="shared" si="118"/>
        <v>#DIV/0!</v>
      </c>
      <c r="EV20" s="153"/>
      <c r="EW20" s="156">
        <f t="shared" ref="EW20:EX20" si="119">SUM(DY20,EK20)</f>
        <v>0</v>
      </c>
      <c r="EX20" s="154">
        <f t="shared" si="119"/>
        <v>0</v>
      </c>
      <c r="EY20" s="163" t="str">
        <f t="shared" si="120"/>
        <v>#DIV/0!</v>
      </c>
      <c r="EZ20" s="153"/>
      <c r="FA20" s="156">
        <f t="shared" ref="FA20:FB20" si="121">SUM(EC20,EO20)</f>
        <v>0</v>
      </c>
      <c r="FB20" s="154">
        <f t="shared" si="121"/>
        <v>0</v>
      </c>
      <c r="FC20" s="163" t="str">
        <f t="shared" si="122"/>
        <v>#DIV/0!</v>
      </c>
      <c r="FD20" s="153"/>
      <c r="FE20" s="4"/>
      <c r="FF20" s="164"/>
      <c r="FG20" s="4"/>
      <c r="FH20" s="20"/>
      <c r="FI20" s="20"/>
      <c r="FJ20" s="4"/>
      <c r="FK20" s="4"/>
      <c r="FL20" s="20"/>
      <c r="FM20" s="20"/>
      <c r="FN20" s="4"/>
      <c r="FO20" s="4"/>
      <c r="FP20" s="4"/>
      <c r="FQ20" s="4"/>
      <c r="FR20" s="4"/>
      <c r="FS20" s="1"/>
      <c r="FT20" s="1"/>
    </row>
    <row r="21" ht="15.75" customHeight="1">
      <c r="A21" s="167"/>
      <c r="B21" s="168"/>
      <c r="C21" s="152"/>
      <c r="D21" s="153"/>
      <c r="E21" s="154"/>
      <c r="F21" s="154"/>
      <c r="G21" s="155"/>
      <c r="H21" s="156">
        <f t="shared" si="76"/>
        <v>0</v>
      </c>
      <c r="I21" s="153"/>
      <c r="J21" s="154"/>
      <c r="K21" s="154"/>
      <c r="L21" s="155"/>
      <c r="M21" s="156">
        <f t="shared" si="77"/>
        <v>0</v>
      </c>
      <c r="N21" s="153"/>
      <c r="O21" s="154"/>
      <c r="P21" s="154"/>
      <c r="Q21" s="155"/>
      <c r="R21" s="156">
        <f t="shared" si="78"/>
        <v>0</v>
      </c>
      <c r="S21" s="153"/>
      <c r="T21" s="154">
        <v>1.0</v>
      </c>
      <c r="U21" s="154">
        <v>2.0</v>
      </c>
      <c r="V21" s="155"/>
      <c r="W21" s="156">
        <f t="shared" si="79"/>
        <v>3</v>
      </c>
      <c r="X21" s="153"/>
      <c r="Y21" s="154">
        <v>1.0</v>
      </c>
      <c r="Z21" s="154">
        <v>2.0</v>
      </c>
      <c r="AA21" s="155"/>
      <c r="AB21" s="156">
        <f t="shared" si="80"/>
        <v>3</v>
      </c>
      <c r="AC21" s="153"/>
      <c r="AD21" s="154">
        <v>1.0</v>
      </c>
      <c r="AE21" s="154">
        <v>2.0</v>
      </c>
      <c r="AF21" s="155"/>
      <c r="AG21" s="156">
        <f t="shared" si="81"/>
        <v>3</v>
      </c>
      <c r="AH21" s="153"/>
      <c r="AI21" s="154"/>
      <c r="AJ21" s="154"/>
      <c r="AK21" s="155"/>
      <c r="AL21" s="156">
        <f t="shared" si="82"/>
        <v>0</v>
      </c>
      <c r="AM21" s="153"/>
      <c r="AN21" s="154"/>
      <c r="AO21" s="154"/>
      <c r="AP21" s="155"/>
      <c r="AQ21" s="156">
        <f t="shared" si="83"/>
        <v>0</v>
      </c>
      <c r="AR21" s="153"/>
      <c r="AS21" s="154"/>
      <c r="AT21" s="154"/>
      <c r="AU21" s="155"/>
      <c r="AV21" s="156">
        <f t="shared" si="84"/>
        <v>0</v>
      </c>
      <c r="AW21" s="153"/>
      <c r="AX21" s="154">
        <v>1.0</v>
      </c>
      <c r="AY21" s="154">
        <v>2.0</v>
      </c>
      <c r="AZ21" s="155"/>
      <c r="BA21" s="156">
        <f t="shared" si="85"/>
        <v>3</v>
      </c>
      <c r="BB21" s="153"/>
      <c r="BC21" s="154">
        <v>1.0</v>
      </c>
      <c r="BD21" s="154">
        <v>2.0</v>
      </c>
      <c r="BE21" s="155"/>
      <c r="BF21" s="156">
        <f t="shared" si="86"/>
        <v>3</v>
      </c>
      <c r="BG21" s="153"/>
      <c r="BH21" s="154">
        <v>1.0</v>
      </c>
      <c r="BI21" s="154">
        <v>2.0</v>
      </c>
      <c r="BJ21" s="155"/>
      <c r="BK21" s="156">
        <f t="shared" si="87"/>
        <v>3</v>
      </c>
      <c r="BL21" s="153"/>
      <c r="BM21" s="154"/>
      <c r="BN21" s="154"/>
      <c r="BO21" s="155"/>
      <c r="BP21" s="156">
        <f t="shared" si="88"/>
        <v>0</v>
      </c>
      <c r="BQ21" s="153"/>
      <c r="BR21" s="154"/>
      <c r="BS21" s="154"/>
      <c r="BT21" s="155"/>
      <c r="BU21" s="156">
        <f t="shared" si="89"/>
        <v>0</v>
      </c>
      <c r="BV21" s="153"/>
      <c r="BW21" s="154"/>
      <c r="BX21" s="154"/>
      <c r="BY21" s="155"/>
      <c r="BZ21" s="156">
        <f t="shared" si="90"/>
        <v>0</v>
      </c>
      <c r="CA21" s="153"/>
      <c r="CB21" s="154">
        <v>1.0</v>
      </c>
      <c r="CC21" s="154">
        <v>2.0</v>
      </c>
      <c r="CD21" s="155"/>
      <c r="CE21" s="156">
        <f t="shared" si="91"/>
        <v>3</v>
      </c>
      <c r="CF21" s="153"/>
      <c r="CG21" s="154">
        <v>1.0</v>
      </c>
      <c r="CH21" s="154">
        <v>2.0</v>
      </c>
      <c r="CI21" s="155"/>
      <c r="CJ21" s="156">
        <f t="shared" si="92"/>
        <v>3</v>
      </c>
      <c r="CK21" s="153"/>
      <c r="CL21" s="154">
        <v>1.0</v>
      </c>
      <c r="CM21" s="154">
        <v>2.0</v>
      </c>
      <c r="CN21" s="155"/>
      <c r="CO21" s="156">
        <f t="shared" si="93"/>
        <v>3</v>
      </c>
      <c r="CP21" s="153"/>
      <c r="CQ21" s="154"/>
      <c r="CR21" s="154"/>
      <c r="CS21" s="155"/>
      <c r="CT21" s="156">
        <f t="shared" si="94"/>
        <v>0</v>
      </c>
      <c r="CU21" s="153"/>
      <c r="CV21" s="154"/>
      <c r="CW21" s="154"/>
      <c r="CX21" s="155"/>
      <c r="CY21" s="156">
        <f t="shared" si="95"/>
        <v>0</v>
      </c>
      <c r="CZ21" s="153"/>
      <c r="DA21" s="154"/>
      <c r="DB21" s="154"/>
      <c r="DC21" s="155"/>
      <c r="DD21" s="156">
        <f t="shared" si="96"/>
        <v>0</v>
      </c>
      <c r="DE21" s="153"/>
      <c r="DF21" s="154">
        <v>1.0</v>
      </c>
      <c r="DG21" s="154">
        <v>2.0</v>
      </c>
      <c r="DH21" s="155"/>
      <c r="DI21" s="156">
        <f t="shared" si="97"/>
        <v>3</v>
      </c>
      <c r="DJ21" s="153"/>
      <c r="DK21" s="154">
        <v>1.0</v>
      </c>
      <c r="DL21" s="154">
        <v>2.0</v>
      </c>
      <c r="DM21" s="155"/>
      <c r="DN21" s="156">
        <f t="shared" si="98"/>
        <v>3</v>
      </c>
      <c r="DO21" s="153"/>
      <c r="DP21" s="154">
        <v>1.0</v>
      </c>
      <c r="DQ21" s="154">
        <v>2.0</v>
      </c>
      <c r="DR21" s="155"/>
      <c r="DS21" s="156">
        <f t="shared" si="99"/>
        <v>3</v>
      </c>
      <c r="DT21" s="153"/>
      <c r="DU21" s="156">
        <f t="shared" si="100"/>
        <v>0</v>
      </c>
      <c r="DV21" s="154">
        <f t="shared" si="101"/>
        <v>6</v>
      </c>
      <c r="DW21" s="163" t="str">
        <f t="shared" si="102"/>
        <v>#DIV/0!</v>
      </c>
      <c r="DX21" s="153"/>
      <c r="DY21" s="156">
        <f t="shared" si="103"/>
        <v>0</v>
      </c>
      <c r="DZ21" s="154">
        <f t="shared" si="104"/>
        <v>6</v>
      </c>
      <c r="EA21" s="163" t="str">
        <f t="shared" si="105"/>
        <v>#DIV/0!</v>
      </c>
      <c r="EB21" s="153"/>
      <c r="EC21" s="156">
        <f t="shared" si="106"/>
        <v>0</v>
      </c>
      <c r="ED21" s="154">
        <f t="shared" si="107"/>
        <v>6</v>
      </c>
      <c r="EE21" s="163" t="str">
        <f t="shared" si="108"/>
        <v>#DIV/0!</v>
      </c>
      <c r="EF21" s="153"/>
      <c r="EG21" s="156">
        <f t="shared" si="109"/>
        <v>2</v>
      </c>
      <c r="EH21" s="154">
        <f t="shared" si="110"/>
        <v>0</v>
      </c>
      <c r="EI21" s="163">
        <f t="shared" si="111"/>
        <v>0</v>
      </c>
      <c r="EJ21" s="153"/>
      <c r="EK21" s="156">
        <f t="shared" si="112"/>
        <v>2</v>
      </c>
      <c r="EL21" s="154">
        <f t="shared" si="113"/>
        <v>6</v>
      </c>
      <c r="EM21" s="163">
        <f t="shared" si="114"/>
        <v>3</v>
      </c>
      <c r="EN21" s="153"/>
      <c r="EO21" s="156">
        <f t="shared" ref="EO21:EP21" si="123">SUM(CL21,DP21)</f>
        <v>2</v>
      </c>
      <c r="EP21" s="156">
        <f t="shared" si="123"/>
        <v>4</v>
      </c>
      <c r="EQ21" s="163">
        <f t="shared" si="116"/>
        <v>2</v>
      </c>
      <c r="ER21" s="153"/>
      <c r="ES21" s="156">
        <f t="shared" ref="ES21:ET21" si="124">SUM(DU21,EG21)</f>
        <v>2</v>
      </c>
      <c r="ET21" s="154">
        <f t="shared" si="124"/>
        <v>6</v>
      </c>
      <c r="EU21" s="163">
        <f t="shared" si="118"/>
        <v>3</v>
      </c>
      <c r="EV21" s="153"/>
      <c r="EW21" s="156">
        <f t="shared" ref="EW21:EX21" si="125">SUM(DY21,EK21)</f>
        <v>2</v>
      </c>
      <c r="EX21" s="154">
        <f t="shared" si="125"/>
        <v>12</v>
      </c>
      <c r="EY21" s="163">
        <f t="shared" si="120"/>
        <v>6</v>
      </c>
      <c r="EZ21" s="153"/>
      <c r="FA21" s="156">
        <f t="shared" ref="FA21:FB21" si="126">SUM(EC21,EO21)</f>
        <v>2</v>
      </c>
      <c r="FB21" s="154">
        <f t="shared" si="126"/>
        <v>10</v>
      </c>
      <c r="FC21" s="163">
        <f t="shared" si="122"/>
        <v>5</v>
      </c>
      <c r="FD21" s="153"/>
      <c r="FE21" s="4"/>
      <c r="FF21" s="164"/>
      <c r="FG21" s="4"/>
      <c r="FH21" s="20"/>
      <c r="FI21" s="20"/>
      <c r="FJ21" s="4"/>
      <c r="FK21" s="4"/>
      <c r="FL21" s="20"/>
      <c r="FM21" s="20"/>
      <c r="FN21" s="4"/>
      <c r="FO21" s="4"/>
      <c r="FP21" s="4"/>
      <c r="FQ21" s="4"/>
      <c r="FR21" s="4"/>
      <c r="FS21" s="1"/>
      <c r="FT21" s="1"/>
    </row>
    <row r="22" ht="15.75" customHeight="1">
      <c r="A22" s="169"/>
      <c r="B22" s="168"/>
      <c r="C22" s="152"/>
      <c r="D22" s="153"/>
      <c r="E22" s="154"/>
      <c r="F22" s="154"/>
      <c r="G22" s="154"/>
      <c r="H22" s="156">
        <f t="shared" si="76"/>
        <v>0</v>
      </c>
      <c r="I22" s="153"/>
      <c r="J22" s="154"/>
      <c r="K22" s="154"/>
      <c r="L22" s="154"/>
      <c r="M22" s="156">
        <f t="shared" si="77"/>
        <v>0</v>
      </c>
      <c r="N22" s="153"/>
      <c r="O22" s="154"/>
      <c r="P22" s="154"/>
      <c r="Q22" s="154"/>
      <c r="R22" s="156">
        <f t="shared" si="78"/>
        <v>0</v>
      </c>
      <c r="S22" s="153"/>
      <c r="T22" s="154"/>
      <c r="U22" s="154"/>
      <c r="V22" s="154"/>
      <c r="W22" s="156">
        <f t="shared" si="79"/>
        <v>0</v>
      </c>
      <c r="X22" s="153"/>
      <c r="Y22" s="154"/>
      <c r="Z22" s="154"/>
      <c r="AA22" s="154"/>
      <c r="AB22" s="156">
        <f t="shared" si="80"/>
        <v>0</v>
      </c>
      <c r="AC22" s="153"/>
      <c r="AD22" s="154"/>
      <c r="AE22" s="154"/>
      <c r="AF22" s="154"/>
      <c r="AG22" s="156">
        <f t="shared" si="81"/>
        <v>0</v>
      </c>
      <c r="AH22" s="153"/>
      <c r="AI22" s="154"/>
      <c r="AJ22" s="154"/>
      <c r="AK22" s="154"/>
      <c r="AL22" s="156">
        <f t="shared" si="82"/>
        <v>0</v>
      </c>
      <c r="AM22" s="153"/>
      <c r="AN22" s="154"/>
      <c r="AO22" s="154"/>
      <c r="AP22" s="154"/>
      <c r="AQ22" s="156">
        <f t="shared" si="83"/>
        <v>0</v>
      </c>
      <c r="AR22" s="153"/>
      <c r="AS22" s="154"/>
      <c r="AT22" s="154"/>
      <c r="AU22" s="154"/>
      <c r="AV22" s="156">
        <f t="shared" si="84"/>
        <v>0</v>
      </c>
      <c r="AW22" s="153"/>
      <c r="AX22" s="154"/>
      <c r="AY22" s="154"/>
      <c r="AZ22" s="154"/>
      <c r="BA22" s="156">
        <f t="shared" si="85"/>
        <v>0</v>
      </c>
      <c r="BB22" s="153"/>
      <c r="BC22" s="154"/>
      <c r="BD22" s="154"/>
      <c r="BE22" s="154"/>
      <c r="BF22" s="156">
        <f t="shared" si="86"/>
        <v>0</v>
      </c>
      <c r="BG22" s="153"/>
      <c r="BH22" s="154"/>
      <c r="BI22" s="154"/>
      <c r="BJ22" s="154"/>
      <c r="BK22" s="156">
        <f t="shared" si="87"/>
        <v>0</v>
      </c>
      <c r="BL22" s="153"/>
      <c r="BM22" s="154"/>
      <c r="BN22" s="154"/>
      <c r="BO22" s="154"/>
      <c r="BP22" s="156">
        <f t="shared" si="88"/>
        <v>0</v>
      </c>
      <c r="BQ22" s="153"/>
      <c r="BR22" s="154"/>
      <c r="BS22" s="154"/>
      <c r="BT22" s="154"/>
      <c r="BU22" s="156">
        <f t="shared" si="89"/>
        <v>0</v>
      </c>
      <c r="BV22" s="153"/>
      <c r="BW22" s="154"/>
      <c r="BX22" s="154"/>
      <c r="BY22" s="154"/>
      <c r="BZ22" s="156">
        <f t="shared" si="90"/>
        <v>0</v>
      </c>
      <c r="CA22" s="153"/>
      <c r="CB22" s="154"/>
      <c r="CC22" s="154"/>
      <c r="CD22" s="154"/>
      <c r="CE22" s="156">
        <f t="shared" si="91"/>
        <v>0</v>
      </c>
      <c r="CF22" s="153"/>
      <c r="CG22" s="154"/>
      <c r="CH22" s="154"/>
      <c r="CI22" s="154"/>
      <c r="CJ22" s="156">
        <f t="shared" si="92"/>
        <v>0</v>
      </c>
      <c r="CK22" s="153"/>
      <c r="CL22" s="154"/>
      <c r="CM22" s="154"/>
      <c r="CN22" s="154"/>
      <c r="CO22" s="156">
        <f t="shared" si="93"/>
        <v>0</v>
      </c>
      <c r="CP22" s="153"/>
      <c r="CQ22" s="154"/>
      <c r="CR22" s="154"/>
      <c r="CS22" s="154"/>
      <c r="CT22" s="156">
        <f t="shared" si="94"/>
        <v>0</v>
      </c>
      <c r="CU22" s="153"/>
      <c r="CV22" s="154"/>
      <c r="CW22" s="154"/>
      <c r="CX22" s="154"/>
      <c r="CY22" s="156">
        <f t="shared" si="95"/>
        <v>0</v>
      </c>
      <c r="CZ22" s="153"/>
      <c r="DA22" s="154"/>
      <c r="DB22" s="154"/>
      <c r="DC22" s="154"/>
      <c r="DD22" s="156">
        <f t="shared" si="96"/>
        <v>0</v>
      </c>
      <c r="DE22" s="153"/>
      <c r="DF22" s="154"/>
      <c r="DG22" s="154"/>
      <c r="DH22" s="154"/>
      <c r="DI22" s="156">
        <f t="shared" si="97"/>
        <v>0</v>
      </c>
      <c r="DJ22" s="153"/>
      <c r="DK22" s="154"/>
      <c r="DL22" s="154"/>
      <c r="DM22" s="154"/>
      <c r="DN22" s="156">
        <f t="shared" si="98"/>
        <v>0</v>
      </c>
      <c r="DO22" s="153"/>
      <c r="DP22" s="154"/>
      <c r="DQ22" s="154"/>
      <c r="DR22" s="154"/>
      <c r="DS22" s="156">
        <f t="shared" si="99"/>
        <v>0</v>
      </c>
      <c r="DT22" s="153"/>
      <c r="DU22" s="156">
        <f t="shared" si="100"/>
        <v>0</v>
      </c>
      <c r="DV22" s="154">
        <f t="shared" si="101"/>
        <v>0</v>
      </c>
      <c r="DW22" s="163" t="str">
        <f t="shared" si="102"/>
        <v>#DIV/0!</v>
      </c>
      <c r="DX22" s="153"/>
      <c r="DY22" s="156">
        <f t="shared" si="103"/>
        <v>0</v>
      </c>
      <c r="DZ22" s="154">
        <f t="shared" si="104"/>
        <v>0</v>
      </c>
      <c r="EA22" s="163" t="str">
        <f t="shared" si="105"/>
        <v>#DIV/0!</v>
      </c>
      <c r="EB22" s="153"/>
      <c r="EC22" s="156">
        <f t="shared" si="106"/>
        <v>0</v>
      </c>
      <c r="ED22" s="154">
        <f t="shared" si="107"/>
        <v>0</v>
      </c>
      <c r="EE22" s="163" t="str">
        <f t="shared" si="108"/>
        <v>#DIV/0!</v>
      </c>
      <c r="EF22" s="153"/>
      <c r="EG22" s="156">
        <f t="shared" si="109"/>
        <v>0</v>
      </c>
      <c r="EH22" s="154">
        <f t="shared" si="110"/>
        <v>0</v>
      </c>
      <c r="EI22" s="163" t="str">
        <f t="shared" si="111"/>
        <v>#DIV/0!</v>
      </c>
      <c r="EJ22" s="153"/>
      <c r="EK22" s="156">
        <f t="shared" si="112"/>
        <v>0</v>
      </c>
      <c r="EL22" s="154">
        <f t="shared" si="113"/>
        <v>0</v>
      </c>
      <c r="EM22" s="163" t="str">
        <f t="shared" si="114"/>
        <v>#DIV/0!</v>
      </c>
      <c r="EN22" s="153"/>
      <c r="EO22" s="156">
        <f t="shared" ref="EO22:EP22" si="127">SUM(CL22,DP22)</f>
        <v>0</v>
      </c>
      <c r="EP22" s="156">
        <f t="shared" si="127"/>
        <v>0</v>
      </c>
      <c r="EQ22" s="163" t="str">
        <f t="shared" si="116"/>
        <v>#DIV/0!</v>
      </c>
      <c r="ER22" s="153"/>
      <c r="ES22" s="156">
        <f t="shared" ref="ES22:ET22" si="128">SUM(DU22,EG22)</f>
        <v>0</v>
      </c>
      <c r="ET22" s="154">
        <f t="shared" si="128"/>
        <v>0</v>
      </c>
      <c r="EU22" s="163" t="str">
        <f t="shared" si="118"/>
        <v>#DIV/0!</v>
      </c>
      <c r="EV22" s="153"/>
      <c r="EW22" s="156">
        <f t="shared" ref="EW22:EX22" si="129">SUM(DY22,EK22)</f>
        <v>0</v>
      </c>
      <c r="EX22" s="154">
        <f t="shared" si="129"/>
        <v>0</v>
      </c>
      <c r="EY22" s="163" t="str">
        <f t="shared" si="120"/>
        <v>#DIV/0!</v>
      </c>
      <c r="EZ22" s="153"/>
      <c r="FA22" s="156">
        <f t="shared" ref="FA22:FB22" si="130">SUM(EC22,EO22)</f>
        <v>0</v>
      </c>
      <c r="FB22" s="154">
        <f t="shared" si="130"/>
        <v>0</v>
      </c>
      <c r="FC22" s="163" t="str">
        <f t="shared" si="122"/>
        <v>#DIV/0!</v>
      </c>
      <c r="FD22" s="153"/>
      <c r="FE22" s="4"/>
      <c r="FF22" s="164"/>
      <c r="FG22" s="4"/>
      <c r="FH22" s="20"/>
      <c r="FI22" s="20"/>
      <c r="FJ22" s="4"/>
      <c r="FK22" s="4"/>
      <c r="FL22" s="20"/>
      <c r="FM22" s="20"/>
      <c r="FN22" s="4"/>
      <c r="FO22" s="4"/>
      <c r="FP22" s="4"/>
      <c r="FQ22" s="4"/>
      <c r="FR22" s="4"/>
      <c r="FS22" s="1"/>
      <c r="FT22" s="1"/>
    </row>
    <row r="23" ht="15.75" customHeight="1">
      <c r="A23" s="167"/>
      <c r="B23" s="168"/>
      <c r="C23" s="152"/>
      <c r="D23" s="153"/>
      <c r="E23" s="154"/>
      <c r="F23" s="154"/>
      <c r="G23" s="154"/>
      <c r="H23" s="156">
        <f t="shared" si="76"/>
        <v>0</v>
      </c>
      <c r="I23" s="153"/>
      <c r="J23" s="154"/>
      <c r="K23" s="154"/>
      <c r="L23" s="154"/>
      <c r="M23" s="156">
        <f t="shared" si="77"/>
        <v>0</v>
      </c>
      <c r="N23" s="153"/>
      <c r="O23" s="154"/>
      <c r="P23" s="154"/>
      <c r="Q23" s="154"/>
      <c r="R23" s="156">
        <f t="shared" si="78"/>
        <v>0</v>
      </c>
      <c r="S23" s="153"/>
      <c r="T23" s="154"/>
      <c r="U23" s="154"/>
      <c r="V23" s="154"/>
      <c r="W23" s="156">
        <f t="shared" si="79"/>
        <v>0</v>
      </c>
      <c r="X23" s="153"/>
      <c r="Y23" s="154"/>
      <c r="Z23" s="154"/>
      <c r="AA23" s="154"/>
      <c r="AB23" s="156">
        <f t="shared" si="80"/>
        <v>0</v>
      </c>
      <c r="AC23" s="153"/>
      <c r="AD23" s="154"/>
      <c r="AE23" s="154"/>
      <c r="AF23" s="154"/>
      <c r="AG23" s="156">
        <f t="shared" si="81"/>
        <v>0</v>
      </c>
      <c r="AH23" s="153"/>
      <c r="AI23" s="154"/>
      <c r="AJ23" s="154"/>
      <c r="AK23" s="154"/>
      <c r="AL23" s="156">
        <f t="shared" si="82"/>
        <v>0</v>
      </c>
      <c r="AM23" s="153"/>
      <c r="AN23" s="154"/>
      <c r="AO23" s="154"/>
      <c r="AP23" s="154"/>
      <c r="AQ23" s="156">
        <f t="shared" si="83"/>
        <v>0</v>
      </c>
      <c r="AR23" s="153"/>
      <c r="AS23" s="154"/>
      <c r="AT23" s="154"/>
      <c r="AU23" s="154"/>
      <c r="AV23" s="156">
        <f t="shared" si="84"/>
        <v>0</v>
      </c>
      <c r="AW23" s="153"/>
      <c r="AX23" s="154"/>
      <c r="AY23" s="154"/>
      <c r="AZ23" s="154"/>
      <c r="BA23" s="156">
        <f t="shared" si="85"/>
        <v>0</v>
      </c>
      <c r="BB23" s="153"/>
      <c r="BC23" s="154"/>
      <c r="BD23" s="154"/>
      <c r="BE23" s="154"/>
      <c r="BF23" s="156">
        <f t="shared" si="86"/>
        <v>0</v>
      </c>
      <c r="BG23" s="153"/>
      <c r="BH23" s="154"/>
      <c r="BI23" s="154"/>
      <c r="BJ23" s="154"/>
      <c r="BK23" s="156">
        <f t="shared" si="87"/>
        <v>0</v>
      </c>
      <c r="BL23" s="153"/>
      <c r="BM23" s="154"/>
      <c r="BN23" s="154"/>
      <c r="BO23" s="154"/>
      <c r="BP23" s="156">
        <f t="shared" si="88"/>
        <v>0</v>
      </c>
      <c r="BQ23" s="153"/>
      <c r="BR23" s="154"/>
      <c r="BS23" s="154"/>
      <c r="BT23" s="154"/>
      <c r="BU23" s="156">
        <f t="shared" si="89"/>
        <v>0</v>
      </c>
      <c r="BV23" s="153"/>
      <c r="BW23" s="154"/>
      <c r="BX23" s="154"/>
      <c r="BY23" s="154"/>
      <c r="BZ23" s="156">
        <f t="shared" si="90"/>
        <v>0</v>
      </c>
      <c r="CA23" s="153"/>
      <c r="CB23" s="154"/>
      <c r="CC23" s="154"/>
      <c r="CD23" s="154"/>
      <c r="CE23" s="156">
        <f t="shared" si="91"/>
        <v>0</v>
      </c>
      <c r="CF23" s="153"/>
      <c r="CG23" s="154"/>
      <c r="CH23" s="154"/>
      <c r="CI23" s="154"/>
      <c r="CJ23" s="156">
        <f t="shared" si="92"/>
        <v>0</v>
      </c>
      <c r="CK23" s="153"/>
      <c r="CL23" s="154"/>
      <c r="CM23" s="154"/>
      <c r="CN23" s="154"/>
      <c r="CO23" s="156">
        <f t="shared" si="93"/>
        <v>0</v>
      </c>
      <c r="CP23" s="153"/>
      <c r="CQ23" s="154"/>
      <c r="CR23" s="154"/>
      <c r="CS23" s="154"/>
      <c r="CT23" s="156">
        <f t="shared" si="94"/>
        <v>0</v>
      </c>
      <c r="CU23" s="153"/>
      <c r="CV23" s="154"/>
      <c r="CW23" s="154"/>
      <c r="CX23" s="154"/>
      <c r="CY23" s="156">
        <f t="shared" si="95"/>
        <v>0</v>
      </c>
      <c r="CZ23" s="153"/>
      <c r="DA23" s="154"/>
      <c r="DB23" s="154"/>
      <c r="DC23" s="154"/>
      <c r="DD23" s="156">
        <f t="shared" si="96"/>
        <v>0</v>
      </c>
      <c r="DE23" s="153"/>
      <c r="DF23" s="154"/>
      <c r="DG23" s="154"/>
      <c r="DH23" s="154"/>
      <c r="DI23" s="156">
        <f t="shared" si="97"/>
        <v>0</v>
      </c>
      <c r="DJ23" s="153"/>
      <c r="DK23" s="154"/>
      <c r="DL23" s="154"/>
      <c r="DM23" s="154"/>
      <c r="DN23" s="156">
        <f t="shared" si="98"/>
        <v>0</v>
      </c>
      <c r="DO23" s="153"/>
      <c r="DP23" s="154"/>
      <c r="DQ23" s="154"/>
      <c r="DR23" s="154"/>
      <c r="DS23" s="156">
        <f t="shared" si="99"/>
        <v>0</v>
      </c>
      <c r="DT23" s="153"/>
      <c r="DU23" s="156">
        <f t="shared" si="100"/>
        <v>0</v>
      </c>
      <c r="DV23" s="154">
        <f t="shared" si="101"/>
        <v>0</v>
      </c>
      <c r="DW23" s="163" t="str">
        <f t="shared" si="102"/>
        <v>#DIV/0!</v>
      </c>
      <c r="DX23" s="153"/>
      <c r="DY23" s="156">
        <f t="shared" si="103"/>
        <v>0</v>
      </c>
      <c r="DZ23" s="154">
        <f t="shared" si="104"/>
        <v>0</v>
      </c>
      <c r="EA23" s="163" t="str">
        <f t="shared" si="105"/>
        <v>#DIV/0!</v>
      </c>
      <c r="EB23" s="153"/>
      <c r="EC23" s="156">
        <f t="shared" si="106"/>
        <v>0</v>
      </c>
      <c r="ED23" s="154">
        <f t="shared" si="107"/>
        <v>0</v>
      </c>
      <c r="EE23" s="163" t="str">
        <f t="shared" si="108"/>
        <v>#DIV/0!</v>
      </c>
      <c r="EF23" s="153"/>
      <c r="EG23" s="156">
        <f t="shared" si="109"/>
        <v>0</v>
      </c>
      <c r="EH23" s="154">
        <f t="shared" si="110"/>
        <v>0</v>
      </c>
      <c r="EI23" s="163" t="str">
        <f t="shared" si="111"/>
        <v>#DIV/0!</v>
      </c>
      <c r="EJ23" s="153"/>
      <c r="EK23" s="156">
        <f t="shared" si="112"/>
        <v>0</v>
      </c>
      <c r="EL23" s="154">
        <f t="shared" si="113"/>
        <v>0</v>
      </c>
      <c r="EM23" s="163" t="str">
        <f t="shared" si="114"/>
        <v>#DIV/0!</v>
      </c>
      <c r="EN23" s="153"/>
      <c r="EO23" s="156">
        <f t="shared" ref="EO23:EP23" si="131">SUM(CL23,DP23)</f>
        <v>0</v>
      </c>
      <c r="EP23" s="156">
        <f t="shared" si="131"/>
        <v>0</v>
      </c>
      <c r="EQ23" s="163" t="str">
        <f t="shared" si="116"/>
        <v>#DIV/0!</v>
      </c>
      <c r="ER23" s="153"/>
      <c r="ES23" s="156">
        <f t="shared" ref="ES23:ET23" si="132">SUM(DU23,EG23)</f>
        <v>0</v>
      </c>
      <c r="ET23" s="154">
        <f t="shared" si="132"/>
        <v>0</v>
      </c>
      <c r="EU23" s="163" t="str">
        <f t="shared" si="118"/>
        <v>#DIV/0!</v>
      </c>
      <c r="EV23" s="153"/>
      <c r="EW23" s="156">
        <f t="shared" ref="EW23:EX23" si="133">SUM(DY23,EK23)</f>
        <v>0</v>
      </c>
      <c r="EX23" s="154">
        <f t="shared" si="133"/>
        <v>0</v>
      </c>
      <c r="EY23" s="163" t="str">
        <f t="shared" si="120"/>
        <v>#DIV/0!</v>
      </c>
      <c r="EZ23" s="153"/>
      <c r="FA23" s="156">
        <f t="shared" ref="FA23:FB23" si="134">SUM(EC23,EO23)</f>
        <v>0</v>
      </c>
      <c r="FB23" s="154">
        <f t="shared" si="134"/>
        <v>0</v>
      </c>
      <c r="FC23" s="163" t="str">
        <f t="shared" si="122"/>
        <v>#DIV/0!</v>
      </c>
      <c r="FD23" s="153"/>
      <c r="FE23" s="4"/>
      <c r="FF23" s="164"/>
      <c r="FG23" s="4"/>
      <c r="FH23" s="20"/>
      <c r="FI23" s="20"/>
      <c r="FJ23" s="4"/>
      <c r="FK23" s="4"/>
      <c r="FL23" s="20"/>
      <c r="FM23" s="20"/>
      <c r="FN23" s="4"/>
      <c r="FO23" s="4"/>
      <c r="FP23" s="4"/>
      <c r="FQ23" s="4"/>
      <c r="FR23" s="4"/>
      <c r="FS23" s="1"/>
      <c r="FT23" s="1"/>
    </row>
    <row r="24" ht="15.75" customHeight="1">
      <c r="A24" s="167"/>
      <c r="B24" s="168"/>
      <c r="C24" s="152"/>
      <c r="D24" s="153"/>
      <c r="E24" s="154"/>
      <c r="F24" s="154"/>
      <c r="G24" s="154"/>
      <c r="H24" s="156">
        <f t="shared" si="76"/>
        <v>0</v>
      </c>
      <c r="I24" s="153"/>
      <c r="J24" s="154"/>
      <c r="K24" s="154"/>
      <c r="L24" s="154"/>
      <c r="M24" s="156">
        <f t="shared" si="77"/>
        <v>0</v>
      </c>
      <c r="N24" s="153"/>
      <c r="O24" s="154"/>
      <c r="P24" s="154"/>
      <c r="Q24" s="154"/>
      <c r="R24" s="156">
        <f t="shared" si="78"/>
        <v>0</v>
      </c>
      <c r="S24" s="153"/>
      <c r="T24" s="154"/>
      <c r="U24" s="154"/>
      <c r="V24" s="154"/>
      <c r="W24" s="156">
        <f t="shared" si="79"/>
        <v>0</v>
      </c>
      <c r="X24" s="153"/>
      <c r="Y24" s="154"/>
      <c r="Z24" s="154"/>
      <c r="AA24" s="154"/>
      <c r="AB24" s="156">
        <f t="shared" si="80"/>
        <v>0</v>
      </c>
      <c r="AC24" s="153"/>
      <c r="AD24" s="154"/>
      <c r="AE24" s="154"/>
      <c r="AF24" s="154"/>
      <c r="AG24" s="156">
        <f t="shared" si="81"/>
        <v>0</v>
      </c>
      <c r="AH24" s="153"/>
      <c r="AI24" s="154"/>
      <c r="AJ24" s="154"/>
      <c r="AK24" s="154"/>
      <c r="AL24" s="156">
        <f t="shared" si="82"/>
        <v>0</v>
      </c>
      <c r="AM24" s="153"/>
      <c r="AN24" s="154"/>
      <c r="AO24" s="154"/>
      <c r="AP24" s="154"/>
      <c r="AQ24" s="156">
        <f t="shared" si="83"/>
        <v>0</v>
      </c>
      <c r="AR24" s="153"/>
      <c r="AS24" s="154"/>
      <c r="AT24" s="154"/>
      <c r="AU24" s="154"/>
      <c r="AV24" s="156">
        <f t="shared" si="84"/>
        <v>0</v>
      </c>
      <c r="AW24" s="153"/>
      <c r="AX24" s="154"/>
      <c r="AY24" s="154"/>
      <c r="AZ24" s="154"/>
      <c r="BA24" s="156">
        <f t="shared" si="85"/>
        <v>0</v>
      </c>
      <c r="BB24" s="153"/>
      <c r="BC24" s="154"/>
      <c r="BD24" s="154"/>
      <c r="BE24" s="154"/>
      <c r="BF24" s="156">
        <f t="shared" si="86"/>
        <v>0</v>
      </c>
      <c r="BG24" s="153"/>
      <c r="BH24" s="154"/>
      <c r="BI24" s="154"/>
      <c r="BJ24" s="154"/>
      <c r="BK24" s="156">
        <f t="shared" si="87"/>
        <v>0</v>
      </c>
      <c r="BL24" s="153"/>
      <c r="BM24" s="154"/>
      <c r="BN24" s="154"/>
      <c r="BO24" s="154"/>
      <c r="BP24" s="156">
        <f t="shared" si="88"/>
        <v>0</v>
      </c>
      <c r="BQ24" s="153"/>
      <c r="BR24" s="154"/>
      <c r="BS24" s="154"/>
      <c r="BT24" s="154"/>
      <c r="BU24" s="156">
        <f t="shared" si="89"/>
        <v>0</v>
      </c>
      <c r="BV24" s="153"/>
      <c r="BW24" s="154"/>
      <c r="BX24" s="154"/>
      <c r="BY24" s="154"/>
      <c r="BZ24" s="156">
        <f t="shared" si="90"/>
        <v>0</v>
      </c>
      <c r="CA24" s="153"/>
      <c r="CB24" s="154"/>
      <c r="CC24" s="154"/>
      <c r="CD24" s="154"/>
      <c r="CE24" s="156">
        <f t="shared" si="91"/>
        <v>0</v>
      </c>
      <c r="CF24" s="153"/>
      <c r="CG24" s="154"/>
      <c r="CH24" s="154"/>
      <c r="CI24" s="154"/>
      <c r="CJ24" s="156">
        <f t="shared" si="92"/>
        <v>0</v>
      </c>
      <c r="CK24" s="153"/>
      <c r="CL24" s="154"/>
      <c r="CM24" s="154"/>
      <c r="CN24" s="154"/>
      <c r="CO24" s="156">
        <f t="shared" si="93"/>
        <v>0</v>
      </c>
      <c r="CP24" s="153"/>
      <c r="CQ24" s="154"/>
      <c r="CR24" s="154"/>
      <c r="CS24" s="154"/>
      <c r="CT24" s="156">
        <f t="shared" si="94"/>
        <v>0</v>
      </c>
      <c r="CU24" s="153"/>
      <c r="CV24" s="154"/>
      <c r="CW24" s="154"/>
      <c r="CX24" s="154"/>
      <c r="CY24" s="156">
        <f t="shared" si="95"/>
        <v>0</v>
      </c>
      <c r="CZ24" s="153"/>
      <c r="DA24" s="154"/>
      <c r="DB24" s="154"/>
      <c r="DC24" s="154"/>
      <c r="DD24" s="156">
        <f t="shared" si="96"/>
        <v>0</v>
      </c>
      <c r="DE24" s="153"/>
      <c r="DF24" s="154"/>
      <c r="DG24" s="154"/>
      <c r="DH24" s="154"/>
      <c r="DI24" s="156">
        <f t="shared" si="97"/>
        <v>0</v>
      </c>
      <c r="DJ24" s="153"/>
      <c r="DK24" s="154"/>
      <c r="DL24" s="154"/>
      <c r="DM24" s="154"/>
      <c r="DN24" s="156">
        <f t="shared" si="98"/>
        <v>0</v>
      </c>
      <c r="DO24" s="153"/>
      <c r="DP24" s="154"/>
      <c r="DQ24" s="154"/>
      <c r="DR24" s="154"/>
      <c r="DS24" s="156">
        <f t="shared" si="99"/>
        <v>0</v>
      </c>
      <c r="DT24" s="153"/>
      <c r="DU24" s="156">
        <f t="shared" si="100"/>
        <v>0</v>
      </c>
      <c r="DV24" s="154">
        <f t="shared" si="101"/>
        <v>0</v>
      </c>
      <c r="DW24" s="163" t="str">
        <f t="shared" si="102"/>
        <v>#DIV/0!</v>
      </c>
      <c r="DX24" s="153"/>
      <c r="DY24" s="156">
        <f t="shared" si="103"/>
        <v>0</v>
      </c>
      <c r="DZ24" s="154">
        <f t="shared" si="104"/>
        <v>0</v>
      </c>
      <c r="EA24" s="163" t="str">
        <f t="shared" si="105"/>
        <v>#DIV/0!</v>
      </c>
      <c r="EB24" s="153"/>
      <c r="EC24" s="156">
        <f t="shared" si="106"/>
        <v>0</v>
      </c>
      <c r="ED24" s="154">
        <f t="shared" si="107"/>
        <v>0</v>
      </c>
      <c r="EE24" s="163" t="str">
        <f t="shared" si="108"/>
        <v>#DIV/0!</v>
      </c>
      <c r="EF24" s="153"/>
      <c r="EG24" s="156">
        <f t="shared" si="109"/>
        <v>0</v>
      </c>
      <c r="EH24" s="154">
        <f t="shared" si="110"/>
        <v>0</v>
      </c>
      <c r="EI24" s="163" t="str">
        <f t="shared" si="111"/>
        <v>#DIV/0!</v>
      </c>
      <c r="EJ24" s="153"/>
      <c r="EK24" s="156">
        <f t="shared" si="112"/>
        <v>0</v>
      </c>
      <c r="EL24" s="154">
        <f t="shared" si="113"/>
        <v>0</v>
      </c>
      <c r="EM24" s="163" t="str">
        <f t="shared" si="114"/>
        <v>#DIV/0!</v>
      </c>
      <c r="EN24" s="153"/>
      <c r="EO24" s="156">
        <f t="shared" ref="EO24:EP24" si="135">SUM(CL24,DP24)</f>
        <v>0</v>
      </c>
      <c r="EP24" s="156">
        <f t="shared" si="135"/>
        <v>0</v>
      </c>
      <c r="EQ24" s="163" t="str">
        <f t="shared" si="116"/>
        <v>#DIV/0!</v>
      </c>
      <c r="ER24" s="153"/>
      <c r="ES24" s="156">
        <f t="shared" ref="ES24:ET24" si="136">SUM(DU24,EG24)</f>
        <v>0</v>
      </c>
      <c r="ET24" s="154">
        <f t="shared" si="136"/>
        <v>0</v>
      </c>
      <c r="EU24" s="163" t="str">
        <f t="shared" si="118"/>
        <v>#DIV/0!</v>
      </c>
      <c r="EV24" s="153"/>
      <c r="EW24" s="156">
        <f t="shared" ref="EW24:EX24" si="137">SUM(DY24,EK24)</f>
        <v>0</v>
      </c>
      <c r="EX24" s="154">
        <f t="shared" si="137"/>
        <v>0</v>
      </c>
      <c r="EY24" s="163" t="str">
        <f t="shared" si="120"/>
        <v>#DIV/0!</v>
      </c>
      <c r="EZ24" s="153"/>
      <c r="FA24" s="156">
        <f t="shared" ref="FA24:FB24" si="138">SUM(EC24,EO24)</f>
        <v>0</v>
      </c>
      <c r="FB24" s="154">
        <f t="shared" si="138"/>
        <v>0</v>
      </c>
      <c r="FC24" s="163" t="str">
        <f t="shared" si="122"/>
        <v>#DIV/0!</v>
      </c>
      <c r="FD24" s="153"/>
      <c r="FE24" s="4"/>
      <c r="FF24" s="164"/>
      <c r="FG24" s="4"/>
      <c r="FH24" s="20"/>
      <c r="FI24" s="20"/>
      <c r="FJ24" s="4"/>
      <c r="FK24" s="4"/>
      <c r="FL24" s="20"/>
      <c r="FM24" s="20"/>
      <c r="FN24" s="4"/>
      <c r="FO24" s="4"/>
      <c r="FP24" s="4"/>
      <c r="FQ24" s="4"/>
      <c r="FR24" s="4"/>
      <c r="FS24" s="1"/>
      <c r="FT24" s="1"/>
    </row>
    <row r="25" ht="15.75" customHeight="1">
      <c r="A25" s="167"/>
      <c r="B25" s="168"/>
      <c r="C25" s="152"/>
      <c r="D25" s="153"/>
      <c r="E25" s="154"/>
      <c r="F25" s="154"/>
      <c r="G25" s="154"/>
      <c r="H25" s="156">
        <f t="shared" si="76"/>
        <v>0</v>
      </c>
      <c r="I25" s="153"/>
      <c r="J25" s="154"/>
      <c r="K25" s="154"/>
      <c r="L25" s="154"/>
      <c r="M25" s="156">
        <f t="shared" si="77"/>
        <v>0</v>
      </c>
      <c r="N25" s="153"/>
      <c r="O25" s="154"/>
      <c r="P25" s="154"/>
      <c r="Q25" s="154"/>
      <c r="R25" s="156">
        <f t="shared" si="78"/>
        <v>0</v>
      </c>
      <c r="S25" s="153"/>
      <c r="T25" s="154"/>
      <c r="U25" s="154"/>
      <c r="V25" s="154"/>
      <c r="W25" s="156">
        <f t="shared" si="79"/>
        <v>0</v>
      </c>
      <c r="X25" s="153"/>
      <c r="Y25" s="154"/>
      <c r="Z25" s="154"/>
      <c r="AA25" s="154"/>
      <c r="AB25" s="156">
        <f t="shared" si="80"/>
        <v>0</v>
      </c>
      <c r="AC25" s="153"/>
      <c r="AD25" s="154"/>
      <c r="AE25" s="154"/>
      <c r="AF25" s="154"/>
      <c r="AG25" s="156">
        <f t="shared" si="81"/>
        <v>0</v>
      </c>
      <c r="AH25" s="153"/>
      <c r="AI25" s="154"/>
      <c r="AJ25" s="154"/>
      <c r="AK25" s="154"/>
      <c r="AL25" s="156">
        <f t="shared" si="82"/>
        <v>0</v>
      </c>
      <c r="AM25" s="153"/>
      <c r="AN25" s="154"/>
      <c r="AO25" s="154"/>
      <c r="AP25" s="154"/>
      <c r="AQ25" s="156">
        <f t="shared" si="83"/>
        <v>0</v>
      </c>
      <c r="AR25" s="153"/>
      <c r="AS25" s="154"/>
      <c r="AT25" s="154"/>
      <c r="AU25" s="154"/>
      <c r="AV25" s="156">
        <f t="shared" si="84"/>
        <v>0</v>
      </c>
      <c r="AW25" s="153"/>
      <c r="AX25" s="154"/>
      <c r="AY25" s="154"/>
      <c r="AZ25" s="154"/>
      <c r="BA25" s="156">
        <f t="shared" si="85"/>
        <v>0</v>
      </c>
      <c r="BB25" s="153"/>
      <c r="BC25" s="154"/>
      <c r="BD25" s="154"/>
      <c r="BE25" s="154"/>
      <c r="BF25" s="156">
        <f t="shared" si="86"/>
        <v>0</v>
      </c>
      <c r="BG25" s="153"/>
      <c r="BH25" s="154"/>
      <c r="BI25" s="154"/>
      <c r="BJ25" s="154"/>
      <c r="BK25" s="156">
        <f t="shared" si="87"/>
        <v>0</v>
      </c>
      <c r="BL25" s="153"/>
      <c r="BM25" s="154"/>
      <c r="BN25" s="154"/>
      <c r="BO25" s="154"/>
      <c r="BP25" s="156">
        <f t="shared" si="88"/>
        <v>0</v>
      </c>
      <c r="BQ25" s="153"/>
      <c r="BR25" s="154"/>
      <c r="BS25" s="154"/>
      <c r="BT25" s="154"/>
      <c r="BU25" s="156">
        <f t="shared" si="89"/>
        <v>0</v>
      </c>
      <c r="BV25" s="153"/>
      <c r="BW25" s="154"/>
      <c r="BX25" s="154"/>
      <c r="BY25" s="154"/>
      <c r="BZ25" s="156">
        <f t="shared" si="90"/>
        <v>0</v>
      </c>
      <c r="CA25" s="153"/>
      <c r="CB25" s="154"/>
      <c r="CC25" s="154"/>
      <c r="CD25" s="154"/>
      <c r="CE25" s="156">
        <f t="shared" si="91"/>
        <v>0</v>
      </c>
      <c r="CF25" s="153"/>
      <c r="CG25" s="154"/>
      <c r="CH25" s="154"/>
      <c r="CI25" s="154"/>
      <c r="CJ25" s="156">
        <f t="shared" si="92"/>
        <v>0</v>
      </c>
      <c r="CK25" s="153"/>
      <c r="CL25" s="154"/>
      <c r="CM25" s="154"/>
      <c r="CN25" s="154"/>
      <c r="CO25" s="156">
        <f t="shared" si="93"/>
        <v>0</v>
      </c>
      <c r="CP25" s="153"/>
      <c r="CQ25" s="154"/>
      <c r="CR25" s="154"/>
      <c r="CS25" s="154"/>
      <c r="CT25" s="156">
        <f t="shared" si="94"/>
        <v>0</v>
      </c>
      <c r="CU25" s="153"/>
      <c r="CV25" s="154"/>
      <c r="CW25" s="154"/>
      <c r="CX25" s="154"/>
      <c r="CY25" s="156">
        <f t="shared" si="95"/>
        <v>0</v>
      </c>
      <c r="CZ25" s="153"/>
      <c r="DA25" s="154"/>
      <c r="DB25" s="154"/>
      <c r="DC25" s="154"/>
      <c r="DD25" s="156">
        <f t="shared" si="96"/>
        <v>0</v>
      </c>
      <c r="DE25" s="153"/>
      <c r="DF25" s="154"/>
      <c r="DG25" s="154"/>
      <c r="DH25" s="154"/>
      <c r="DI25" s="156">
        <f t="shared" si="97"/>
        <v>0</v>
      </c>
      <c r="DJ25" s="153"/>
      <c r="DK25" s="154"/>
      <c r="DL25" s="154"/>
      <c r="DM25" s="154"/>
      <c r="DN25" s="156">
        <f t="shared" si="98"/>
        <v>0</v>
      </c>
      <c r="DO25" s="153"/>
      <c r="DP25" s="154"/>
      <c r="DQ25" s="154"/>
      <c r="DR25" s="154"/>
      <c r="DS25" s="156">
        <f t="shared" si="99"/>
        <v>0</v>
      </c>
      <c r="DT25" s="153"/>
      <c r="DU25" s="156">
        <f t="shared" si="100"/>
        <v>0</v>
      </c>
      <c r="DV25" s="154">
        <f t="shared" si="101"/>
        <v>0</v>
      </c>
      <c r="DW25" s="163" t="str">
        <f t="shared" si="102"/>
        <v>#DIV/0!</v>
      </c>
      <c r="DX25" s="153"/>
      <c r="DY25" s="156">
        <f t="shared" si="103"/>
        <v>0</v>
      </c>
      <c r="DZ25" s="154">
        <f t="shared" si="104"/>
        <v>0</v>
      </c>
      <c r="EA25" s="163" t="str">
        <f t="shared" si="105"/>
        <v>#DIV/0!</v>
      </c>
      <c r="EB25" s="153"/>
      <c r="EC25" s="156">
        <f t="shared" si="106"/>
        <v>0</v>
      </c>
      <c r="ED25" s="154">
        <f t="shared" si="107"/>
        <v>0</v>
      </c>
      <c r="EE25" s="163" t="str">
        <f t="shared" si="108"/>
        <v>#DIV/0!</v>
      </c>
      <c r="EF25" s="153"/>
      <c r="EG25" s="156">
        <f t="shared" si="109"/>
        <v>0</v>
      </c>
      <c r="EH25" s="154">
        <f t="shared" si="110"/>
        <v>0</v>
      </c>
      <c r="EI25" s="163" t="str">
        <f t="shared" si="111"/>
        <v>#DIV/0!</v>
      </c>
      <c r="EJ25" s="153"/>
      <c r="EK25" s="156">
        <f t="shared" si="112"/>
        <v>0</v>
      </c>
      <c r="EL25" s="154">
        <f t="shared" si="113"/>
        <v>0</v>
      </c>
      <c r="EM25" s="163" t="str">
        <f t="shared" si="114"/>
        <v>#DIV/0!</v>
      </c>
      <c r="EN25" s="153"/>
      <c r="EO25" s="156">
        <f t="shared" ref="EO25:EP25" si="139">SUM(CL25,DP25)</f>
        <v>0</v>
      </c>
      <c r="EP25" s="156">
        <f t="shared" si="139"/>
        <v>0</v>
      </c>
      <c r="EQ25" s="163" t="str">
        <f t="shared" si="116"/>
        <v>#DIV/0!</v>
      </c>
      <c r="ER25" s="153"/>
      <c r="ES25" s="156">
        <f t="shared" ref="ES25:ET25" si="140">SUM(DU25,EG25)</f>
        <v>0</v>
      </c>
      <c r="ET25" s="154">
        <f t="shared" si="140"/>
        <v>0</v>
      </c>
      <c r="EU25" s="163" t="str">
        <f t="shared" si="118"/>
        <v>#DIV/0!</v>
      </c>
      <c r="EV25" s="153"/>
      <c r="EW25" s="156">
        <f t="shared" ref="EW25:EX25" si="141">SUM(DY25,EK25)</f>
        <v>0</v>
      </c>
      <c r="EX25" s="154">
        <f t="shared" si="141"/>
        <v>0</v>
      </c>
      <c r="EY25" s="163" t="str">
        <f t="shared" si="120"/>
        <v>#DIV/0!</v>
      </c>
      <c r="EZ25" s="153"/>
      <c r="FA25" s="156">
        <f t="shared" ref="FA25:FB25" si="142">SUM(EC25,EO25)</f>
        <v>0</v>
      </c>
      <c r="FB25" s="154">
        <f t="shared" si="142"/>
        <v>0</v>
      </c>
      <c r="FC25" s="163" t="str">
        <f t="shared" si="122"/>
        <v>#DIV/0!</v>
      </c>
      <c r="FD25" s="153"/>
      <c r="FE25" s="4"/>
      <c r="FF25" s="164"/>
      <c r="FG25" s="4"/>
      <c r="FH25" s="20"/>
      <c r="FI25" s="20"/>
      <c r="FJ25" s="4"/>
      <c r="FK25" s="4"/>
      <c r="FL25" s="20"/>
      <c r="FM25" s="20"/>
      <c r="FN25" s="4"/>
      <c r="FO25" s="4"/>
      <c r="FP25" s="4"/>
      <c r="FQ25" s="4"/>
      <c r="FR25" s="4"/>
      <c r="FS25" s="1"/>
      <c r="FT25" s="1"/>
    </row>
    <row r="26" ht="15.75" customHeight="1">
      <c r="A26" s="115" t="s">
        <v>80</v>
      </c>
      <c r="B26" s="115"/>
      <c r="C26" s="173"/>
      <c r="D26" s="174"/>
      <c r="E26" s="115"/>
      <c r="F26" s="115"/>
      <c r="G26" s="115"/>
      <c r="H26" s="175">
        <f>SUM(H18:H24)</f>
        <v>6</v>
      </c>
      <c r="I26" s="174"/>
      <c r="J26" s="115"/>
      <c r="K26" s="115"/>
      <c r="L26" s="115"/>
      <c r="M26" s="175">
        <f>SUM(M18:M24)</f>
        <v>6</v>
      </c>
      <c r="N26" s="174"/>
      <c r="O26" s="115"/>
      <c r="P26" s="115"/>
      <c r="Q26" s="115"/>
      <c r="R26" s="175">
        <f>SUM(R18:R24)</f>
        <v>6</v>
      </c>
      <c r="S26" s="174"/>
      <c r="T26" s="115"/>
      <c r="U26" s="115"/>
      <c r="V26" s="115"/>
      <c r="W26" s="175">
        <f>SUM(W18:W24)</f>
        <v>4</v>
      </c>
      <c r="X26" s="174"/>
      <c r="Y26" s="115"/>
      <c r="Z26" s="115"/>
      <c r="AA26" s="115"/>
      <c r="AB26" s="175">
        <f>SUM(AB18:AB24)</f>
        <v>4</v>
      </c>
      <c r="AC26" s="174"/>
      <c r="AD26" s="115"/>
      <c r="AE26" s="115"/>
      <c r="AF26" s="115"/>
      <c r="AG26" s="175">
        <f>SUM(AG18:AG24)</f>
        <v>4</v>
      </c>
      <c r="AH26" s="174"/>
      <c r="AI26" s="115"/>
      <c r="AJ26" s="115"/>
      <c r="AK26" s="115"/>
      <c r="AL26" s="175">
        <f>SUM(AL18:AL24)</f>
        <v>6</v>
      </c>
      <c r="AM26" s="174"/>
      <c r="AN26" s="115"/>
      <c r="AO26" s="115"/>
      <c r="AP26" s="115"/>
      <c r="AQ26" s="175">
        <f>SUM(AQ18:AQ24)</f>
        <v>6</v>
      </c>
      <c r="AR26" s="174"/>
      <c r="AS26" s="115"/>
      <c r="AT26" s="115"/>
      <c r="AU26" s="115"/>
      <c r="AV26" s="175">
        <f>SUM(AV18:AV24)</f>
        <v>6</v>
      </c>
      <c r="AW26" s="174"/>
      <c r="AX26" s="115"/>
      <c r="AY26" s="115"/>
      <c r="AZ26" s="115"/>
      <c r="BA26" s="175">
        <f>SUM(BA18:BA24)</f>
        <v>4</v>
      </c>
      <c r="BB26" s="174"/>
      <c r="BC26" s="115"/>
      <c r="BD26" s="115"/>
      <c r="BE26" s="115"/>
      <c r="BF26" s="175">
        <f>SUM(BF18:BF24)</f>
        <v>4</v>
      </c>
      <c r="BG26" s="174"/>
      <c r="BH26" s="115"/>
      <c r="BI26" s="115"/>
      <c r="BJ26" s="115"/>
      <c r="BK26" s="175">
        <f>SUM(BK18:BK24)</f>
        <v>4</v>
      </c>
      <c r="BL26" s="174"/>
      <c r="BM26" s="115"/>
      <c r="BN26" s="115"/>
      <c r="BO26" s="115"/>
      <c r="BP26" s="175">
        <f>SUM(BP18:BP24)</f>
        <v>6</v>
      </c>
      <c r="BQ26" s="174"/>
      <c r="BR26" s="115"/>
      <c r="BS26" s="115"/>
      <c r="BT26" s="115"/>
      <c r="BU26" s="175">
        <f>SUM(BU18:BU24)</f>
        <v>6</v>
      </c>
      <c r="BV26" s="174"/>
      <c r="BW26" s="115"/>
      <c r="BX26" s="115"/>
      <c r="BY26" s="115"/>
      <c r="BZ26" s="175">
        <f>SUM(BZ18:BZ24)</f>
        <v>6</v>
      </c>
      <c r="CA26" s="174"/>
      <c r="CB26" s="115"/>
      <c r="CC26" s="115"/>
      <c r="CD26" s="115"/>
      <c r="CE26" s="175">
        <f>SUM(CE18:CE24)</f>
        <v>4</v>
      </c>
      <c r="CF26" s="174"/>
      <c r="CG26" s="115"/>
      <c r="CH26" s="115"/>
      <c r="CI26" s="115"/>
      <c r="CJ26" s="175">
        <f>SUM(CJ18:CJ24)</f>
        <v>4</v>
      </c>
      <c r="CK26" s="174"/>
      <c r="CL26" s="115"/>
      <c r="CM26" s="115"/>
      <c r="CN26" s="115"/>
      <c r="CO26" s="175">
        <f>SUM(CO18:CO24)</f>
        <v>4</v>
      </c>
      <c r="CP26" s="174"/>
      <c r="CQ26" s="115"/>
      <c r="CR26" s="115"/>
      <c r="CS26" s="115"/>
      <c r="CT26" s="175">
        <f>SUM(CT18:CT24)</f>
        <v>6</v>
      </c>
      <c r="CU26" s="174"/>
      <c r="CV26" s="115"/>
      <c r="CW26" s="115"/>
      <c r="CX26" s="115"/>
      <c r="CY26" s="175">
        <f>SUM(CY18:CY24)</f>
        <v>6</v>
      </c>
      <c r="CZ26" s="174"/>
      <c r="DA26" s="115"/>
      <c r="DB26" s="115"/>
      <c r="DC26" s="115"/>
      <c r="DD26" s="175">
        <f>SUM(DD18:DD24)</f>
        <v>6</v>
      </c>
      <c r="DE26" s="174"/>
      <c r="DF26" s="115"/>
      <c r="DG26" s="115"/>
      <c r="DH26" s="115"/>
      <c r="DI26" s="175">
        <f>SUM(DI18:DI24)</f>
        <v>4</v>
      </c>
      <c r="DJ26" s="174"/>
      <c r="DK26" s="115"/>
      <c r="DL26" s="115"/>
      <c r="DM26" s="115"/>
      <c r="DN26" s="175">
        <f>SUM(DN18:DN24)</f>
        <v>4</v>
      </c>
      <c r="DO26" s="174"/>
      <c r="DP26" s="115"/>
      <c r="DQ26" s="115"/>
      <c r="DR26" s="115"/>
      <c r="DS26" s="175">
        <f>SUM(DS18:DS24)</f>
        <v>4</v>
      </c>
      <c r="DT26" s="174"/>
      <c r="DU26" s="175"/>
      <c r="DV26" s="175"/>
      <c r="DW26" s="177" t="str">
        <f>AVERAGE(DW19:DW25)</f>
        <v>#DIV/0!</v>
      </c>
      <c r="DX26" s="174"/>
      <c r="DY26" s="175"/>
      <c r="DZ26" s="175"/>
      <c r="EA26" s="177" t="str">
        <f>AVERAGE(EA19:EA25)</f>
        <v>#DIV/0!</v>
      </c>
      <c r="EB26" s="174"/>
      <c r="EC26" s="175"/>
      <c r="ED26" s="175"/>
      <c r="EE26" s="177" t="str">
        <f>AVERAGE(EE19:EE25)</f>
        <v>#DIV/0!</v>
      </c>
      <c r="EF26" s="174"/>
      <c r="EG26" s="175"/>
      <c r="EH26" s="175"/>
      <c r="EI26" s="177" t="str">
        <f>AVERAGE(EI19:EI25)</f>
        <v>#DIV/0!</v>
      </c>
      <c r="EJ26" s="174"/>
      <c r="EK26" s="175"/>
      <c r="EL26" s="175"/>
      <c r="EM26" s="177" t="str">
        <f>AVERAGE(EM19:EM25)</f>
        <v>#DIV/0!</v>
      </c>
      <c r="EN26" s="174"/>
      <c r="EO26" s="175"/>
      <c r="EP26" s="175"/>
      <c r="EQ26" s="177" t="str">
        <f>AVERAGE(EQ19:EQ25)</f>
        <v>#DIV/0!</v>
      </c>
      <c r="ER26" s="174"/>
      <c r="ES26" s="175"/>
      <c r="ET26" s="175"/>
      <c r="EU26" s="177" t="str">
        <f>AVERAGE(EU19:EU25)</f>
        <v>#DIV/0!</v>
      </c>
      <c r="EV26" s="174"/>
      <c r="EW26" s="175"/>
      <c r="EX26" s="175"/>
      <c r="EY26" s="177" t="str">
        <f>AVERAGE(EY19:EY25)</f>
        <v>#DIV/0!</v>
      </c>
      <c r="EZ26" s="174"/>
      <c r="FA26" s="175"/>
      <c r="FB26" s="175"/>
      <c r="FC26" s="177" t="str">
        <f>AVERAGE(FC19:FC25)</f>
        <v>#DIV/0!</v>
      </c>
      <c r="FD26" s="174"/>
      <c r="FE26" s="4"/>
      <c r="FF26" s="20" t="str">
        <f t="shared" ref="FF26:FF27" si="143">SUM(FF17:FF24)</f>
        <v>#REF!</v>
      </c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20"/>
      <c r="FS26" s="4"/>
      <c r="FT26" s="4"/>
    </row>
    <row r="27" ht="15.75" customHeight="1">
      <c r="A27" s="130" t="s">
        <v>36</v>
      </c>
      <c r="B27" s="115"/>
      <c r="C27" s="173"/>
      <c r="D27" s="174"/>
      <c r="E27" s="115"/>
      <c r="F27" s="115"/>
      <c r="G27" s="115"/>
      <c r="H27" s="178">
        <f>SUM(H17,H26)</f>
        <v>12</v>
      </c>
      <c r="I27" s="174"/>
      <c r="J27" s="115"/>
      <c r="K27" s="115"/>
      <c r="L27" s="115"/>
      <c r="M27" s="178">
        <f>SUM(M17,M26)</f>
        <v>12</v>
      </c>
      <c r="N27" s="174"/>
      <c r="O27" s="115"/>
      <c r="P27" s="115"/>
      <c r="Q27" s="115"/>
      <c r="R27" s="178">
        <f>SUM(R17,R26)</f>
        <v>12</v>
      </c>
      <c r="S27" s="174"/>
      <c r="T27" s="115"/>
      <c r="U27" s="115"/>
      <c r="V27" s="115"/>
      <c r="W27" s="178">
        <f>SUM(W17,W26)</f>
        <v>7</v>
      </c>
      <c r="X27" s="174"/>
      <c r="Y27" s="115"/>
      <c r="Z27" s="115"/>
      <c r="AA27" s="115"/>
      <c r="AB27" s="178">
        <f>SUM(AB17,AB26)</f>
        <v>7</v>
      </c>
      <c r="AC27" s="174"/>
      <c r="AD27" s="115"/>
      <c r="AE27" s="115"/>
      <c r="AF27" s="115"/>
      <c r="AG27" s="178">
        <f>SUM(AG17,AG26)</f>
        <v>7</v>
      </c>
      <c r="AH27" s="174"/>
      <c r="AI27" s="115"/>
      <c r="AJ27" s="115"/>
      <c r="AK27" s="115"/>
      <c r="AL27" s="178">
        <f>SUM(AL17,AL26)</f>
        <v>12</v>
      </c>
      <c r="AM27" s="174"/>
      <c r="AN27" s="115"/>
      <c r="AO27" s="115"/>
      <c r="AP27" s="115"/>
      <c r="AQ27" s="178">
        <f>SUM(AQ17,AQ26)</f>
        <v>12</v>
      </c>
      <c r="AR27" s="174"/>
      <c r="AS27" s="115"/>
      <c r="AT27" s="115"/>
      <c r="AU27" s="115"/>
      <c r="AV27" s="178">
        <f>SUM(AV17,AV26)</f>
        <v>12</v>
      </c>
      <c r="AW27" s="174"/>
      <c r="AX27" s="115"/>
      <c r="AY27" s="115"/>
      <c r="AZ27" s="115"/>
      <c r="BA27" s="178">
        <f>SUM(BA17,BA26)</f>
        <v>7</v>
      </c>
      <c r="BB27" s="174"/>
      <c r="BC27" s="115"/>
      <c r="BD27" s="115"/>
      <c r="BE27" s="115"/>
      <c r="BF27" s="178">
        <f>SUM(BF17,BF26)</f>
        <v>7</v>
      </c>
      <c r="BG27" s="174"/>
      <c r="BH27" s="115"/>
      <c r="BI27" s="115"/>
      <c r="BJ27" s="115"/>
      <c r="BK27" s="178">
        <f>SUM(BK17,BK26)</f>
        <v>7</v>
      </c>
      <c r="BL27" s="174"/>
      <c r="BM27" s="115"/>
      <c r="BN27" s="115"/>
      <c r="BO27" s="115"/>
      <c r="BP27" s="178">
        <f>SUM(BP17,BP26)</f>
        <v>12</v>
      </c>
      <c r="BQ27" s="174"/>
      <c r="BR27" s="115"/>
      <c r="BS27" s="115"/>
      <c r="BT27" s="115"/>
      <c r="BU27" s="178">
        <f>SUM(BU17,BU26)</f>
        <v>12</v>
      </c>
      <c r="BV27" s="174"/>
      <c r="BW27" s="115"/>
      <c r="BX27" s="115"/>
      <c r="BY27" s="115"/>
      <c r="BZ27" s="178">
        <f>SUM(BZ17,BZ26)</f>
        <v>12</v>
      </c>
      <c r="CA27" s="174"/>
      <c r="CB27" s="115"/>
      <c r="CC27" s="115"/>
      <c r="CD27" s="115"/>
      <c r="CE27" s="178">
        <f>SUM(CE17,CE26)</f>
        <v>7</v>
      </c>
      <c r="CF27" s="174"/>
      <c r="CG27" s="115"/>
      <c r="CH27" s="115"/>
      <c r="CI27" s="115"/>
      <c r="CJ27" s="178">
        <f>SUM(CJ17,CJ26)</f>
        <v>7</v>
      </c>
      <c r="CK27" s="174"/>
      <c r="CL27" s="115"/>
      <c r="CM27" s="115"/>
      <c r="CN27" s="115"/>
      <c r="CO27" s="178">
        <f>SUM(CO17,CO26)</f>
        <v>7</v>
      </c>
      <c r="CP27" s="174"/>
      <c r="CQ27" s="115"/>
      <c r="CR27" s="115"/>
      <c r="CS27" s="115"/>
      <c r="CT27" s="178">
        <f>SUM(CT17,CT26)</f>
        <v>48</v>
      </c>
      <c r="CU27" s="174"/>
      <c r="CV27" s="115"/>
      <c r="CW27" s="115"/>
      <c r="CX27" s="115"/>
      <c r="CY27" s="178">
        <f>SUM(CY17,CY26)</f>
        <v>12</v>
      </c>
      <c r="CZ27" s="174"/>
      <c r="DA27" s="115"/>
      <c r="DB27" s="115"/>
      <c r="DC27" s="115"/>
      <c r="DD27" s="178">
        <f>SUM(DD17,DD26)</f>
        <v>12</v>
      </c>
      <c r="DE27" s="174"/>
      <c r="DF27" s="115"/>
      <c r="DG27" s="115"/>
      <c r="DH27" s="115"/>
      <c r="DI27" s="178">
        <f>SUM(DI17,DI26)</f>
        <v>67</v>
      </c>
      <c r="DJ27" s="174"/>
      <c r="DK27" s="115"/>
      <c r="DL27" s="115"/>
      <c r="DM27" s="115"/>
      <c r="DN27" s="178">
        <f>SUM(DN17,DN26)</f>
        <v>7</v>
      </c>
      <c r="DO27" s="174"/>
      <c r="DP27" s="115"/>
      <c r="DQ27" s="115"/>
      <c r="DR27" s="115"/>
      <c r="DS27" s="178">
        <f>SUM(DS17,DS26)</f>
        <v>25</v>
      </c>
      <c r="DT27" s="174"/>
      <c r="DU27" s="115"/>
      <c r="DV27" s="115"/>
      <c r="DW27" s="178" t="str">
        <f>SUM(DW17,DW26)</f>
        <v>#DIV/0!</v>
      </c>
      <c r="DX27" s="174"/>
      <c r="DY27" s="115"/>
      <c r="DZ27" s="115"/>
      <c r="EA27" s="178" t="str">
        <f>SUM(EA17,EA26)</f>
        <v>#DIV/0!</v>
      </c>
      <c r="EB27" s="174"/>
      <c r="EC27" s="115"/>
      <c r="ED27" s="115"/>
      <c r="EE27" s="178" t="str">
        <f>SUM(EE17,EE26)</f>
        <v>#DIV/0!</v>
      </c>
      <c r="EF27" s="174"/>
      <c r="EG27" s="115"/>
      <c r="EH27" s="115"/>
      <c r="EI27" s="178" t="str">
        <f>SUM(EI17,EI26)</f>
        <v>#DIV/0!</v>
      </c>
      <c r="EJ27" s="174"/>
      <c r="EK27" s="115"/>
      <c r="EL27" s="115"/>
      <c r="EM27" s="178" t="str">
        <f>SUM(EM17,EM26)</f>
        <v>#DIV/0!</v>
      </c>
      <c r="EN27" s="174"/>
      <c r="EO27" s="115"/>
      <c r="EP27" s="115"/>
      <c r="EQ27" s="178" t="str">
        <f>SUM(EQ17,EQ26)</f>
        <v>#DIV/0!</v>
      </c>
      <c r="ER27" s="174"/>
      <c r="ES27" s="115"/>
      <c r="ET27" s="115"/>
      <c r="EU27" s="178" t="str">
        <f>SUM(EU17,EU26)</f>
        <v>#DIV/0!</v>
      </c>
      <c r="EV27" s="174"/>
      <c r="EW27" s="115"/>
      <c r="EX27" s="115"/>
      <c r="EY27" s="178" t="str">
        <f>SUM(EY17,EY26)</f>
        <v>#DIV/0!</v>
      </c>
      <c r="EZ27" s="174"/>
      <c r="FA27" s="115"/>
      <c r="FB27" s="115"/>
      <c r="FC27" s="178" t="str">
        <f>SUM(FC17,FC26)</f>
        <v>#DIV/0!</v>
      </c>
      <c r="FD27" s="174"/>
      <c r="FE27" s="4"/>
      <c r="FF27" s="20" t="str">
        <f t="shared" si="143"/>
        <v>#REF!</v>
      </c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20"/>
      <c r="FS27" s="4"/>
      <c r="FT27" s="4"/>
    </row>
    <row r="28" ht="15.75" customHeight="1">
      <c r="A28" s="4"/>
      <c r="B28" s="2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</row>
    <row r="29" ht="15.75" customHeight="1">
      <c r="A29" s="4"/>
      <c r="B29" s="2"/>
      <c r="C29" s="3"/>
      <c r="D29" s="4"/>
      <c r="E29" s="4"/>
      <c r="F29" s="4"/>
      <c r="G29" s="20"/>
      <c r="H29" s="4"/>
      <c r="I29" s="4"/>
      <c r="J29" s="4"/>
      <c r="K29" s="4"/>
      <c r="L29" s="20"/>
      <c r="M29" s="4"/>
      <c r="N29" s="4"/>
      <c r="O29" s="4"/>
      <c r="P29" s="4"/>
      <c r="Q29" s="20"/>
      <c r="R29" s="4"/>
      <c r="S29" s="4"/>
      <c r="T29" s="4"/>
      <c r="U29" s="4"/>
      <c r="V29" s="20"/>
      <c r="W29" s="4"/>
      <c r="X29" s="4"/>
      <c r="Y29" s="4"/>
      <c r="Z29" s="4"/>
      <c r="AA29" s="20"/>
      <c r="AB29" s="4"/>
      <c r="AC29" s="4"/>
      <c r="AD29" s="4"/>
      <c r="AE29" s="4"/>
      <c r="AF29" s="20"/>
      <c r="AG29" s="4"/>
      <c r="AH29" s="4"/>
      <c r="AI29" s="4"/>
      <c r="AJ29" s="4"/>
      <c r="AK29" s="20"/>
      <c r="AL29" s="4"/>
      <c r="AM29" s="4"/>
      <c r="AN29" s="4"/>
      <c r="AO29" s="4"/>
      <c r="AP29" s="20"/>
      <c r="AQ29" s="4"/>
      <c r="AR29" s="4"/>
      <c r="AS29" s="4"/>
      <c r="AT29" s="4"/>
      <c r="AU29" s="20"/>
      <c r="AV29" s="4"/>
      <c r="AW29" s="4"/>
      <c r="AX29" s="4"/>
      <c r="AY29" s="4"/>
      <c r="AZ29" s="20"/>
      <c r="BA29" s="4"/>
      <c r="BB29" s="4"/>
      <c r="BC29" s="4"/>
      <c r="BD29" s="4"/>
      <c r="BE29" s="20"/>
      <c r="BF29" s="4"/>
      <c r="BG29" s="4"/>
      <c r="BH29" s="4"/>
      <c r="BI29" s="4"/>
      <c r="BJ29" s="20"/>
      <c r="BK29" s="4"/>
      <c r="BL29" s="4"/>
      <c r="BM29" s="4"/>
      <c r="BN29" s="4"/>
      <c r="BO29" s="20"/>
      <c r="BP29" s="4"/>
      <c r="BQ29" s="4"/>
      <c r="BR29" s="4"/>
      <c r="BS29" s="4"/>
      <c r="BT29" s="20"/>
      <c r="BU29" s="4"/>
      <c r="BV29" s="4"/>
      <c r="BW29" s="4"/>
      <c r="BX29" s="4"/>
      <c r="BY29" s="20"/>
      <c r="BZ29" s="4"/>
      <c r="CA29" s="4"/>
      <c r="CB29" s="4"/>
      <c r="CC29" s="4"/>
      <c r="CD29" s="20"/>
      <c r="CE29" s="4"/>
      <c r="CF29" s="4"/>
      <c r="CG29" s="4"/>
      <c r="CH29" s="4"/>
      <c r="CI29" s="20"/>
      <c r="CJ29" s="4"/>
      <c r="CK29" s="4"/>
      <c r="CL29" s="4"/>
      <c r="CM29" s="4"/>
      <c r="CN29" s="20"/>
      <c r="CO29" s="4"/>
      <c r="CP29" s="4"/>
      <c r="CQ29" s="4"/>
      <c r="CR29" s="4"/>
      <c r="CS29" s="20"/>
      <c r="CT29" s="4"/>
      <c r="CU29" s="4"/>
      <c r="CV29" s="4"/>
      <c r="CW29" s="4"/>
      <c r="CX29" s="20"/>
      <c r="CY29" s="4"/>
      <c r="CZ29" s="4"/>
      <c r="DA29" s="4"/>
      <c r="DB29" s="4"/>
      <c r="DC29" s="20"/>
      <c r="DD29" s="4"/>
      <c r="DE29" s="4"/>
      <c r="DF29" s="4"/>
      <c r="DG29" s="4"/>
      <c r="DH29" s="20"/>
      <c r="DI29" s="4"/>
      <c r="DJ29" s="4"/>
      <c r="DK29" s="4"/>
      <c r="DL29" s="4"/>
      <c r="DM29" s="20"/>
      <c r="DN29" s="4"/>
      <c r="DO29" s="4"/>
      <c r="DP29" s="4"/>
      <c r="DQ29" s="4"/>
      <c r="DR29" s="20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</row>
    <row r="30" ht="15.75" customHeight="1">
      <c r="A30" s="4" t="s">
        <v>91</v>
      </c>
      <c r="B30" s="2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</row>
    <row r="31" ht="15.75" customHeight="1">
      <c r="A31" s="4"/>
      <c r="B31" s="2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20"/>
      <c r="DW31" s="20"/>
      <c r="DX31" s="4"/>
      <c r="DY31" s="4"/>
      <c r="DZ31" s="20"/>
      <c r="EA31" s="20"/>
      <c r="EB31" s="4"/>
      <c r="EC31" s="4"/>
      <c r="ED31" s="20"/>
      <c r="EE31" s="20"/>
      <c r="EF31" s="4"/>
      <c r="EG31" s="4"/>
      <c r="EH31" s="20"/>
      <c r="EI31" s="20"/>
      <c r="EJ31" s="4"/>
      <c r="EK31" s="4"/>
      <c r="EL31" s="20"/>
      <c r="EM31" s="20"/>
      <c r="EN31" s="4"/>
      <c r="EO31" s="4"/>
      <c r="EP31" s="20"/>
      <c r="EQ31" s="20"/>
      <c r="ER31" s="4"/>
      <c r="ES31" s="4"/>
      <c r="ET31" s="20"/>
      <c r="EU31" s="20"/>
      <c r="EV31" s="4"/>
      <c r="EW31" s="4"/>
      <c r="EX31" s="20"/>
      <c r="EY31" s="20"/>
      <c r="EZ31" s="4"/>
      <c r="FA31" s="4"/>
      <c r="FB31" s="20"/>
      <c r="FC31" s="20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</row>
    <row r="32" ht="15.75" customHeight="1">
      <c r="A32" s="4"/>
      <c r="B32" s="2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</row>
    <row r="33" ht="15.75" customHeight="1">
      <c r="A33" s="4"/>
      <c r="B33" s="2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</row>
    <row r="34" ht="15.75" customHeight="1">
      <c r="A34" s="4"/>
      <c r="B34" s="2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</row>
    <row r="35" ht="15.75" customHeight="1">
      <c r="A35" s="4"/>
      <c r="B35" s="2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</row>
    <row r="36" ht="15.75" customHeight="1">
      <c r="A36" s="4"/>
      <c r="B36" s="2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</row>
    <row r="37" ht="15.75" customHeight="1">
      <c r="A37" s="4"/>
      <c r="B37" s="2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</row>
    <row r="38" ht="15.75" customHeight="1">
      <c r="A38" s="4"/>
      <c r="B38" s="2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</row>
    <row r="39" ht="15.75" customHeight="1">
      <c r="A39" s="4"/>
      <c r="B39" s="2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</row>
    <row r="40" ht="15.75" customHeight="1">
      <c r="A40" s="4"/>
      <c r="B40" s="2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</row>
    <row r="41" ht="15.75" customHeight="1">
      <c r="A41" s="4"/>
      <c r="B41" s="2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</row>
    <row r="42" ht="15.75" customHeight="1">
      <c r="A42" s="4"/>
      <c r="B42" s="2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</row>
    <row r="43" ht="15.75" customHeight="1">
      <c r="A43" s="4"/>
      <c r="B43" s="2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</row>
    <row r="44" ht="15.75" customHeight="1">
      <c r="A44" s="4"/>
      <c r="B44" s="2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</row>
    <row r="45" ht="15.75" customHeight="1">
      <c r="A45" s="4"/>
      <c r="B45" s="2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</row>
    <row r="46" ht="15.75" customHeight="1">
      <c r="A46" s="4"/>
      <c r="B46" s="2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</row>
    <row r="47" ht="15.75" customHeight="1">
      <c r="A47" s="4"/>
      <c r="B47" s="2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</row>
    <row r="48" ht="15.75" customHeight="1">
      <c r="A48" s="4"/>
      <c r="B48" s="2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</row>
    <row r="49" ht="15.75" customHeight="1">
      <c r="A49" s="4"/>
      <c r="B49" s="2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</row>
    <row r="50" ht="15.75" customHeight="1">
      <c r="A50" s="4"/>
      <c r="B50" s="2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</row>
    <row r="51" ht="15.75" customHeight="1">
      <c r="A51" s="4"/>
      <c r="B51" s="2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</row>
    <row r="52" ht="15.75" customHeight="1">
      <c r="A52" s="4"/>
      <c r="B52" s="2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</row>
    <row r="53" ht="15.75" customHeight="1">
      <c r="A53" s="4"/>
      <c r="B53" s="2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</row>
    <row r="54" ht="15.75" customHeight="1">
      <c r="A54" s="4"/>
      <c r="B54" s="2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</row>
    <row r="55" ht="15.75" customHeight="1">
      <c r="A55" s="4"/>
      <c r="B55" s="2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</row>
    <row r="56" ht="15.75" customHeight="1">
      <c r="A56" s="4"/>
      <c r="B56" s="2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</row>
    <row r="57" ht="15.75" customHeight="1">
      <c r="A57" s="4"/>
      <c r="B57" s="2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</row>
    <row r="58" ht="15.75" customHeight="1">
      <c r="A58" s="4"/>
      <c r="B58" s="2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</row>
    <row r="59" ht="15.75" customHeight="1">
      <c r="A59" s="4"/>
      <c r="B59" s="2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</row>
    <row r="60" ht="15.75" customHeight="1">
      <c r="A60" s="4"/>
      <c r="B60" s="2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</row>
    <row r="61" ht="15.75" customHeight="1">
      <c r="A61" s="4"/>
      <c r="B61" s="2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</row>
    <row r="62" ht="15.75" customHeight="1">
      <c r="A62" s="4"/>
      <c r="B62" s="2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</row>
    <row r="63" ht="15.75" customHeight="1">
      <c r="A63" s="4"/>
      <c r="B63" s="2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</row>
    <row r="64" ht="15.75" customHeight="1">
      <c r="A64" s="4"/>
      <c r="B64" s="2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</row>
    <row r="65" ht="15.75" customHeight="1">
      <c r="A65" s="4"/>
      <c r="B65" s="2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</row>
    <row r="66" ht="15.75" customHeight="1">
      <c r="A66" s="4"/>
      <c r="B66" s="2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</row>
    <row r="67" ht="15.75" customHeight="1">
      <c r="A67" s="4"/>
      <c r="B67" s="2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</row>
    <row r="68" ht="15.75" customHeight="1">
      <c r="A68" s="4"/>
      <c r="B68" s="2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</row>
    <row r="69" ht="15.75" customHeight="1">
      <c r="A69" s="4"/>
      <c r="B69" s="2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</row>
    <row r="70" ht="15.75" customHeight="1">
      <c r="A70" s="4"/>
      <c r="B70" s="2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</row>
    <row r="71" ht="15.75" customHeight="1">
      <c r="A71" s="4"/>
      <c r="B71" s="2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</row>
    <row r="72" ht="15.75" customHeight="1">
      <c r="A72" s="4"/>
      <c r="B72" s="2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</row>
    <row r="73" ht="15.75" customHeight="1">
      <c r="A73" s="4"/>
      <c r="B73" s="2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</row>
    <row r="74" ht="15.75" customHeight="1">
      <c r="A74" s="4"/>
      <c r="B74" s="2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</row>
    <row r="75" ht="15.75" customHeight="1">
      <c r="A75" s="4"/>
      <c r="B75" s="2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</row>
    <row r="76" ht="15.75" customHeight="1">
      <c r="A76" s="4"/>
      <c r="B76" s="2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</row>
    <row r="77" ht="15.75" customHeight="1">
      <c r="A77" s="4"/>
      <c r="B77" s="2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</row>
    <row r="78" ht="15.75" customHeight="1">
      <c r="A78" s="4"/>
      <c r="B78" s="2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</row>
    <row r="79" ht="15.75" customHeight="1">
      <c r="A79" s="4"/>
      <c r="B79" s="2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</row>
    <row r="80" ht="15.75" customHeight="1">
      <c r="A80" s="4"/>
      <c r="B80" s="2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</row>
    <row r="81" ht="15.75" customHeight="1">
      <c r="A81" s="4"/>
      <c r="B81" s="2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</row>
    <row r="82" ht="15.75" customHeight="1">
      <c r="A82" s="4"/>
      <c r="B82" s="2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</row>
    <row r="83" ht="15.75" customHeight="1">
      <c r="A83" s="4"/>
      <c r="B83" s="2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</row>
    <row r="84" ht="15.75" customHeight="1">
      <c r="A84" s="4"/>
      <c r="B84" s="2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</row>
    <row r="85" ht="15.75" customHeight="1">
      <c r="A85" s="4"/>
      <c r="B85" s="2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</row>
    <row r="86" ht="15.75" customHeight="1">
      <c r="A86" s="4"/>
      <c r="B86" s="2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</row>
    <row r="87" ht="15.75" customHeight="1">
      <c r="A87" s="4"/>
      <c r="B87" s="2"/>
      <c r="C87" s="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</row>
    <row r="88" ht="15.75" customHeight="1">
      <c r="A88" s="4"/>
      <c r="B88" s="2"/>
      <c r="C88" s="3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</row>
    <row r="89" ht="15.75" customHeight="1">
      <c r="A89" s="4"/>
      <c r="B89" s="2"/>
      <c r="C89" s="3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</row>
    <row r="90" ht="15.75" customHeight="1">
      <c r="A90" s="4"/>
      <c r="B90" s="2"/>
      <c r="C90" s="3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</row>
    <row r="91" ht="15.75" customHeight="1">
      <c r="A91" s="4"/>
      <c r="B91" s="2"/>
      <c r="C91" s="3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</row>
    <row r="92" ht="15.75" customHeight="1">
      <c r="A92" s="4"/>
      <c r="B92" s="2"/>
      <c r="C92" s="3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</row>
    <row r="93" ht="15.75" customHeight="1">
      <c r="A93" s="4"/>
      <c r="B93" s="2"/>
      <c r="C93" s="3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</row>
    <row r="94" ht="15.75" customHeight="1">
      <c r="A94" s="4"/>
      <c r="B94" s="2"/>
      <c r="C94" s="3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</row>
    <row r="95" ht="15.75" customHeight="1">
      <c r="A95" s="4"/>
      <c r="B95" s="2"/>
      <c r="C95" s="3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</row>
    <row r="96" ht="15.75" customHeight="1">
      <c r="A96" s="4"/>
      <c r="B96" s="2"/>
      <c r="C96" s="3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</row>
    <row r="97" ht="15.75" customHeight="1">
      <c r="A97" s="4"/>
      <c r="B97" s="2"/>
      <c r="C97" s="3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</row>
    <row r="98" ht="15.75" customHeight="1">
      <c r="A98" s="4"/>
      <c r="B98" s="2"/>
      <c r="C98" s="3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</row>
    <row r="99" ht="15.75" customHeight="1">
      <c r="A99" s="4"/>
      <c r="B99" s="2"/>
      <c r="C99" s="3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</row>
    <row r="100" ht="15.75" customHeight="1">
      <c r="A100" s="4"/>
      <c r="B100" s="2"/>
      <c r="C100" s="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</row>
    <row r="101" ht="15.75" customHeight="1">
      <c r="A101" s="4"/>
      <c r="B101" s="2"/>
      <c r="C101" s="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</row>
    <row r="102" ht="15.75" customHeight="1">
      <c r="A102" s="4"/>
      <c r="B102" s="2"/>
      <c r="C102" s="3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</row>
    <row r="103" ht="15.75" customHeight="1">
      <c r="A103" s="4"/>
      <c r="B103" s="2"/>
      <c r="C103" s="3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</row>
    <row r="104" ht="15.75" customHeight="1">
      <c r="A104" s="4"/>
      <c r="B104" s="2"/>
      <c r="C104" s="3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</row>
    <row r="105" ht="15.75" customHeight="1">
      <c r="A105" s="4"/>
      <c r="B105" s="2"/>
      <c r="C105" s="3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</row>
    <row r="106" ht="15.75" customHeight="1">
      <c r="A106" s="4"/>
      <c r="B106" s="2"/>
      <c r="C106" s="3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</row>
    <row r="107" ht="15.75" customHeight="1">
      <c r="A107" s="4"/>
      <c r="B107" s="2"/>
      <c r="C107" s="3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</row>
    <row r="108" ht="15.75" customHeight="1">
      <c r="A108" s="4"/>
      <c r="B108" s="2"/>
      <c r="C108" s="3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</row>
    <row r="109" ht="15.75" customHeight="1">
      <c r="A109" s="4"/>
      <c r="B109" s="2"/>
      <c r="C109" s="3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</row>
    <row r="110" ht="15.75" customHeight="1">
      <c r="A110" s="4"/>
      <c r="B110" s="2"/>
      <c r="C110" s="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</row>
    <row r="111" ht="15.75" customHeight="1">
      <c r="A111" s="4"/>
      <c r="B111" s="2"/>
      <c r="C111" s="3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</row>
    <row r="112" ht="15.75" customHeight="1">
      <c r="A112" s="4"/>
      <c r="B112" s="2"/>
      <c r="C112" s="3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</row>
    <row r="113" ht="15.75" customHeight="1">
      <c r="A113" s="4"/>
      <c r="B113" s="2"/>
      <c r="C113" s="3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</row>
    <row r="114" ht="15.75" customHeight="1">
      <c r="A114" s="4"/>
      <c r="B114" s="2"/>
      <c r="C114" s="3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</row>
    <row r="115" ht="15.75" customHeight="1">
      <c r="A115" s="4"/>
      <c r="B115" s="2"/>
      <c r="C115" s="3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</row>
    <row r="116" ht="15.75" customHeight="1">
      <c r="A116" s="4"/>
      <c r="B116" s="2"/>
      <c r="C116" s="3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</row>
    <row r="117" ht="15.75" customHeight="1">
      <c r="A117" s="4"/>
      <c r="B117" s="2"/>
      <c r="C117" s="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</row>
    <row r="118" ht="15.75" customHeight="1">
      <c r="A118" s="4"/>
      <c r="B118" s="2"/>
      <c r="C118" s="3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</row>
    <row r="119" ht="15.75" customHeight="1">
      <c r="A119" s="4"/>
      <c r="B119" s="2"/>
      <c r="C119" s="3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</row>
    <row r="120" ht="15.75" customHeight="1">
      <c r="A120" s="4"/>
      <c r="B120" s="2"/>
      <c r="C120" s="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</row>
    <row r="121" ht="15.75" customHeight="1">
      <c r="A121" s="4"/>
      <c r="B121" s="2"/>
      <c r="C121" s="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</row>
    <row r="122" ht="15.75" customHeight="1">
      <c r="A122" s="4"/>
      <c r="B122" s="2"/>
      <c r="C122" s="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</row>
    <row r="123" ht="15.75" customHeight="1">
      <c r="A123" s="4"/>
      <c r="B123" s="2"/>
      <c r="C123" s="3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</row>
    <row r="124" ht="15.75" customHeight="1">
      <c r="A124" s="4"/>
      <c r="B124" s="2"/>
      <c r="C124" s="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</row>
    <row r="125" ht="15.75" customHeight="1">
      <c r="A125" s="4"/>
      <c r="B125" s="2"/>
      <c r="C125" s="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</row>
    <row r="126" ht="15.75" customHeight="1">
      <c r="A126" s="4"/>
      <c r="B126" s="2"/>
      <c r="C126" s="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</row>
    <row r="127" ht="15.75" customHeight="1">
      <c r="A127" s="4"/>
      <c r="B127" s="2"/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</row>
    <row r="128" ht="15.75" customHeight="1">
      <c r="A128" s="4"/>
      <c r="B128" s="2"/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</row>
    <row r="129" ht="15.75" customHeight="1">
      <c r="A129" s="4"/>
      <c r="B129" s="2"/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</row>
    <row r="130" ht="15.75" customHeight="1">
      <c r="A130" s="4"/>
      <c r="B130" s="2"/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</row>
    <row r="131" ht="15.75" customHeight="1">
      <c r="A131" s="4"/>
      <c r="B131" s="2"/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</row>
    <row r="132" ht="15.75" customHeight="1">
      <c r="A132" s="4"/>
      <c r="B132" s="2"/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</row>
    <row r="133" ht="15.75" customHeight="1">
      <c r="A133" s="4"/>
      <c r="B133" s="2"/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</row>
    <row r="134" ht="15.75" customHeight="1">
      <c r="A134" s="4"/>
      <c r="B134" s="2"/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</row>
    <row r="135" ht="15.75" customHeight="1">
      <c r="A135" s="4"/>
      <c r="B135" s="2"/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</row>
    <row r="136" ht="15.75" customHeight="1">
      <c r="A136" s="4"/>
      <c r="B136" s="2"/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</row>
    <row r="137" ht="15.75" customHeight="1">
      <c r="A137" s="4"/>
      <c r="B137" s="2"/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</row>
    <row r="138" ht="15.75" customHeight="1">
      <c r="A138" s="4"/>
      <c r="B138" s="2"/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</row>
    <row r="139" ht="15.75" customHeight="1">
      <c r="A139" s="4"/>
      <c r="B139" s="2"/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</row>
    <row r="140" ht="15.75" customHeight="1">
      <c r="A140" s="4"/>
      <c r="B140" s="2"/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</row>
    <row r="141" ht="15.75" customHeight="1">
      <c r="A141" s="4"/>
      <c r="B141" s="2"/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</row>
    <row r="142" ht="15.75" customHeight="1">
      <c r="A142" s="4"/>
      <c r="B142" s="2"/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</row>
    <row r="143" ht="15.75" customHeight="1">
      <c r="A143" s="4"/>
      <c r="B143" s="2"/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</row>
    <row r="144" ht="15.75" customHeight="1">
      <c r="A144" s="4"/>
      <c r="B144" s="2"/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</row>
    <row r="145" ht="15.75" customHeight="1">
      <c r="A145" s="4"/>
      <c r="B145" s="2"/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</row>
    <row r="146" ht="15.75" customHeight="1">
      <c r="A146" s="4"/>
      <c r="B146" s="2"/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</row>
    <row r="147" ht="15.75" customHeight="1">
      <c r="A147" s="4"/>
      <c r="B147" s="2"/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</row>
    <row r="148" ht="15.75" customHeight="1">
      <c r="A148" s="4"/>
      <c r="B148" s="2"/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</row>
    <row r="149" ht="15.75" customHeight="1">
      <c r="A149" s="4"/>
      <c r="B149" s="2"/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</row>
    <row r="150" ht="15.75" customHeight="1">
      <c r="A150" s="4"/>
      <c r="B150" s="2"/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</row>
    <row r="151" ht="15.75" customHeight="1">
      <c r="A151" s="4"/>
      <c r="B151" s="2"/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</row>
    <row r="152" ht="15.75" customHeight="1">
      <c r="A152" s="4"/>
      <c r="B152" s="2"/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</row>
    <row r="153" ht="15.75" customHeight="1">
      <c r="A153" s="4"/>
      <c r="B153" s="2"/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</row>
    <row r="154" ht="15.75" customHeight="1">
      <c r="A154" s="4"/>
      <c r="B154" s="2"/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</row>
    <row r="155" ht="15.75" customHeight="1">
      <c r="A155" s="4"/>
      <c r="B155" s="2"/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</row>
    <row r="156" ht="15.75" customHeight="1">
      <c r="A156" s="4"/>
      <c r="B156" s="2"/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</row>
    <row r="157" ht="15.75" customHeight="1">
      <c r="A157" s="4"/>
      <c r="B157" s="2"/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</row>
    <row r="158" ht="15.75" customHeight="1">
      <c r="A158" s="4"/>
      <c r="B158" s="2"/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</row>
    <row r="159" ht="15.75" customHeight="1">
      <c r="A159" s="4"/>
      <c r="B159" s="2"/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</row>
    <row r="160" ht="15.75" customHeight="1">
      <c r="A160" s="4"/>
      <c r="B160" s="2"/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</row>
    <row r="161" ht="15.75" customHeight="1">
      <c r="A161" s="4"/>
      <c r="B161" s="2"/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</row>
    <row r="162" ht="15.75" customHeight="1">
      <c r="A162" s="4"/>
      <c r="B162" s="2"/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</row>
    <row r="163" ht="15.75" customHeight="1">
      <c r="A163" s="4"/>
      <c r="B163" s="2"/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</row>
    <row r="164" ht="15.75" customHeight="1">
      <c r="A164" s="4"/>
      <c r="B164" s="2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</row>
    <row r="165" ht="15.75" customHeight="1">
      <c r="A165" s="4"/>
      <c r="B165" s="2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</row>
    <row r="166" ht="15.75" customHeight="1">
      <c r="A166" s="4"/>
      <c r="B166" s="2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</row>
    <row r="167" ht="15.75" customHeight="1">
      <c r="A167" s="4"/>
      <c r="B167" s="2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</row>
    <row r="168" ht="15.75" customHeight="1">
      <c r="A168" s="4"/>
      <c r="B168" s="2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</row>
    <row r="169" ht="15.75" customHeight="1">
      <c r="A169" s="4"/>
      <c r="B169" s="2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</row>
    <row r="170" ht="15.75" customHeight="1">
      <c r="A170" s="4"/>
      <c r="B170" s="2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</row>
    <row r="171" ht="15.75" customHeight="1">
      <c r="A171" s="4"/>
      <c r="B171" s="2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</row>
    <row r="172" ht="15.75" customHeight="1">
      <c r="A172" s="4"/>
      <c r="B172" s="2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</row>
    <row r="173" ht="15.75" customHeight="1">
      <c r="A173" s="4"/>
      <c r="B173" s="2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</row>
    <row r="174" ht="15.75" customHeight="1">
      <c r="A174" s="4"/>
      <c r="B174" s="2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</row>
    <row r="175" ht="15.75" customHeight="1">
      <c r="A175" s="4"/>
      <c r="B175" s="2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</row>
    <row r="176" ht="15.75" customHeight="1">
      <c r="A176" s="4"/>
      <c r="B176" s="2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</row>
    <row r="177" ht="15.75" customHeight="1">
      <c r="A177" s="4"/>
      <c r="B177" s="2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</row>
    <row r="178" ht="15.75" customHeight="1">
      <c r="A178" s="4"/>
      <c r="B178" s="2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</row>
    <row r="179" ht="15.75" customHeight="1">
      <c r="A179" s="4"/>
      <c r="B179" s="2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</row>
    <row r="180" ht="15.75" customHeight="1">
      <c r="A180" s="4"/>
      <c r="B180" s="2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</row>
    <row r="181" ht="15.75" customHeight="1">
      <c r="A181" s="4"/>
      <c r="B181" s="2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</row>
    <row r="182" ht="15.75" customHeight="1">
      <c r="A182" s="4"/>
      <c r="B182" s="2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</row>
    <row r="183" ht="15.75" customHeight="1">
      <c r="A183" s="4"/>
      <c r="B183" s="2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</row>
    <row r="184" ht="15.75" customHeight="1">
      <c r="A184" s="4"/>
      <c r="B184" s="2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</row>
    <row r="185" ht="15.75" customHeight="1">
      <c r="A185" s="4"/>
      <c r="B185" s="2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</row>
    <row r="186" ht="15.75" customHeight="1">
      <c r="A186" s="4"/>
      <c r="B186" s="2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</row>
    <row r="187" ht="15.75" customHeight="1">
      <c r="A187" s="4"/>
      <c r="B187" s="2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</row>
    <row r="188" ht="15.75" customHeight="1">
      <c r="A188" s="4"/>
      <c r="B188" s="2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</row>
    <row r="189" ht="15.75" customHeight="1">
      <c r="A189" s="4"/>
      <c r="B189" s="2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</row>
    <row r="190" ht="15.75" customHeight="1">
      <c r="A190" s="4"/>
      <c r="B190" s="2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</row>
    <row r="191" ht="15.75" customHeight="1">
      <c r="A191" s="4"/>
      <c r="B191" s="2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</row>
    <row r="192" ht="15.75" customHeight="1">
      <c r="A192" s="4"/>
      <c r="B192" s="2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</row>
    <row r="193" ht="15.75" customHeight="1">
      <c r="A193" s="4"/>
      <c r="B193" s="2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</row>
    <row r="194" ht="15.75" customHeight="1">
      <c r="A194" s="4"/>
      <c r="B194" s="2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</row>
    <row r="195" ht="15.75" customHeight="1">
      <c r="A195" s="4"/>
      <c r="B195" s="2"/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</row>
    <row r="196" ht="15.75" customHeight="1">
      <c r="A196" s="4"/>
      <c r="B196" s="2"/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</row>
    <row r="197" ht="15.75" customHeight="1">
      <c r="A197" s="4"/>
      <c r="B197" s="2"/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</row>
    <row r="198" ht="15.75" customHeight="1">
      <c r="A198" s="4"/>
      <c r="B198" s="2"/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</row>
    <row r="199" ht="15.75" customHeight="1">
      <c r="A199" s="4"/>
      <c r="B199" s="2"/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</row>
    <row r="200" ht="15.75" customHeight="1">
      <c r="A200" s="4"/>
      <c r="B200" s="2"/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</row>
    <row r="201" ht="15.75" customHeight="1">
      <c r="A201" s="4"/>
      <c r="B201" s="2"/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</row>
    <row r="202" ht="15.75" customHeight="1">
      <c r="A202" s="4"/>
      <c r="B202" s="2"/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</row>
    <row r="203" ht="15.75" customHeight="1">
      <c r="A203" s="4"/>
      <c r="B203" s="2"/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</row>
    <row r="204" ht="15.75" customHeight="1">
      <c r="A204" s="4"/>
      <c r="B204" s="2"/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</row>
    <row r="205" ht="15.75" customHeight="1">
      <c r="A205" s="4"/>
      <c r="B205" s="2"/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</row>
    <row r="206" ht="15.75" customHeight="1">
      <c r="A206" s="4"/>
      <c r="B206" s="2"/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</row>
    <row r="207" ht="15.75" customHeight="1">
      <c r="A207" s="4"/>
      <c r="B207" s="2"/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</row>
    <row r="208" ht="15.75" customHeight="1">
      <c r="A208" s="4"/>
      <c r="B208" s="2"/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</row>
    <row r="209" ht="15.75" customHeight="1">
      <c r="A209" s="4"/>
      <c r="B209" s="2"/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</row>
    <row r="210" ht="15.75" customHeight="1">
      <c r="A210" s="4"/>
      <c r="B210" s="2"/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</row>
    <row r="211" ht="15.75" customHeight="1">
      <c r="A211" s="4"/>
      <c r="B211" s="2"/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</row>
    <row r="212" ht="15.75" customHeight="1">
      <c r="A212" s="4"/>
      <c r="B212" s="2"/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</row>
    <row r="213" ht="15.75" customHeight="1">
      <c r="A213" s="4"/>
      <c r="B213" s="2"/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</row>
    <row r="214" ht="15.75" customHeight="1">
      <c r="A214" s="4"/>
      <c r="B214" s="2"/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</row>
    <row r="215" ht="15.75" customHeight="1">
      <c r="A215" s="4"/>
      <c r="B215" s="2"/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</row>
    <row r="216" ht="15.75" customHeight="1">
      <c r="A216" s="4"/>
      <c r="B216" s="2"/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</row>
    <row r="217" ht="15.75" customHeight="1">
      <c r="A217" s="4"/>
      <c r="B217" s="2"/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</row>
    <row r="218" ht="15.75" customHeight="1">
      <c r="A218" s="4"/>
      <c r="B218" s="2"/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</row>
    <row r="219" ht="15.75" customHeight="1">
      <c r="A219" s="4"/>
      <c r="B219" s="2"/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</row>
    <row r="220" ht="15.75" customHeight="1">
      <c r="A220" s="4"/>
      <c r="B220" s="2"/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</row>
    <row r="221" ht="15.75" customHeight="1">
      <c r="A221" s="4"/>
      <c r="B221" s="2"/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</row>
    <row r="222" ht="15.75" customHeight="1">
      <c r="A222" s="4"/>
      <c r="B222" s="2"/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</row>
    <row r="223" ht="15.75" customHeight="1">
      <c r="A223" s="4"/>
      <c r="B223" s="2"/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</row>
    <row r="224" ht="15.75" customHeight="1">
      <c r="A224" s="4"/>
      <c r="B224" s="2"/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</row>
    <row r="225" ht="15.75" customHeight="1">
      <c r="A225" s="4"/>
      <c r="B225" s="2"/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</row>
    <row r="226" ht="15.75" customHeight="1">
      <c r="A226" s="4"/>
      <c r="B226" s="2"/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</row>
    <row r="227" ht="15.75" customHeight="1">
      <c r="A227" s="4"/>
      <c r="B227" s="2"/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</row>
    <row r="228" ht="15.75" customHeight="1">
      <c r="A228" s="4"/>
      <c r="B228" s="2"/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</row>
    <row r="229" ht="15.75" customHeight="1">
      <c r="A229" s="4"/>
      <c r="B229" s="2"/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</row>
    <row r="230" ht="15.75" customHeight="1">
      <c r="A230" s="4"/>
      <c r="B230" s="2"/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</row>
  </sheetData>
  <customSheetViews>
    <customSheetView guid="{BFAD3FC5-7D50-478A-A1C9-F01A1867A3B2}" filter="1" showAutoFilter="1">
      <autoFilter ref="$A$11:$DF$114">
        <filterColumn colId="0">
          <filters blank="1"/>
        </filterColumn>
      </autoFilter>
    </customSheetView>
  </customSheetView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0"/>
  <cols>
    <col customWidth="1" min="1" max="1" width="71.0"/>
    <col customWidth="1" min="2" max="2" width="34.13"/>
    <col customWidth="1" min="3" max="3" width="12.63"/>
    <col customWidth="1" min="4" max="4" width="1.38"/>
    <col customWidth="1" min="5" max="6" width="12.63"/>
    <col customWidth="1" min="9" max="9" width="1.38"/>
    <col customWidth="1" min="13" max="13" width="16.38"/>
    <col customWidth="1" min="14" max="14" width="1.38"/>
    <col customWidth="1" min="18" max="18" width="18.25"/>
    <col customWidth="1" min="19" max="19" width="1.38"/>
    <col customWidth="1" min="24" max="24" width="1.38"/>
    <col customWidth="1" min="28" max="28" width="20.13"/>
    <col customWidth="1" min="29" max="29" width="1.38"/>
    <col customWidth="1" min="33" max="33" width="20.13"/>
    <col customWidth="1" min="34" max="34" width="1.38"/>
    <col customWidth="1" min="39" max="39" width="1.38"/>
    <col customWidth="1" min="43" max="43" width="16.38"/>
    <col customWidth="1" min="44" max="44" width="1.38"/>
    <col customWidth="1" min="48" max="48" width="18.25"/>
    <col customWidth="1" min="49" max="49" width="1.38"/>
    <col customWidth="1" min="54" max="54" width="1.38"/>
    <col customWidth="1" min="58" max="58" width="20.13"/>
    <col customWidth="1" min="59" max="59" width="1.38"/>
    <col customWidth="1" min="63" max="63" width="20.13"/>
    <col customWidth="1" min="64" max="64" width="1.38"/>
    <col customWidth="1" min="69" max="69" width="1.38"/>
    <col customWidth="1" min="73" max="73" width="16.38"/>
    <col customWidth="1" min="74" max="74" width="1.38"/>
    <col customWidth="1" min="78" max="78" width="18.25"/>
    <col customWidth="1" min="79" max="79" width="1.38"/>
    <col customWidth="1" min="84" max="84" width="1.38"/>
    <col customWidth="1" min="88" max="88" width="20.13"/>
    <col customWidth="1" min="89" max="89" width="1.38"/>
    <col customWidth="1" min="93" max="93" width="20.13"/>
    <col customWidth="1" min="94" max="94" width="1.38"/>
    <col customWidth="1" min="99" max="99" width="1.38"/>
    <col customWidth="1" min="103" max="103" width="16.38"/>
    <col customWidth="1" min="104" max="104" width="1.38"/>
    <col customWidth="1" min="108" max="108" width="18.25"/>
    <col customWidth="1" min="109" max="109" width="1.38"/>
    <col customWidth="1" min="114" max="114" width="1.38"/>
    <col customWidth="1" min="118" max="118" width="20.13"/>
    <col customWidth="1" min="119" max="119" width="1.38"/>
    <col customWidth="1" min="120" max="120" width="19.0"/>
    <col customWidth="1" min="121" max="121" width="20.75"/>
    <col customWidth="1" min="123" max="123" width="20.13"/>
    <col customWidth="1" min="124" max="124" width="1.38"/>
    <col customWidth="1" hidden="1" min="125" max="125" width="16.25"/>
    <col customWidth="1" hidden="1" min="126" max="126" width="19.25"/>
    <col customWidth="1" hidden="1" min="127" max="127" width="20.63"/>
    <col customWidth="1" hidden="1" min="128" max="128" width="1.38"/>
    <col customWidth="1" hidden="1" min="129" max="130" width="21.13"/>
    <col customWidth="1" hidden="1" min="131" max="131" width="20.63"/>
    <col customWidth="1" hidden="1" min="132" max="132" width="1.38"/>
    <col customWidth="1" hidden="1" min="133" max="133" width="22.38"/>
    <col customWidth="1" hidden="1" min="134" max="134" width="23.0"/>
    <col customWidth="1" hidden="1" min="135" max="135" width="20.63"/>
    <col customWidth="1" hidden="1" min="136" max="136" width="1.38"/>
    <col customWidth="1" hidden="1" min="137" max="137" width="18.25"/>
    <col customWidth="1" hidden="1" min="138" max="138" width="15.0"/>
    <col customWidth="1" hidden="1" min="139" max="139" width="20.63"/>
    <col customWidth="1" hidden="1" min="140" max="140" width="1.38"/>
    <col customWidth="1" hidden="1" min="141" max="141" width="26.38"/>
    <col customWidth="1" hidden="1" min="142" max="142" width="23.0"/>
    <col customWidth="1" hidden="1" min="143" max="143" width="20.63"/>
    <col customWidth="1" hidden="1" min="144" max="144" width="1.38"/>
    <col customWidth="1" hidden="1" min="145" max="145" width="24.88"/>
    <col customWidth="1" hidden="1" min="146" max="146" width="18.25"/>
    <col customWidth="1" hidden="1" min="147" max="147" width="20.63"/>
    <col customWidth="1" hidden="1" min="148" max="148" width="1.38"/>
    <col customWidth="1" hidden="1" min="149" max="149" width="18.0"/>
    <col customWidth="1" hidden="1" min="150" max="150" width="15.88"/>
    <col customWidth="1" hidden="1" min="151" max="151" width="20.63"/>
    <col customWidth="1" hidden="1" min="152" max="152" width="1.38"/>
    <col customWidth="1" hidden="1" min="153" max="154" width="21.13"/>
    <col customWidth="1" hidden="1" min="155" max="155" width="20.63"/>
    <col customWidth="1" hidden="1" min="156" max="156" width="1.38"/>
    <col customWidth="1" hidden="1" min="157" max="157" width="22.38"/>
    <col customWidth="1" hidden="1" min="158" max="158" width="18.25"/>
    <col customWidth="1" hidden="1" min="159" max="159" width="20.63"/>
    <col customWidth="1" hidden="1" min="160" max="160" width="1.38"/>
    <col customWidth="1" hidden="1" min="162" max="162" width="20.13"/>
  </cols>
  <sheetData>
    <row r="1" ht="15.7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</row>
    <row r="2" ht="15.75" customHeight="1">
      <c r="A2" s="1" t="s">
        <v>1</v>
      </c>
      <c r="B2" s="2"/>
      <c r="C2" s="3"/>
      <c r="D2" s="4"/>
      <c r="E2" s="9" t="s">
        <v>2</v>
      </c>
      <c r="F2" s="9"/>
      <c r="G2" s="10"/>
      <c r="H2" s="11"/>
      <c r="I2" s="12"/>
      <c r="J2" s="9" t="s">
        <v>2</v>
      </c>
      <c r="K2" s="9"/>
      <c r="L2" s="10"/>
      <c r="M2" s="11"/>
      <c r="N2" s="12"/>
      <c r="O2" s="9" t="s">
        <v>2</v>
      </c>
      <c r="P2" s="9"/>
      <c r="Q2" s="10"/>
      <c r="R2" s="11"/>
      <c r="S2" s="12"/>
      <c r="T2" s="9" t="s">
        <v>2</v>
      </c>
      <c r="U2" s="9"/>
      <c r="V2" s="10"/>
      <c r="W2" s="11"/>
      <c r="X2" s="12"/>
      <c r="Y2" s="9" t="s">
        <v>2</v>
      </c>
      <c r="Z2" s="9"/>
      <c r="AA2" s="10"/>
      <c r="AB2" s="11"/>
      <c r="AC2" s="12"/>
      <c r="AD2" s="9" t="s">
        <v>2</v>
      </c>
      <c r="AE2" s="9"/>
      <c r="AF2" s="13"/>
      <c r="AG2" s="14"/>
      <c r="AH2" s="12"/>
      <c r="AI2" s="15" t="s">
        <v>3</v>
      </c>
      <c r="AJ2" s="15"/>
      <c r="AK2" s="16"/>
      <c r="AL2" s="16"/>
      <c r="AM2" s="12"/>
      <c r="AN2" s="15" t="s">
        <v>3</v>
      </c>
      <c r="AO2" s="15"/>
      <c r="AP2" s="16"/>
      <c r="AQ2" s="16"/>
      <c r="AR2" s="12"/>
      <c r="AS2" s="15" t="s">
        <v>3</v>
      </c>
      <c r="AT2" s="15"/>
      <c r="AU2" s="16"/>
      <c r="AV2" s="16"/>
      <c r="AW2" s="4"/>
      <c r="AX2" s="15" t="s">
        <v>3</v>
      </c>
      <c r="AY2" s="15"/>
      <c r="AZ2" s="16"/>
      <c r="BA2" s="16"/>
      <c r="BB2" s="12"/>
      <c r="BC2" s="15" t="s">
        <v>3</v>
      </c>
      <c r="BD2" s="15"/>
      <c r="BE2" s="16"/>
      <c r="BF2" s="16"/>
      <c r="BG2" s="12"/>
      <c r="BH2" s="15" t="s">
        <v>3</v>
      </c>
      <c r="BI2" s="15"/>
      <c r="BJ2" s="16"/>
      <c r="BK2" s="16"/>
      <c r="BL2" s="4"/>
      <c r="BM2" s="17" t="s">
        <v>5</v>
      </c>
      <c r="BN2" s="17"/>
      <c r="BO2" s="18"/>
      <c r="BP2" s="18"/>
      <c r="BQ2" s="12"/>
      <c r="BR2" s="17" t="s">
        <v>5</v>
      </c>
      <c r="BS2" s="17"/>
      <c r="BT2" s="18"/>
      <c r="BU2" s="18"/>
      <c r="BV2" s="12"/>
      <c r="BW2" s="17" t="s">
        <v>5</v>
      </c>
      <c r="BX2" s="17"/>
      <c r="BY2" s="18"/>
      <c r="BZ2" s="18"/>
      <c r="CA2" s="12"/>
      <c r="CB2" s="17" t="s">
        <v>5</v>
      </c>
      <c r="CC2" s="17"/>
      <c r="CD2" s="18"/>
      <c r="CE2" s="18"/>
      <c r="CF2" s="12"/>
      <c r="CG2" s="17" t="s">
        <v>5</v>
      </c>
      <c r="CH2" s="17"/>
      <c r="CI2" s="18"/>
      <c r="CJ2" s="18"/>
      <c r="CK2" s="12"/>
      <c r="CL2" s="17" t="s">
        <v>5</v>
      </c>
      <c r="CM2" s="17"/>
      <c r="CN2" s="18"/>
      <c r="CO2" s="18"/>
      <c r="CP2" s="4"/>
      <c r="CQ2" s="23" t="s">
        <v>6</v>
      </c>
      <c r="CR2" s="23"/>
      <c r="CS2" s="25"/>
      <c r="CT2" s="25"/>
      <c r="CU2" s="12"/>
      <c r="CV2" s="23" t="s">
        <v>6</v>
      </c>
      <c r="CW2" s="23"/>
      <c r="CX2" s="25"/>
      <c r="CY2" s="25"/>
      <c r="CZ2" s="12"/>
      <c r="DA2" s="23" t="s">
        <v>6</v>
      </c>
      <c r="DB2" s="23"/>
      <c r="DC2" s="25"/>
      <c r="DD2" s="25"/>
      <c r="DE2" s="12"/>
      <c r="DF2" s="23" t="s">
        <v>6</v>
      </c>
      <c r="DG2" s="23"/>
      <c r="DH2" s="25"/>
      <c r="DI2" s="25"/>
      <c r="DJ2" s="12"/>
      <c r="DK2" s="23" t="s">
        <v>6</v>
      </c>
      <c r="DL2" s="23"/>
      <c r="DM2" s="25"/>
      <c r="DN2" s="25"/>
      <c r="DO2" s="12"/>
      <c r="DP2" s="23" t="s">
        <v>6</v>
      </c>
      <c r="DQ2" s="23"/>
      <c r="DR2" s="25"/>
      <c r="DS2" s="25"/>
      <c r="DT2" s="4"/>
      <c r="DU2" s="27" t="s">
        <v>7</v>
      </c>
      <c r="DV2" s="27"/>
      <c r="DW2" s="28"/>
      <c r="DX2" s="4"/>
      <c r="DY2" s="27" t="s">
        <v>7</v>
      </c>
      <c r="DZ2" s="27"/>
      <c r="EA2" s="28"/>
      <c r="EB2" s="4"/>
      <c r="EC2" s="27" t="s">
        <v>7</v>
      </c>
      <c r="ED2" s="27"/>
      <c r="EE2" s="28"/>
      <c r="EF2" s="4"/>
      <c r="EG2" s="29" t="s">
        <v>8</v>
      </c>
      <c r="EH2" s="29"/>
      <c r="EI2" s="30"/>
      <c r="EJ2" s="4"/>
      <c r="EK2" s="29" t="s">
        <v>8</v>
      </c>
      <c r="EL2" s="29"/>
      <c r="EM2" s="30"/>
      <c r="EN2" s="4"/>
      <c r="EO2" s="29" t="s">
        <v>8</v>
      </c>
      <c r="EP2" s="29"/>
      <c r="EQ2" s="30"/>
      <c r="ER2" s="4"/>
      <c r="ES2" s="31" t="s">
        <v>9</v>
      </c>
      <c r="ET2" s="32"/>
      <c r="EU2" s="33"/>
      <c r="EV2" s="4"/>
      <c r="EW2" s="31" t="s">
        <v>9</v>
      </c>
      <c r="EX2" s="32"/>
      <c r="EY2" s="33"/>
      <c r="EZ2" s="4"/>
      <c r="FA2" s="31" t="s">
        <v>9</v>
      </c>
      <c r="FB2" s="32"/>
      <c r="FC2" s="33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</row>
    <row r="3" ht="15.75" customHeight="1">
      <c r="A3" s="34" t="s">
        <v>10</v>
      </c>
      <c r="B3" s="2"/>
      <c r="C3" s="3"/>
      <c r="D3" s="4"/>
      <c r="E3" s="35" t="s">
        <v>11</v>
      </c>
      <c r="F3" s="35"/>
      <c r="G3" s="35"/>
      <c r="H3" s="35"/>
      <c r="I3" s="4"/>
      <c r="J3" s="36" t="s">
        <v>12</v>
      </c>
      <c r="K3" s="37"/>
      <c r="L3" s="37"/>
      <c r="M3" s="37"/>
      <c r="N3" s="4"/>
      <c r="O3" s="38" t="s">
        <v>13</v>
      </c>
      <c r="P3" s="39"/>
      <c r="Q3" s="39"/>
      <c r="R3" s="39"/>
      <c r="S3" s="4"/>
      <c r="T3" s="35" t="s">
        <v>11</v>
      </c>
      <c r="U3" s="35"/>
      <c r="V3" s="35"/>
      <c r="W3" s="35"/>
      <c r="X3" s="4"/>
      <c r="Y3" s="36" t="s">
        <v>12</v>
      </c>
      <c r="Z3" s="37"/>
      <c r="AA3" s="37"/>
      <c r="AB3" s="37"/>
      <c r="AC3" s="4"/>
      <c r="AD3" s="38" t="s">
        <v>13</v>
      </c>
      <c r="AE3" s="39"/>
      <c r="AF3" s="39"/>
      <c r="AG3" s="39"/>
      <c r="AH3" s="4"/>
      <c r="AI3" s="35" t="s">
        <v>11</v>
      </c>
      <c r="AJ3" s="35"/>
      <c r="AK3" s="35"/>
      <c r="AL3" s="35"/>
      <c r="AM3" s="4"/>
      <c r="AN3" s="36" t="s">
        <v>12</v>
      </c>
      <c r="AO3" s="37"/>
      <c r="AP3" s="37"/>
      <c r="AQ3" s="37"/>
      <c r="AR3" s="4"/>
      <c r="AS3" s="38" t="s">
        <v>13</v>
      </c>
      <c r="AT3" s="39"/>
      <c r="AU3" s="39"/>
      <c r="AV3" s="39"/>
      <c r="AW3" s="4"/>
      <c r="AX3" s="35" t="s">
        <v>11</v>
      </c>
      <c r="AY3" s="35"/>
      <c r="AZ3" s="35"/>
      <c r="BA3" s="35"/>
      <c r="BB3" s="4"/>
      <c r="BC3" s="36" t="s">
        <v>12</v>
      </c>
      <c r="BD3" s="37"/>
      <c r="BE3" s="37"/>
      <c r="BF3" s="37"/>
      <c r="BG3" s="4"/>
      <c r="BH3" s="38" t="s">
        <v>13</v>
      </c>
      <c r="BI3" s="39"/>
      <c r="BJ3" s="39"/>
      <c r="BK3" s="39"/>
      <c r="BL3" s="4"/>
      <c r="BM3" s="35" t="s">
        <v>11</v>
      </c>
      <c r="BN3" s="35"/>
      <c r="BO3" s="35"/>
      <c r="BP3" s="35"/>
      <c r="BQ3" s="4"/>
      <c r="BR3" s="36" t="s">
        <v>12</v>
      </c>
      <c r="BS3" s="37"/>
      <c r="BT3" s="37"/>
      <c r="BU3" s="37"/>
      <c r="BV3" s="4"/>
      <c r="BW3" s="38" t="s">
        <v>13</v>
      </c>
      <c r="BX3" s="39"/>
      <c r="BY3" s="39"/>
      <c r="BZ3" s="39"/>
      <c r="CA3" s="4"/>
      <c r="CB3" s="35" t="s">
        <v>11</v>
      </c>
      <c r="CC3" s="35"/>
      <c r="CD3" s="35"/>
      <c r="CE3" s="35"/>
      <c r="CF3" s="4"/>
      <c r="CG3" s="36" t="s">
        <v>12</v>
      </c>
      <c r="CH3" s="37"/>
      <c r="CI3" s="37"/>
      <c r="CJ3" s="37"/>
      <c r="CK3" s="4"/>
      <c r="CL3" s="38" t="s">
        <v>13</v>
      </c>
      <c r="CM3" s="39"/>
      <c r="CN3" s="39"/>
      <c r="CO3" s="39"/>
      <c r="CP3" s="4"/>
      <c r="CQ3" s="35" t="s">
        <v>11</v>
      </c>
      <c r="CR3" s="35"/>
      <c r="CS3" s="35"/>
      <c r="CT3" s="35"/>
      <c r="CU3" s="4"/>
      <c r="CV3" s="36" t="s">
        <v>12</v>
      </c>
      <c r="CW3" s="37"/>
      <c r="CX3" s="37"/>
      <c r="CY3" s="37"/>
      <c r="CZ3" s="4"/>
      <c r="DA3" s="38" t="s">
        <v>13</v>
      </c>
      <c r="DB3" s="39"/>
      <c r="DC3" s="39"/>
      <c r="DD3" s="39"/>
      <c r="DE3" s="4"/>
      <c r="DF3" s="35" t="s">
        <v>11</v>
      </c>
      <c r="DG3" s="35"/>
      <c r="DH3" s="35"/>
      <c r="DI3" s="35"/>
      <c r="DJ3" s="4"/>
      <c r="DK3" s="36" t="s">
        <v>12</v>
      </c>
      <c r="DL3" s="37"/>
      <c r="DM3" s="37"/>
      <c r="DN3" s="37"/>
      <c r="DO3" s="4"/>
      <c r="DP3" s="38" t="s">
        <v>13</v>
      </c>
      <c r="DQ3" s="39"/>
      <c r="DR3" s="39"/>
      <c r="DS3" s="39"/>
      <c r="DT3" s="4"/>
      <c r="DU3" s="35" t="s">
        <v>11</v>
      </c>
      <c r="DV3" s="35"/>
      <c r="DW3" s="35"/>
      <c r="DX3" s="4"/>
      <c r="DY3" s="36" t="s">
        <v>12</v>
      </c>
      <c r="DZ3" s="37"/>
      <c r="EA3" s="37"/>
      <c r="EB3" s="4"/>
      <c r="EC3" s="38" t="s">
        <v>13</v>
      </c>
      <c r="ED3" s="39"/>
      <c r="EE3" s="39"/>
      <c r="EF3" s="4"/>
      <c r="EG3" s="35" t="s">
        <v>11</v>
      </c>
      <c r="EH3" s="35"/>
      <c r="EI3" s="35"/>
      <c r="EJ3" s="4"/>
      <c r="EK3" s="36" t="s">
        <v>12</v>
      </c>
      <c r="EL3" s="37"/>
      <c r="EM3" s="37"/>
      <c r="EN3" s="4"/>
      <c r="EO3" s="38" t="s">
        <v>13</v>
      </c>
      <c r="EP3" s="39"/>
      <c r="EQ3" s="39"/>
      <c r="ER3" s="4"/>
      <c r="ES3" s="35" t="s">
        <v>11</v>
      </c>
      <c r="ET3" s="35"/>
      <c r="EU3" s="35"/>
      <c r="EV3" s="4"/>
      <c r="EW3" s="36" t="s">
        <v>12</v>
      </c>
      <c r="EX3" s="37"/>
      <c r="EY3" s="37"/>
      <c r="EZ3" s="4"/>
      <c r="FA3" s="38" t="s">
        <v>13</v>
      </c>
      <c r="FB3" s="39"/>
      <c r="FC3" s="39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</row>
    <row r="4" ht="15.75" customHeight="1">
      <c r="A4" s="1" t="s">
        <v>16</v>
      </c>
      <c r="B4" s="2"/>
      <c r="C4" s="3"/>
      <c r="D4" s="4"/>
      <c r="E4" s="4"/>
      <c r="F4" s="44" t="s">
        <v>17</v>
      </c>
      <c r="G4" s="46"/>
      <c r="H4" s="4"/>
      <c r="I4" s="4"/>
      <c r="J4" s="4"/>
      <c r="K4" s="44" t="s">
        <v>17</v>
      </c>
      <c r="L4" s="46"/>
      <c r="M4" s="4"/>
      <c r="N4" s="4"/>
      <c r="O4" s="4"/>
      <c r="P4" s="44" t="s">
        <v>17</v>
      </c>
      <c r="Q4" s="46"/>
      <c r="R4" s="4"/>
      <c r="S4" s="4"/>
      <c r="T4" s="12"/>
      <c r="U4" s="47" t="s">
        <v>19</v>
      </c>
      <c r="V4" s="48"/>
      <c r="W4" s="12"/>
      <c r="X4" s="12"/>
      <c r="Y4" s="12"/>
      <c r="Z4" s="47" t="s">
        <v>19</v>
      </c>
      <c r="AA4" s="48"/>
      <c r="AB4" s="12"/>
      <c r="AC4" s="12"/>
      <c r="AD4" s="12"/>
      <c r="AE4" s="47" t="s">
        <v>19</v>
      </c>
      <c r="AF4" s="48"/>
      <c r="AG4" s="12"/>
      <c r="AH4" s="4"/>
      <c r="AI4" s="4"/>
      <c r="AJ4" s="44" t="s">
        <v>17</v>
      </c>
      <c r="AK4" s="49"/>
      <c r="AL4" s="12"/>
      <c r="AM4" s="12"/>
      <c r="AN4" s="12"/>
      <c r="AO4" s="44" t="s">
        <v>17</v>
      </c>
      <c r="AP4" s="49"/>
      <c r="AQ4" s="4"/>
      <c r="AR4" s="4"/>
      <c r="AS4" s="4"/>
      <c r="AT4" s="44" t="s">
        <v>17</v>
      </c>
      <c r="AU4" s="46"/>
      <c r="AV4" s="4"/>
      <c r="AW4" s="4"/>
      <c r="AX4" s="50"/>
      <c r="AY4" s="51" t="s">
        <v>19</v>
      </c>
      <c r="AZ4" s="52"/>
      <c r="BA4" s="50"/>
      <c r="BB4" s="50"/>
      <c r="BC4" s="50"/>
      <c r="BD4" s="51" t="s">
        <v>19</v>
      </c>
      <c r="BE4" s="52"/>
      <c r="BF4" s="50"/>
      <c r="BG4" s="50"/>
      <c r="BH4" s="50"/>
      <c r="BI4" s="51" t="s">
        <v>19</v>
      </c>
      <c r="BJ4" s="52"/>
      <c r="BK4" s="50"/>
      <c r="BL4" s="4"/>
      <c r="BM4" s="4"/>
      <c r="BN4" s="44" t="s">
        <v>17</v>
      </c>
      <c r="BO4" s="49"/>
      <c r="BP4" s="12"/>
      <c r="BQ4" s="12"/>
      <c r="BR4" s="12"/>
      <c r="BS4" s="44" t="s">
        <v>17</v>
      </c>
      <c r="BT4" s="49"/>
      <c r="BU4" s="4"/>
      <c r="BV4" s="4"/>
      <c r="BW4" s="4"/>
      <c r="BX4" s="44" t="s">
        <v>17</v>
      </c>
      <c r="BY4" s="46"/>
      <c r="BZ4" s="4"/>
      <c r="CA4" s="4"/>
      <c r="CB4" s="50"/>
      <c r="CC4" s="51" t="s">
        <v>19</v>
      </c>
      <c r="CD4" s="52"/>
      <c r="CE4" s="50"/>
      <c r="CF4" s="50"/>
      <c r="CG4" s="50"/>
      <c r="CH4" s="51" t="s">
        <v>19</v>
      </c>
      <c r="CI4" s="52"/>
      <c r="CJ4" s="50"/>
      <c r="CK4" s="50"/>
      <c r="CL4" s="50"/>
      <c r="CM4" s="51" t="s">
        <v>19</v>
      </c>
      <c r="CN4" s="52"/>
      <c r="CO4" s="50"/>
      <c r="CP4" s="4"/>
      <c r="CQ4" s="4"/>
      <c r="CR4" s="44" t="s">
        <v>17</v>
      </c>
      <c r="CS4" s="49"/>
      <c r="CT4" s="12"/>
      <c r="CU4" s="12"/>
      <c r="CV4" s="12"/>
      <c r="CW4" s="44" t="s">
        <v>17</v>
      </c>
      <c r="CX4" s="49"/>
      <c r="CY4" s="4"/>
      <c r="CZ4" s="4"/>
      <c r="DA4" s="4"/>
      <c r="DB4" s="44" t="s">
        <v>17</v>
      </c>
      <c r="DC4" s="46"/>
      <c r="DD4" s="4"/>
      <c r="DE4" s="4"/>
      <c r="DF4" s="50"/>
      <c r="DG4" s="51" t="s">
        <v>19</v>
      </c>
      <c r="DH4" s="52"/>
      <c r="DI4" s="50"/>
      <c r="DJ4" s="50"/>
      <c r="DK4" s="50"/>
      <c r="DL4" s="51" t="s">
        <v>19</v>
      </c>
      <c r="DM4" s="52"/>
      <c r="DN4" s="50"/>
      <c r="DO4" s="50"/>
      <c r="DP4" s="50"/>
      <c r="DQ4" s="51" t="s">
        <v>19</v>
      </c>
      <c r="DR4" s="52"/>
      <c r="DS4" s="50"/>
      <c r="DT4" s="4"/>
      <c r="DU4" s="53" t="s">
        <v>19</v>
      </c>
      <c r="DV4" s="44"/>
      <c r="DW4" s="49"/>
      <c r="DX4" s="4"/>
      <c r="DY4" s="53" t="s">
        <v>19</v>
      </c>
      <c r="DZ4" s="44"/>
      <c r="EA4" s="49"/>
      <c r="EB4" s="4"/>
      <c r="EC4" s="53" t="s">
        <v>19</v>
      </c>
      <c r="ED4" s="44"/>
      <c r="EE4" s="46"/>
      <c r="EF4" s="4"/>
      <c r="EG4" s="53" t="s">
        <v>19</v>
      </c>
      <c r="EH4" s="44"/>
      <c r="EI4" s="49"/>
      <c r="EJ4" s="4"/>
      <c r="EK4" s="53" t="s">
        <v>19</v>
      </c>
      <c r="EL4" s="44"/>
      <c r="EM4" s="49"/>
      <c r="EN4" s="4"/>
      <c r="EO4" s="53" t="s">
        <v>19</v>
      </c>
      <c r="EP4" s="44"/>
      <c r="EQ4" s="46"/>
      <c r="ER4" s="4"/>
      <c r="ES4" s="53" t="s">
        <v>19</v>
      </c>
      <c r="ET4" s="44"/>
      <c r="EU4" s="49"/>
      <c r="EV4" s="4"/>
      <c r="EW4" s="53" t="s">
        <v>19</v>
      </c>
      <c r="EX4" s="44"/>
      <c r="EY4" s="49"/>
      <c r="EZ4" s="4"/>
      <c r="FA4" s="4"/>
      <c r="FB4" s="44" t="s">
        <v>17</v>
      </c>
      <c r="FC4" s="46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</row>
    <row r="5" ht="29.25" customHeight="1">
      <c r="A5" s="4"/>
      <c r="B5" s="2"/>
      <c r="C5" s="3"/>
      <c r="D5" s="54"/>
      <c r="E5" s="56" t="s">
        <v>20</v>
      </c>
      <c r="F5" s="57"/>
      <c r="G5" s="57"/>
      <c r="H5" s="58"/>
      <c r="I5" s="59"/>
      <c r="J5" s="56" t="s">
        <v>21</v>
      </c>
      <c r="K5" s="57"/>
      <c r="L5" s="57"/>
      <c r="M5" s="58"/>
      <c r="N5" s="59"/>
      <c r="O5" s="56" t="s">
        <v>22</v>
      </c>
      <c r="P5" s="57"/>
      <c r="Q5" s="57"/>
      <c r="R5" s="58"/>
      <c r="S5" s="59"/>
      <c r="T5" s="60" t="s">
        <v>20</v>
      </c>
      <c r="U5" s="61"/>
      <c r="V5" s="61"/>
      <c r="W5" s="62"/>
      <c r="X5" s="54"/>
      <c r="Y5" s="63" t="s">
        <v>23</v>
      </c>
      <c r="Z5" s="64"/>
      <c r="AA5" s="64"/>
      <c r="AB5" s="65"/>
      <c r="AC5" s="59"/>
      <c r="AD5" s="60" t="s">
        <v>24</v>
      </c>
      <c r="AE5" s="61"/>
      <c r="AF5" s="61"/>
      <c r="AG5" s="65"/>
      <c r="AH5" s="54"/>
      <c r="AI5" s="56" t="s">
        <v>20</v>
      </c>
      <c r="AJ5" s="57"/>
      <c r="AK5" s="57"/>
      <c r="AL5" s="58"/>
      <c r="AM5" s="59"/>
      <c r="AN5" s="56" t="s">
        <v>21</v>
      </c>
      <c r="AO5" s="57"/>
      <c r="AP5" s="57"/>
      <c r="AQ5" s="58"/>
      <c r="AR5" s="59"/>
      <c r="AS5" s="56" t="s">
        <v>22</v>
      </c>
      <c r="AT5" s="57"/>
      <c r="AU5" s="66"/>
      <c r="AV5" s="67"/>
      <c r="AW5" s="54"/>
      <c r="AX5" s="63" t="s">
        <v>20</v>
      </c>
      <c r="AY5" s="68"/>
      <c r="AZ5" s="68"/>
      <c r="BA5" s="62"/>
      <c r="BB5" s="54"/>
      <c r="BC5" s="63" t="s">
        <v>23</v>
      </c>
      <c r="BD5" s="68"/>
      <c r="BE5" s="68"/>
      <c r="BF5" s="62"/>
      <c r="BG5" s="54"/>
      <c r="BH5" s="63" t="s">
        <v>24</v>
      </c>
      <c r="BI5" s="68"/>
      <c r="BJ5" s="68"/>
      <c r="BK5" s="62"/>
      <c r="BL5" s="54"/>
      <c r="BM5" s="56" t="s">
        <v>20</v>
      </c>
      <c r="BN5" s="57"/>
      <c r="BO5" s="57"/>
      <c r="BP5" s="58"/>
      <c r="BQ5" s="59"/>
      <c r="BR5" s="56" t="s">
        <v>21</v>
      </c>
      <c r="BS5" s="57"/>
      <c r="BT5" s="57"/>
      <c r="BU5" s="58"/>
      <c r="BV5" s="59"/>
      <c r="BW5" s="56" t="s">
        <v>22</v>
      </c>
      <c r="BX5" s="57"/>
      <c r="BY5" s="66"/>
      <c r="BZ5" s="67"/>
      <c r="CA5" s="54"/>
      <c r="CB5" s="63" t="s">
        <v>20</v>
      </c>
      <c r="CC5" s="68"/>
      <c r="CD5" s="68"/>
      <c r="CE5" s="62"/>
      <c r="CF5" s="54"/>
      <c r="CG5" s="63" t="s">
        <v>23</v>
      </c>
      <c r="CH5" s="68"/>
      <c r="CI5" s="68"/>
      <c r="CJ5" s="62"/>
      <c r="CK5" s="54"/>
      <c r="CL5" s="63" t="s">
        <v>24</v>
      </c>
      <c r="CM5" s="68"/>
      <c r="CN5" s="68"/>
      <c r="CO5" s="62"/>
      <c r="CP5" s="54"/>
      <c r="CQ5" s="56" t="s">
        <v>20</v>
      </c>
      <c r="CR5" s="57"/>
      <c r="CS5" s="57"/>
      <c r="CT5" s="58"/>
      <c r="CU5" s="59"/>
      <c r="CV5" s="56" t="s">
        <v>21</v>
      </c>
      <c r="CW5" s="57"/>
      <c r="CX5" s="57"/>
      <c r="CY5" s="58"/>
      <c r="CZ5" s="59"/>
      <c r="DA5" s="56" t="s">
        <v>22</v>
      </c>
      <c r="DB5" s="57"/>
      <c r="DC5" s="66"/>
      <c r="DD5" s="67"/>
      <c r="DE5" s="54"/>
      <c r="DF5" s="63" t="s">
        <v>20</v>
      </c>
      <c r="DG5" s="68"/>
      <c r="DH5" s="68"/>
      <c r="DI5" s="62"/>
      <c r="DJ5" s="54"/>
      <c r="DK5" s="63" t="s">
        <v>23</v>
      </c>
      <c r="DL5" s="68"/>
      <c r="DM5" s="68"/>
      <c r="DN5" s="62"/>
      <c r="DO5" s="54"/>
      <c r="DP5" s="63" t="s">
        <v>24</v>
      </c>
      <c r="DQ5" s="68"/>
      <c r="DR5" s="68"/>
      <c r="DS5" s="62"/>
      <c r="DT5" s="54"/>
      <c r="DU5" s="73" t="s">
        <v>20</v>
      </c>
      <c r="DV5" s="74"/>
      <c r="DW5" s="74"/>
      <c r="DX5" s="54"/>
      <c r="DY5" s="73" t="s">
        <v>23</v>
      </c>
      <c r="DZ5" s="74"/>
      <c r="EA5" s="74"/>
      <c r="EB5" s="54"/>
      <c r="EC5" s="73" t="s">
        <v>24</v>
      </c>
      <c r="ED5" s="74"/>
      <c r="EE5" s="74"/>
      <c r="EF5" s="54"/>
      <c r="EG5" s="73" t="s">
        <v>20</v>
      </c>
      <c r="EH5" s="74"/>
      <c r="EI5" s="74"/>
      <c r="EJ5" s="54"/>
      <c r="EK5" s="73" t="s">
        <v>23</v>
      </c>
      <c r="EL5" s="74"/>
      <c r="EM5" s="74"/>
      <c r="EN5" s="54"/>
      <c r="EO5" s="73" t="s">
        <v>24</v>
      </c>
      <c r="EP5" s="74"/>
      <c r="EQ5" s="74"/>
      <c r="ER5" s="54"/>
      <c r="ES5" s="73" t="s">
        <v>20</v>
      </c>
      <c r="ET5" s="74"/>
      <c r="EU5" s="74"/>
      <c r="EV5" s="54"/>
      <c r="EW5" s="73" t="s">
        <v>23</v>
      </c>
      <c r="EX5" s="74"/>
      <c r="EY5" s="74"/>
      <c r="EZ5" s="54"/>
      <c r="FA5" s="73" t="s">
        <v>24</v>
      </c>
      <c r="FB5" s="74"/>
      <c r="FC5" s="74"/>
      <c r="FD5" s="5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</row>
    <row r="6" ht="87.0" customHeight="1">
      <c r="A6" s="75" t="s">
        <v>28</v>
      </c>
      <c r="B6" s="76" t="s">
        <v>29</v>
      </c>
      <c r="C6" s="78" t="s">
        <v>30</v>
      </c>
      <c r="D6" s="79"/>
      <c r="E6" s="80" t="s">
        <v>31</v>
      </c>
      <c r="F6" s="80" t="s">
        <v>32</v>
      </c>
      <c r="G6" s="80" t="s">
        <v>33</v>
      </c>
      <c r="H6" s="82" t="s">
        <v>34</v>
      </c>
      <c r="I6" s="83"/>
      <c r="J6" s="80" t="s">
        <v>31</v>
      </c>
      <c r="K6" s="80" t="s">
        <v>32</v>
      </c>
      <c r="L6" s="80" t="s">
        <v>33</v>
      </c>
      <c r="M6" s="82" t="s">
        <v>34</v>
      </c>
      <c r="N6" s="83"/>
      <c r="O6" s="80" t="s">
        <v>31</v>
      </c>
      <c r="P6" s="80" t="s">
        <v>32</v>
      </c>
      <c r="Q6" s="80" t="s">
        <v>33</v>
      </c>
      <c r="R6" s="82" t="s">
        <v>34</v>
      </c>
      <c r="S6" s="83"/>
      <c r="T6" s="80" t="s">
        <v>31</v>
      </c>
      <c r="U6" s="80" t="s">
        <v>32</v>
      </c>
      <c r="V6" s="80" t="s">
        <v>33</v>
      </c>
      <c r="W6" s="89" t="s">
        <v>34</v>
      </c>
      <c r="X6" s="83"/>
      <c r="Y6" s="80" t="s">
        <v>31</v>
      </c>
      <c r="Z6" s="80" t="s">
        <v>32</v>
      </c>
      <c r="AA6" s="80" t="s">
        <v>33</v>
      </c>
      <c r="AB6" s="89" t="s">
        <v>34</v>
      </c>
      <c r="AC6" s="83"/>
      <c r="AD6" s="80" t="s">
        <v>31</v>
      </c>
      <c r="AE6" s="80" t="s">
        <v>32</v>
      </c>
      <c r="AF6" s="80" t="s">
        <v>33</v>
      </c>
      <c r="AG6" s="89" t="s">
        <v>34</v>
      </c>
      <c r="AH6" s="83"/>
      <c r="AI6" s="80" t="s">
        <v>37</v>
      </c>
      <c r="AJ6" s="80" t="s">
        <v>38</v>
      </c>
      <c r="AK6" s="80" t="s">
        <v>39</v>
      </c>
      <c r="AL6" s="82" t="s">
        <v>40</v>
      </c>
      <c r="AM6" s="83"/>
      <c r="AN6" s="80" t="s">
        <v>37</v>
      </c>
      <c r="AO6" s="80" t="s">
        <v>38</v>
      </c>
      <c r="AP6" s="80" t="s">
        <v>39</v>
      </c>
      <c r="AQ6" s="82" t="s">
        <v>40</v>
      </c>
      <c r="AR6" s="83"/>
      <c r="AS6" s="80" t="s">
        <v>37</v>
      </c>
      <c r="AT6" s="80" t="s">
        <v>38</v>
      </c>
      <c r="AU6" s="80" t="s">
        <v>39</v>
      </c>
      <c r="AV6" s="82" t="s">
        <v>40</v>
      </c>
      <c r="AW6" s="83"/>
      <c r="AX6" s="80" t="s">
        <v>37</v>
      </c>
      <c r="AY6" s="80" t="s">
        <v>38</v>
      </c>
      <c r="AZ6" s="80" t="s">
        <v>39</v>
      </c>
      <c r="BA6" s="89" t="s">
        <v>40</v>
      </c>
      <c r="BB6" s="83"/>
      <c r="BC6" s="80" t="s">
        <v>37</v>
      </c>
      <c r="BD6" s="80" t="s">
        <v>38</v>
      </c>
      <c r="BE6" s="80" t="s">
        <v>39</v>
      </c>
      <c r="BF6" s="89" t="s">
        <v>40</v>
      </c>
      <c r="BG6" s="83"/>
      <c r="BH6" s="80" t="s">
        <v>37</v>
      </c>
      <c r="BI6" s="80" t="s">
        <v>38</v>
      </c>
      <c r="BJ6" s="80" t="s">
        <v>39</v>
      </c>
      <c r="BK6" s="89" t="s">
        <v>40</v>
      </c>
      <c r="BL6" s="83"/>
      <c r="BM6" s="80" t="s">
        <v>41</v>
      </c>
      <c r="BN6" s="80" t="s">
        <v>42</v>
      </c>
      <c r="BO6" s="80" t="s">
        <v>43</v>
      </c>
      <c r="BP6" s="82" t="s">
        <v>44</v>
      </c>
      <c r="BQ6" s="83"/>
      <c r="BR6" s="80" t="s">
        <v>41</v>
      </c>
      <c r="BS6" s="80" t="s">
        <v>42</v>
      </c>
      <c r="BT6" s="80" t="s">
        <v>43</v>
      </c>
      <c r="BU6" s="82" t="s">
        <v>44</v>
      </c>
      <c r="BV6" s="83"/>
      <c r="BW6" s="80" t="s">
        <v>41</v>
      </c>
      <c r="BX6" s="80" t="s">
        <v>42</v>
      </c>
      <c r="BY6" s="80" t="s">
        <v>43</v>
      </c>
      <c r="BZ6" s="82" t="s">
        <v>44</v>
      </c>
      <c r="CA6" s="83"/>
      <c r="CB6" s="80" t="s">
        <v>41</v>
      </c>
      <c r="CC6" s="80" t="s">
        <v>42</v>
      </c>
      <c r="CD6" s="80" t="s">
        <v>43</v>
      </c>
      <c r="CE6" s="89" t="s">
        <v>44</v>
      </c>
      <c r="CF6" s="83"/>
      <c r="CG6" s="80" t="s">
        <v>41</v>
      </c>
      <c r="CH6" s="80" t="s">
        <v>42</v>
      </c>
      <c r="CI6" s="80" t="s">
        <v>43</v>
      </c>
      <c r="CJ6" s="89" t="s">
        <v>44</v>
      </c>
      <c r="CK6" s="83"/>
      <c r="CL6" s="80" t="s">
        <v>41</v>
      </c>
      <c r="CM6" s="80" t="s">
        <v>42</v>
      </c>
      <c r="CN6" s="80" t="s">
        <v>43</v>
      </c>
      <c r="CO6" s="89" t="s">
        <v>44</v>
      </c>
      <c r="CP6" s="83"/>
      <c r="CQ6" s="80" t="s">
        <v>41</v>
      </c>
      <c r="CR6" s="80" t="s">
        <v>42</v>
      </c>
      <c r="CS6" s="80" t="s">
        <v>43</v>
      </c>
      <c r="CT6" s="82" t="s">
        <v>44</v>
      </c>
      <c r="CU6" s="83"/>
      <c r="CV6" s="80" t="s">
        <v>41</v>
      </c>
      <c r="CW6" s="80" t="s">
        <v>42</v>
      </c>
      <c r="CX6" s="80" t="s">
        <v>43</v>
      </c>
      <c r="CY6" s="82" t="s">
        <v>44</v>
      </c>
      <c r="CZ6" s="83"/>
      <c r="DA6" s="80" t="s">
        <v>41</v>
      </c>
      <c r="DB6" s="80" t="s">
        <v>42</v>
      </c>
      <c r="DC6" s="80" t="s">
        <v>43</v>
      </c>
      <c r="DD6" s="82" t="s">
        <v>45</v>
      </c>
      <c r="DE6" s="83"/>
      <c r="DF6" s="80" t="s">
        <v>41</v>
      </c>
      <c r="DG6" s="80" t="s">
        <v>42</v>
      </c>
      <c r="DH6" s="80" t="s">
        <v>43</v>
      </c>
      <c r="DI6" s="89" t="s">
        <v>45</v>
      </c>
      <c r="DJ6" s="83"/>
      <c r="DK6" s="80" t="s">
        <v>41</v>
      </c>
      <c r="DL6" s="80" t="s">
        <v>42</v>
      </c>
      <c r="DM6" s="80" t="s">
        <v>43</v>
      </c>
      <c r="DN6" s="89" t="s">
        <v>45</v>
      </c>
      <c r="DO6" s="83"/>
      <c r="DP6" s="80" t="s">
        <v>47</v>
      </c>
      <c r="DQ6" s="80" t="s">
        <v>48</v>
      </c>
      <c r="DR6" s="80" t="s">
        <v>49</v>
      </c>
      <c r="DS6" s="89" t="s">
        <v>45</v>
      </c>
      <c r="DT6" s="79"/>
      <c r="DU6" s="101" t="s">
        <v>50</v>
      </c>
      <c r="DV6" s="101" t="s">
        <v>51</v>
      </c>
      <c r="DW6" s="103" t="s">
        <v>52</v>
      </c>
      <c r="DX6" s="79"/>
      <c r="DY6" s="101" t="s">
        <v>53</v>
      </c>
      <c r="DZ6" s="101" t="s">
        <v>51</v>
      </c>
      <c r="EA6" s="103" t="s">
        <v>52</v>
      </c>
      <c r="EB6" s="79"/>
      <c r="EC6" s="101" t="s">
        <v>55</v>
      </c>
      <c r="ED6" s="101" t="s">
        <v>51</v>
      </c>
      <c r="EE6" s="103" t="s">
        <v>52</v>
      </c>
      <c r="EF6" s="79"/>
      <c r="EG6" s="101" t="s">
        <v>50</v>
      </c>
      <c r="EH6" s="101" t="s">
        <v>51</v>
      </c>
      <c r="EI6" s="103" t="s">
        <v>52</v>
      </c>
      <c r="EJ6" s="79"/>
      <c r="EK6" s="101" t="s">
        <v>53</v>
      </c>
      <c r="EL6" s="101" t="s">
        <v>51</v>
      </c>
      <c r="EM6" s="103" t="s">
        <v>52</v>
      </c>
      <c r="EN6" s="79"/>
      <c r="EO6" s="101" t="s">
        <v>55</v>
      </c>
      <c r="EP6" s="101" t="s">
        <v>51</v>
      </c>
      <c r="EQ6" s="103" t="s">
        <v>52</v>
      </c>
      <c r="ER6" s="79"/>
      <c r="ES6" s="101" t="s">
        <v>50</v>
      </c>
      <c r="ET6" s="101" t="s">
        <v>51</v>
      </c>
      <c r="EU6" s="103" t="s">
        <v>52</v>
      </c>
      <c r="EV6" s="79"/>
      <c r="EW6" s="101" t="s">
        <v>53</v>
      </c>
      <c r="EX6" s="101" t="s">
        <v>51</v>
      </c>
      <c r="EY6" s="103" t="s">
        <v>52</v>
      </c>
      <c r="EZ6" s="79"/>
      <c r="FA6" s="101" t="s">
        <v>55</v>
      </c>
      <c r="FB6" s="101" t="s">
        <v>51</v>
      </c>
      <c r="FC6" s="103" t="s">
        <v>52</v>
      </c>
      <c r="FD6" s="79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</row>
    <row r="7" ht="29.25" customHeight="1">
      <c r="A7" s="109" t="s">
        <v>67</v>
      </c>
      <c r="B7" s="111"/>
      <c r="C7" s="112"/>
      <c r="D7" s="113"/>
      <c r="E7" s="115"/>
      <c r="F7" s="115"/>
      <c r="G7" s="115"/>
      <c r="H7" s="115"/>
      <c r="I7" s="113"/>
      <c r="J7" s="115"/>
      <c r="K7" s="115"/>
      <c r="L7" s="115"/>
      <c r="M7" s="115"/>
      <c r="N7" s="113"/>
      <c r="O7" s="115"/>
      <c r="P7" s="115"/>
      <c r="Q7" s="115"/>
      <c r="R7" s="115"/>
      <c r="S7" s="113"/>
      <c r="T7" s="111"/>
      <c r="U7" s="115"/>
      <c r="V7" s="115"/>
      <c r="W7" s="115"/>
      <c r="X7" s="113"/>
      <c r="Y7" s="111"/>
      <c r="Z7" s="115"/>
      <c r="AA7" s="115"/>
      <c r="AB7" s="115"/>
      <c r="AC7" s="113"/>
      <c r="AD7" s="111"/>
      <c r="AE7" s="115"/>
      <c r="AF7" s="115"/>
      <c r="AG7" s="115"/>
      <c r="AH7" s="113"/>
      <c r="AI7" s="115"/>
      <c r="AJ7" s="115"/>
      <c r="AK7" s="115"/>
      <c r="AL7" s="115"/>
      <c r="AM7" s="113"/>
      <c r="AN7" s="115"/>
      <c r="AO7" s="115"/>
      <c r="AP7" s="115"/>
      <c r="AQ7" s="115"/>
      <c r="AR7" s="113"/>
      <c r="AS7" s="115"/>
      <c r="AT7" s="115"/>
      <c r="AU7" s="115"/>
      <c r="AV7" s="115"/>
      <c r="AW7" s="113"/>
      <c r="AX7" s="111"/>
      <c r="AY7" s="115"/>
      <c r="AZ7" s="115"/>
      <c r="BA7" s="115"/>
      <c r="BB7" s="113"/>
      <c r="BC7" s="111"/>
      <c r="BD7" s="115"/>
      <c r="BE7" s="115"/>
      <c r="BF7" s="115"/>
      <c r="BG7" s="113"/>
      <c r="BH7" s="111"/>
      <c r="BI7" s="115"/>
      <c r="BJ7" s="115"/>
      <c r="BK7" s="115"/>
      <c r="BL7" s="113"/>
      <c r="BM7" s="115"/>
      <c r="BN7" s="115"/>
      <c r="BO7" s="115"/>
      <c r="BP7" s="115"/>
      <c r="BQ7" s="113"/>
      <c r="BR7" s="115"/>
      <c r="BS7" s="115"/>
      <c r="BT7" s="115"/>
      <c r="BU7" s="115"/>
      <c r="BV7" s="113"/>
      <c r="BW7" s="115"/>
      <c r="BX7" s="115"/>
      <c r="BY7" s="115"/>
      <c r="BZ7" s="115"/>
      <c r="CA7" s="113"/>
      <c r="CB7" s="111"/>
      <c r="CC7" s="115"/>
      <c r="CD7" s="115"/>
      <c r="CE7" s="115"/>
      <c r="CF7" s="113"/>
      <c r="CG7" s="111"/>
      <c r="CH7" s="115"/>
      <c r="CI7" s="115"/>
      <c r="CJ7" s="115"/>
      <c r="CK7" s="113"/>
      <c r="CL7" s="111"/>
      <c r="CM7" s="115"/>
      <c r="CN7" s="115"/>
      <c r="CO7" s="115"/>
      <c r="CP7" s="113"/>
      <c r="CQ7" s="115"/>
      <c r="CR7" s="115"/>
      <c r="CS7" s="115"/>
      <c r="CT7" s="115"/>
      <c r="CU7" s="113"/>
      <c r="CV7" s="115"/>
      <c r="CW7" s="115"/>
      <c r="CX7" s="115"/>
      <c r="CY7" s="115"/>
      <c r="CZ7" s="113"/>
      <c r="DA7" s="115"/>
      <c r="DB7" s="115"/>
      <c r="DC7" s="115"/>
      <c r="DD7" s="115"/>
      <c r="DE7" s="113"/>
      <c r="DF7" s="111"/>
      <c r="DG7" s="115"/>
      <c r="DH7" s="115"/>
      <c r="DI7" s="115"/>
      <c r="DJ7" s="113"/>
      <c r="DK7" s="111"/>
      <c r="DL7" s="115"/>
      <c r="DM7" s="115"/>
      <c r="DN7" s="115"/>
      <c r="DO7" s="113"/>
      <c r="DP7" s="111"/>
      <c r="DQ7" s="115"/>
      <c r="DR7" s="115"/>
      <c r="DS7" s="115"/>
      <c r="DT7" s="113"/>
      <c r="DU7" s="115"/>
      <c r="DV7" s="115"/>
      <c r="DW7" s="115"/>
      <c r="DX7" s="113"/>
      <c r="DY7" s="115"/>
      <c r="DZ7" s="115"/>
      <c r="EA7" s="115"/>
      <c r="EB7" s="113"/>
      <c r="EC7" s="115"/>
      <c r="ED7" s="115"/>
      <c r="EE7" s="115"/>
      <c r="EF7" s="113"/>
      <c r="EG7" s="115"/>
      <c r="EH7" s="115"/>
      <c r="EI7" s="115"/>
      <c r="EJ7" s="113"/>
      <c r="EK7" s="115"/>
      <c r="EL7" s="115"/>
      <c r="EM7" s="115"/>
      <c r="EN7" s="113"/>
      <c r="EO7" s="115"/>
      <c r="EP7" s="115"/>
      <c r="EQ7" s="115"/>
      <c r="ER7" s="113"/>
      <c r="ES7" s="115"/>
      <c r="ET7" s="115"/>
      <c r="EU7" s="115"/>
      <c r="EV7" s="113"/>
      <c r="EW7" s="115"/>
      <c r="EX7" s="115"/>
      <c r="EY7" s="115"/>
      <c r="EZ7" s="113"/>
      <c r="FA7" s="115"/>
      <c r="FB7" s="115"/>
      <c r="FC7" s="115"/>
      <c r="FD7" s="113"/>
      <c r="FE7" s="42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20"/>
      <c r="FS7" s="4"/>
      <c r="FT7" s="4"/>
    </row>
    <row r="8" ht="15.75" customHeight="1">
      <c r="A8" s="125"/>
      <c r="B8" s="126"/>
      <c r="C8" s="127"/>
      <c r="D8" s="129"/>
      <c r="E8" s="125"/>
      <c r="F8" s="125"/>
      <c r="G8" s="125"/>
      <c r="H8" s="125"/>
      <c r="I8" s="129"/>
      <c r="J8" s="125"/>
      <c r="K8" s="125"/>
      <c r="L8" s="125"/>
      <c r="M8" s="125"/>
      <c r="N8" s="129"/>
      <c r="O8" s="125"/>
      <c r="P8" s="125"/>
      <c r="Q8" s="125"/>
      <c r="R8" s="125"/>
      <c r="S8" s="129"/>
      <c r="T8" s="125"/>
      <c r="U8" s="125"/>
      <c r="V8" s="125"/>
      <c r="W8" s="125"/>
      <c r="X8" s="129"/>
      <c r="Y8" s="125"/>
      <c r="Z8" s="125"/>
      <c r="AA8" s="125"/>
      <c r="AB8" s="125"/>
      <c r="AC8" s="129"/>
      <c r="AD8" s="125"/>
      <c r="AE8" s="125"/>
      <c r="AF8" s="125"/>
      <c r="AG8" s="125"/>
      <c r="AH8" s="129"/>
      <c r="AI8" s="125"/>
      <c r="AJ8" s="125"/>
      <c r="AK8" s="125"/>
      <c r="AL8" s="125"/>
      <c r="AM8" s="129"/>
      <c r="AN8" s="125"/>
      <c r="AO8" s="125"/>
      <c r="AP8" s="125"/>
      <c r="AQ8" s="125"/>
      <c r="AR8" s="129"/>
      <c r="AS8" s="125"/>
      <c r="AT8" s="125"/>
      <c r="AU8" s="125"/>
      <c r="AV8" s="125"/>
      <c r="AW8" s="129"/>
      <c r="AX8" s="125"/>
      <c r="AY8" s="125"/>
      <c r="AZ8" s="125"/>
      <c r="BA8" s="125"/>
      <c r="BB8" s="129"/>
      <c r="BC8" s="125"/>
      <c r="BD8" s="125"/>
      <c r="BE8" s="125"/>
      <c r="BF8" s="125"/>
      <c r="BG8" s="129"/>
      <c r="BH8" s="125"/>
      <c r="BI8" s="125"/>
      <c r="BJ8" s="125"/>
      <c r="BK8" s="125"/>
      <c r="BL8" s="129"/>
      <c r="BM8" s="125"/>
      <c r="BN8" s="125"/>
      <c r="BO8" s="125"/>
      <c r="BP8" s="125"/>
      <c r="BQ8" s="129"/>
      <c r="BR8" s="125"/>
      <c r="BS8" s="125"/>
      <c r="BT8" s="125"/>
      <c r="BU8" s="125"/>
      <c r="BV8" s="129"/>
      <c r="BW8" s="125"/>
      <c r="BX8" s="125"/>
      <c r="BY8" s="125"/>
      <c r="BZ8" s="125"/>
      <c r="CA8" s="129"/>
      <c r="CB8" s="125"/>
      <c r="CC8" s="125"/>
      <c r="CD8" s="125"/>
      <c r="CE8" s="125"/>
      <c r="CF8" s="129"/>
      <c r="CG8" s="125"/>
      <c r="CH8" s="125"/>
      <c r="CI8" s="125"/>
      <c r="CJ8" s="125"/>
      <c r="CK8" s="129"/>
      <c r="CL8" s="125"/>
      <c r="CM8" s="125"/>
      <c r="CN8" s="125"/>
      <c r="CO8" s="125"/>
      <c r="CP8" s="129"/>
      <c r="CQ8" s="125"/>
      <c r="CR8" s="125"/>
      <c r="CS8" s="125"/>
      <c r="CT8" s="125"/>
      <c r="CU8" s="129"/>
      <c r="CV8" s="125"/>
      <c r="CW8" s="125"/>
      <c r="CX8" s="125"/>
      <c r="CY8" s="125"/>
      <c r="CZ8" s="129"/>
      <c r="DA8" s="125"/>
      <c r="DB8" s="125"/>
      <c r="DC8" s="125"/>
      <c r="DD8" s="125"/>
      <c r="DE8" s="129"/>
      <c r="DF8" s="125"/>
      <c r="DG8" s="125"/>
      <c r="DH8" s="125"/>
      <c r="DI8" s="125"/>
      <c r="DJ8" s="129"/>
      <c r="DK8" s="125"/>
      <c r="DL8" s="125"/>
      <c r="DM8" s="125"/>
      <c r="DN8" s="125"/>
      <c r="DO8" s="129"/>
      <c r="DP8" s="125"/>
      <c r="DQ8" s="125"/>
      <c r="DR8" s="125"/>
      <c r="DS8" s="125"/>
      <c r="DT8" s="129"/>
      <c r="DU8" s="125"/>
      <c r="DV8" s="125"/>
      <c r="DW8" s="125"/>
      <c r="DX8" s="129"/>
      <c r="DY8" s="125"/>
      <c r="DZ8" s="125"/>
      <c r="EA8" s="125"/>
      <c r="EB8" s="129"/>
      <c r="EC8" s="125"/>
      <c r="ED8" s="125"/>
      <c r="EE8" s="125"/>
      <c r="EF8" s="129"/>
      <c r="EG8" s="125"/>
      <c r="EH8" s="125"/>
      <c r="EI8" s="125"/>
      <c r="EJ8" s="129"/>
      <c r="EK8" s="125"/>
      <c r="EL8" s="125"/>
      <c r="EM8" s="125"/>
      <c r="EN8" s="129"/>
      <c r="EO8" s="125"/>
      <c r="EP8" s="125"/>
      <c r="EQ8" s="125"/>
      <c r="ER8" s="129"/>
      <c r="ES8" s="125"/>
      <c r="ET8" s="125"/>
      <c r="EU8" s="125"/>
      <c r="EV8" s="129"/>
      <c r="EW8" s="125"/>
      <c r="EX8" s="125"/>
      <c r="EY8" s="125"/>
      <c r="EZ8" s="129"/>
      <c r="FA8" s="125"/>
      <c r="FB8" s="125"/>
      <c r="FC8" s="125"/>
      <c r="FD8" s="129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</row>
    <row r="9" ht="15.75" customHeight="1">
      <c r="A9" s="137" t="s">
        <v>68</v>
      </c>
      <c r="B9" s="138"/>
      <c r="C9" s="139"/>
      <c r="D9" s="140"/>
      <c r="E9" s="141"/>
      <c r="F9" s="141"/>
      <c r="G9" s="141"/>
      <c r="H9" s="142"/>
      <c r="I9" s="140"/>
      <c r="J9" s="141"/>
      <c r="K9" s="141"/>
      <c r="L9" s="141"/>
      <c r="M9" s="142"/>
      <c r="N9" s="140"/>
      <c r="O9" s="141"/>
      <c r="P9" s="141"/>
      <c r="Q9" s="141"/>
      <c r="R9" s="142"/>
      <c r="S9" s="140"/>
      <c r="T9" s="141"/>
      <c r="U9" s="141"/>
      <c r="V9" s="141"/>
      <c r="W9" s="142"/>
      <c r="X9" s="140"/>
      <c r="Y9" s="141"/>
      <c r="Z9" s="141"/>
      <c r="AA9" s="141"/>
      <c r="AB9" s="142"/>
      <c r="AC9" s="140"/>
      <c r="AD9" s="141"/>
      <c r="AE9" s="141"/>
      <c r="AF9" s="141"/>
      <c r="AG9" s="142"/>
      <c r="AH9" s="140"/>
      <c r="AI9" s="141"/>
      <c r="AJ9" s="141"/>
      <c r="AK9" s="141"/>
      <c r="AL9" s="142"/>
      <c r="AM9" s="140"/>
      <c r="AN9" s="141"/>
      <c r="AO9" s="141"/>
      <c r="AP9" s="141"/>
      <c r="AQ9" s="142"/>
      <c r="AR9" s="140"/>
      <c r="AS9" s="141"/>
      <c r="AT9" s="141"/>
      <c r="AU9" s="141"/>
      <c r="AV9" s="142"/>
      <c r="AW9" s="140"/>
      <c r="AX9" s="141"/>
      <c r="AY9" s="141"/>
      <c r="AZ9" s="141"/>
      <c r="BA9" s="142"/>
      <c r="BB9" s="140"/>
      <c r="BC9" s="141"/>
      <c r="BD9" s="141"/>
      <c r="BE9" s="141"/>
      <c r="BF9" s="142"/>
      <c r="BG9" s="140"/>
      <c r="BH9" s="141"/>
      <c r="BI9" s="141"/>
      <c r="BJ9" s="141"/>
      <c r="BK9" s="142"/>
      <c r="BL9" s="140"/>
      <c r="BM9" s="141"/>
      <c r="BN9" s="141"/>
      <c r="BO9" s="141"/>
      <c r="BP9" s="142"/>
      <c r="BQ9" s="140"/>
      <c r="BR9" s="141"/>
      <c r="BS9" s="141"/>
      <c r="BT9" s="141"/>
      <c r="BU9" s="142"/>
      <c r="BV9" s="140"/>
      <c r="BW9" s="141"/>
      <c r="BX9" s="141"/>
      <c r="BY9" s="141"/>
      <c r="BZ9" s="142"/>
      <c r="CA9" s="140"/>
      <c r="CB9" s="141"/>
      <c r="CC9" s="141"/>
      <c r="CD9" s="141"/>
      <c r="CE9" s="142"/>
      <c r="CF9" s="140"/>
      <c r="CG9" s="141"/>
      <c r="CH9" s="141"/>
      <c r="CI9" s="141"/>
      <c r="CJ9" s="142"/>
      <c r="CK9" s="140"/>
      <c r="CL9" s="141"/>
      <c r="CM9" s="141"/>
      <c r="CN9" s="141"/>
      <c r="CO9" s="142"/>
      <c r="CP9" s="140"/>
      <c r="CQ9" s="141"/>
      <c r="CR9" s="141"/>
      <c r="CS9" s="141"/>
      <c r="CT9" s="142"/>
      <c r="CU9" s="140"/>
      <c r="CV9" s="141"/>
      <c r="CW9" s="141"/>
      <c r="CX9" s="141"/>
      <c r="CY9" s="142"/>
      <c r="CZ9" s="140"/>
      <c r="DA9" s="141"/>
      <c r="DB9" s="141"/>
      <c r="DC9" s="141"/>
      <c r="DD9" s="142"/>
      <c r="DE9" s="140"/>
      <c r="DF9" s="141"/>
      <c r="DG9" s="141"/>
      <c r="DH9" s="141"/>
      <c r="DI9" s="142"/>
      <c r="DJ9" s="140"/>
      <c r="DK9" s="141"/>
      <c r="DL9" s="141"/>
      <c r="DM9" s="141"/>
      <c r="DN9" s="142"/>
      <c r="DO9" s="140"/>
      <c r="DP9" s="141"/>
      <c r="DQ9" s="141"/>
      <c r="DR9" s="141"/>
      <c r="DS9" s="142"/>
      <c r="DT9" s="140"/>
      <c r="DU9" s="142"/>
      <c r="DV9" s="141"/>
      <c r="DW9" s="141"/>
      <c r="DX9" s="140"/>
      <c r="DY9" s="142"/>
      <c r="DZ9" s="141"/>
      <c r="EA9" s="141"/>
      <c r="EB9" s="140"/>
      <c r="EC9" s="142"/>
      <c r="ED9" s="141"/>
      <c r="EE9" s="141"/>
      <c r="EF9" s="140"/>
      <c r="EG9" s="142"/>
      <c r="EH9" s="141"/>
      <c r="EI9" s="141"/>
      <c r="EJ9" s="140"/>
      <c r="EK9" s="142"/>
      <c r="EL9" s="141"/>
      <c r="EM9" s="141"/>
      <c r="EN9" s="140"/>
      <c r="EO9" s="142"/>
      <c r="EP9" s="141"/>
      <c r="EQ9" s="141"/>
      <c r="ER9" s="140"/>
      <c r="ES9" s="142"/>
      <c r="ET9" s="141"/>
      <c r="EU9" s="141"/>
      <c r="EV9" s="140"/>
      <c r="EW9" s="142"/>
      <c r="EX9" s="141"/>
      <c r="EY9" s="141"/>
      <c r="EZ9" s="140"/>
      <c r="FA9" s="142"/>
      <c r="FB9" s="141"/>
      <c r="FC9" s="141"/>
      <c r="FD9" s="140"/>
      <c r="FE9" s="4"/>
      <c r="FF9" s="20" t="str">
        <f>SUM(#REF!,#REF!,#REF!,#REF!,#REF!)</f>
        <v>#REF!</v>
      </c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1"/>
      <c r="FT9" s="148"/>
    </row>
    <row r="10" ht="15.75" customHeight="1">
      <c r="A10" s="149" t="s">
        <v>69</v>
      </c>
      <c r="B10" s="150" t="s">
        <v>70</v>
      </c>
      <c r="C10" s="152" t="s">
        <v>71</v>
      </c>
      <c r="D10" s="153">
        <v>1.0</v>
      </c>
      <c r="E10" s="154">
        <v>1.0</v>
      </c>
      <c r="F10" s="154">
        <v>2.0</v>
      </c>
      <c r="G10" s="155">
        <v>3.0</v>
      </c>
      <c r="H10" s="156">
        <f t="shared" ref="H10:H16" si="5">SUM(E10:G10)</f>
        <v>6</v>
      </c>
      <c r="I10" s="153">
        <v>1.0</v>
      </c>
      <c r="J10" s="154">
        <v>1.0</v>
      </c>
      <c r="K10" s="154">
        <v>2.0</v>
      </c>
      <c r="L10" s="155">
        <v>3.0</v>
      </c>
      <c r="M10" s="156">
        <f t="shared" ref="M10:M16" si="6">SUM(J10:L10)</f>
        <v>6</v>
      </c>
      <c r="N10" s="153">
        <v>1.0</v>
      </c>
      <c r="O10" s="154">
        <v>1.0</v>
      </c>
      <c r="P10" s="154">
        <v>2.0</v>
      </c>
      <c r="Q10" s="155">
        <v>3.0</v>
      </c>
      <c r="R10" s="156">
        <f t="shared" ref="R10:R16" si="7">SUM(O10:Q10)</f>
        <v>6</v>
      </c>
      <c r="S10" s="153"/>
      <c r="T10" s="154">
        <v>1.0</v>
      </c>
      <c r="U10" s="154">
        <v>2.0</v>
      </c>
      <c r="V10" s="155"/>
      <c r="W10" s="156">
        <f t="shared" ref="W10:W16" si="8">SUM(T10:V10)</f>
        <v>3</v>
      </c>
      <c r="X10" s="153"/>
      <c r="Y10" s="154">
        <v>1.0</v>
      </c>
      <c r="Z10" s="154">
        <v>2.0</v>
      </c>
      <c r="AA10" s="155"/>
      <c r="AB10" s="156">
        <f t="shared" ref="AB10:AB16" si="9">SUM(Y10:AA10)</f>
        <v>3</v>
      </c>
      <c r="AC10" s="153"/>
      <c r="AD10" s="154">
        <v>1.0</v>
      </c>
      <c r="AE10" s="154">
        <v>2.0</v>
      </c>
      <c r="AF10" s="155"/>
      <c r="AG10" s="156">
        <f t="shared" ref="AG10:AG16" si="10">SUM(AD10:AF10)</f>
        <v>3</v>
      </c>
      <c r="AH10" s="153"/>
      <c r="AI10" s="154">
        <v>1.0</v>
      </c>
      <c r="AJ10" s="154">
        <v>2.0</v>
      </c>
      <c r="AK10" s="155">
        <v>3.0</v>
      </c>
      <c r="AL10" s="156">
        <f t="shared" ref="AL10:AL16" si="11">SUM(AI10:AK10)</f>
        <v>6</v>
      </c>
      <c r="AM10" s="153">
        <v>1.0</v>
      </c>
      <c r="AN10" s="154">
        <v>1.0</v>
      </c>
      <c r="AO10" s="154">
        <v>2.0</v>
      </c>
      <c r="AP10" s="155">
        <v>3.0</v>
      </c>
      <c r="AQ10" s="156">
        <f t="shared" ref="AQ10:AQ16" si="12">SUM(AN10:AP10)</f>
        <v>6</v>
      </c>
      <c r="AR10" s="153">
        <v>1.0</v>
      </c>
      <c r="AS10" s="154">
        <v>1.0</v>
      </c>
      <c r="AT10" s="154">
        <v>2.0</v>
      </c>
      <c r="AU10" s="155">
        <v>3.0</v>
      </c>
      <c r="AV10" s="156">
        <f t="shared" ref="AV10:AV16" si="13">SUM(AS10:AU10)</f>
        <v>6</v>
      </c>
      <c r="AW10" s="153"/>
      <c r="AX10" s="154">
        <v>1.0</v>
      </c>
      <c r="AY10" s="154">
        <v>2.0</v>
      </c>
      <c r="AZ10" s="155"/>
      <c r="BA10" s="156">
        <f t="shared" ref="BA10:BA16" si="14">SUM(AX10:AZ10)</f>
        <v>3</v>
      </c>
      <c r="BB10" s="153"/>
      <c r="BC10" s="154">
        <v>1.0</v>
      </c>
      <c r="BD10" s="154">
        <v>2.0</v>
      </c>
      <c r="BE10" s="155"/>
      <c r="BF10" s="156">
        <f t="shared" ref="BF10:BF16" si="15">SUM(BC10:BE10)</f>
        <v>3</v>
      </c>
      <c r="BG10" s="153"/>
      <c r="BH10" s="154">
        <v>1.0</v>
      </c>
      <c r="BI10" s="154">
        <v>2.0</v>
      </c>
      <c r="BJ10" s="155"/>
      <c r="BK10" s="156">
        <f t="shared" ref="BK10:BK16" si="16">SUM(BH10:BJ10)</f>
        <v>3</v>
      </c>
      <c r="BL10" s="153"/>
      <c r="BM10" s="154">
        <v>1.0</v>
      </c>
      <c r="BN10" s="154">
        <v>2.0</v>
      </c>
      <c r="BO10" s="155">
        <v>3.0</v>
      </c>
      <c r="BP10" s="156">
        <f t="shared" ref="BP10:BP16" si="17">SUM(BM10:BO10)</f>
        <v>6</v>
      </c>
      <c r="BQ10" s="153">
        <v>1.0</v>
      </c>
      <c r="BR10" s="154">
        <v>1.0</v>
      </c>
      <c r="BS10" s="154">
        <v>2.0</v>
      </c>
      <c r="BT10" s="155">
        <v>3.0</v>
      </c>
      <c r="BU10" s="156">
        <f t="shared" ref="BU10:BU16" si="18">SUM(BR10:BT10)</f>
        <v>6</v>
      </c>
      <c r="BV10" s="153">
        <v>1.0</v>
      </c>
      <c r="BW10" s="154">
        <v>1.0</v>
      </c>
      <c r="BX10" s="154">
        <v>2.0</v>
      </c>
      <c r="BY10" s="155">
        <v>3.0</v>
      </c>
      <c r="BZ10" s="156">
        <f t="shared" ref="BZ10:BZ16" si="19">SUM(BW10:BY10)</f>
        <v>6</v>
      </c>
      <c r="CA10" s="153"/>
      <c r="CB10" s="154">
        <v>1.0</v>
      </c>
      <c r="CC10" s="154">
        <v>2.0</v>
      </c>
      <c r="CD10" s="155"/>
      <c r="CE10" s="156">
        <f t="shared" ref="CE10:CE16" si="20">SUM(CB10:CD10)</f>
        <v>3</v>
      </c>
      <c r="CF10" s="153"/>
      <c r="CG10" s="154">
        <v>1.0</v>
      </c>
      <c r="CH10" s="154">
        <v>2.0</v>
      </c>
      <c r="CI10" s="155"/>
      <c r="CJ10" s="156">
        <f t="shared" ref="CJ10:CJ16" si="21">SUM(CG10:CI10)</f>
        <v>3</v>
      </c>
      <c r="CK10" s="153"/>
      <c r="CL10" s="154">
        <v>1.0</v>
      </c>
      <c r="CM10" s="154">
        <v>2.0</v>
      </c>
      <c r="CN10" s="155"/>
      <c r="CO10" s="156">
        <f t="shared" ref="CO10:CO16" si="22">SUM(CL10:CN10)</f>
        <v>3</v>
      </c>
      <c r="CP10" s="153"/>
      <c r="CQ10" s="154">
        <v>1.0</v>
      </c>
      <c r="CR10" s="154">
        <v>2.0</v>
      </c>
      <c r="CS10" s="155">
        <v>3.0</v>
      </c>
      <c r="CT10" s="156">
        <f t="shared" ref="CT10:CT16" si="23">SUM(CQ10:CS10)</f>
        <v>6</v>
      </c>
      <c r="CU10" s="153">
        <v>1.0</v>
      </c>
      <c r="CV10" s="154">
        <v>1.0</v>
      </c>
      <c r="CW10" s="154">
        <v>2.0</v>
      </c>
      <c r="CX10" s="155">
        <v>3.0</v>
      </c>
      <c r="CY10" s="156">
        <f t="shared" ref="CY10:CY16" si="24">SUM(CV10:CX10)</f>
        <v>6</v>
      </c>
      <c r="CZ10" s="153">
        <v>1.0</v>
      </c>
      <c r="DA10" s="154">
        <v>1.0</v>
      </c>
      <c r="DB10" s="154">
        <v>2.0</v>
      </c>
      <c r="DC10" s="155">
        <v>3.0</v>
      </c>
      <c r="DD10" s="156">
        <f t="shared" ref="DD10:DD16" si="25">SUM(DA10:DC10)</f>
        <v>6</v>
      </c>
      <c r="DE10" s="153"/>
      <c r="DF10" s="154">
        <v>1.0</v>
      </c>
      <c r="DG10" s="154">
        <v>2.0</v>
      </c>
      <c r="DH10" s="155">
        <v>6.0</v>
      </c>
      <c r="DI10" s="156">
        <f t="shared" ref="DI10:DI16" si="26">SUM(DF10:DH10)</f>
        <v>9</v>
      </c>
      <c r="DJ10" s="153"/>
      <c r="DK10" s="154">
        <v>1.0</v>
      </c>
      <c r="DL10" s="154">
        <v>2.0</v>
      </c>
      <c r="DM10" s="155"/>
      <c r="DN10" s="156">
        <f t="shared" ref="DN10:DN16" si="27">SUM(DK10:DM10)</f>
        <v>3</v>
      </c>
      <c r="DO10" s="153"/>
      <c r="DP10" s="154">
        <v>1.0</v>
      </c>
      <c r="DQ10" s="154">
        <v>2.0</v>
      </c>
      <c r="DR10" s="155"/>
      <c r="DS10" s="156">
        <f t="shared" ref="DS10:DS16" si="28">SUM(DP10:DR10)</f>
        <v>3</v>
      </c>
      <c r="DT10" s="153"/>
      <c r="DU10" s="156">
        <f t="shared" ref="DU10:DU16" si="29">SUM(H10,AL10)</f>
        <v>12</v>
      </c>
      <c r="DV10" s="154">
        <f t="shared" ref="DV10:DV16" si="30">SUM(W10,BA10)</f>
        <v>6</v>
      </c>
      <c r="DW10" s="163">
        <f t="shared" ref="DW10:DW16" si="31">DV10/DU10</f>
        <v>0.5</v>
      </c>
      <c r="DX10" s="153"/>
      <c r="DY10" s="156">
        <f t="shared" ref="DY10:DY16" si="32">SUM(M10,AQ10)</f>
        <v>12</v>
      </c>
      <c r="DZ10" s="154">
        <f t="shared" ref="DZ10:DZ16" si="33">SUM(AB10,BF10)</f>
        <v>6</v>
      </c>
      <c r="EA10" s="163">
        <f t="shared" ref="EA10:EA16" si="34">DZ10/DY10</f>
        <v>0.5</v>
      </c>
      <c r="EB10" s="153"/>
      <c r="EC10" s="156">
        <f t="shared" ref="EC10:EC16" si="35">SUM(R10,AV10)</f>
        <v>12</v>
      </c>
      <c r="ED10" s="154">
        <f t="shared" ref="ED10:ED16" si="36">SUM(AG10,BK10)</f>
        <v>6</v>
      </c>
      <c r="EE10" s="163">
        <f t="shared" ref="EE10:EE16" si="37">ED10/EC10</f>
        <v>0.5</v>
      </c>
      <c r="EF10" s="153"/>
      <c r="EG10" s="156">
        <f t="shared" ref="EG10:EG16" si="38">SUM(CB10,DF10)</f>
        <v>2</v>
      </c>
      <c r="EH10" s="154">
        <f t="shared" ref="EH10:EH16" si="39">SUM(CQ10,DU10)</f>
        <v>13</v>
      </c>
      <c r="EI10" s="163">
        <f t="shared" ref="EI10:EI16" si="40">EH10/EG10</f>
        <v>6.5</v>
      </c>
      <c r="EJ10" s="153"/>
      <c r="EK10" s="156">
        <f t="shared" ref="EK10:EK16" si="41">SUM(CG10,DK10)</f>
        <v>2</v>
      </c>
      <c r="EL10" s="154">
        <f t="shared" ref="EL10:EL16" si="42">SUM(CV10,DZ10)</f>
        <v>7</v>
      </c>
      <c r="EM10" s="163">
        <f t="shared" ref="EM10:EM16" si="43">EL10/EK10</f>
        <v>3.5</v>
      </c>
      <c r="EN10" s="153"/>
      <c r="EO10" s="156">
        <f t="shared" ref="EO10:EP10" si="1">SUM(CL10,DP10)</f>
        <v>2</v>
      </c>
      <c r="EP10" s="156">
        <f t="shared" si="1"/>
        <v>4</v>
      </c>
      <c r="EQ10" s="163">
        <f t="shared" ref="EQ10:EQ16" si="45">EP10/EO10</f>
        <v>2</v>
      </c>
      <c r="ER10" s="153"/>
      <c r="ES10" s="156">
        <f t="shared" ref="ES10:ET10" si="2">SUM(DU10,EG10)</f>
        <v>14</v>
      </c>
      <c r="ET10" s="154">
        <f t="shared" si="2"/>
        <v>19</v>
      </c>
      <c r="EU10" s="163">
        <f t="shared" ref="EU10:EU16" si="47">ET10/ES10</f>
        <v>1.357142857</v>
      </c>
      <c r="EV10" s="153"/>
      <c r="EW10" s="156">
        <f t="shared" ref="EW10:EX10" si="3">SUM(DY10,EK10)</f>
        <v>14</v>
      </c>
      <c r="EX10" s="154">
        <f t="shared" si="3"/>
        <v>13</v>
      </c>
      <c r="EY10" s="163">
        <f t="shared" ref="EY10:EY16" si="49">EX10/EW10</f>
        <v>0.9285714286</v>
      </c>
      <c r="EZ10" s="153"/>
      <c r="FA10" s="156">
        <f t="shared" ref="FA10:FB10" si="4">SUM(EC10,EO10)</f>
        <v>14</v>
      </c>
      <c r="FB10" s="154">
        <f t="shared" si="4"/>
        <v>10</v>
      </c>
      <c r="FC10" s="163">
        <f t="shared" ref="FC10:FC16" si="51">FB10/FA10</f>
        <v>0.7142857143</v>
      </c>
      <c r="FD10" s="153"/>
      <c r="FE10" s="4"/>
      <c r="FF10" s="164"/>
      <c r="FG10" s="4"/>
      <c r="FH10" s="20"/>
      <c r="FI10" s="20"/>
      <c r="FJ10" s="4"/>
      <c r="FK10" s="4"/>
      <c r="FL10" s="20"/>
      <c r="FM10" s="20"/>
      <c r="FN10" s="4"/>
      <c r="FO10" s="4"/>
      <c r="FP10" s="4"/>
      <c r="FQ10" s="4"/>
      <c r="FR10" s="165"/>
      <c r="FS10" s="1"/>
      <c r="FT10" s="1"/>
    </row>
    <row r="11" ht="15.75" customHeight="1">
      <c r="A11" s="167"/>
      <c r="B11" s="168"/>
      <c r="C11" s="152"/>
      <c r="D11" s="153"/>
      <c r="E11" s="154"/>
      <c r="F11" s="154"/>
      <c r="G11" s="155"/>
      <c r="H11" s="156">
        <f t="shared" si="5"/>
        <v>0</v>
      </c>
      <c r="I11" s="153"/>
      <c r="J11" s="154"/>
      <c r="K11" s="154"/>
      <c r="L11" s="155"/>
      <c r="M11" s="156">
        <f t="shared" si="6"/>
        <v>0</v>
      </c>
      <c r="N11" s="153"/>
      <c r="O11" s="154"/>
      <c r="P11" s="154"/>
      <c r="Q11" s="155"/>
      <c r="R11" s="156">
        <f t="shared" si="7"/>
        <v>0</v>
      </c>
      <c r="S11" s="153"/>
      <c r="T11" s="154"/>
      <c r="U11" s="154"/>
      <c r="V11" s="155"/>
      <c r="W11" s="156">
        <f t="shared" si="8"/>
        <v>0</v>
      </c>
      <c r="X11" s="153"/>
      <c r="Y11" s="154"/>
      <c r="Z11" s="154"/>
      <c r="AA11" s="155"/>
      <c r="AB11" s="156">
        <f t="shared" si="9"/>
        <v>0</v>
      </c>
      <c r="AC11" s="153"/>
      <c r="AD11" s="154"/>
      <c r="AE11" s="154"/>
      <c r="AF11" s="155"/>
      <c r="AG11" s="156">
        <f t="shared" si="10"/>
        <v>0</v>
      </c>
      <c r="AH11" s="153"/>
      <c r="AI11" s="154"/>
      <c r="AJ11" s="154"/>
      <c r="AK11" s="155"/>
      <c r="AL11" s="156">
        <f t="shared" si="11"/>
        <v>0</v>
      </c>
      <c r="AM11" s="153"/>
      <c r="AN11" s="154"/>
      <c r="AO11" s="154"/>
      <c r="AP11" s="155"/>
      <c r="AQ11" s="156">
        <f t="shared" si="12"/>
        <v>0</v>
      </c>
      <c r="AR11" s="153"/>
      <c r="AS11" s="154"/>
      <c r="AT11" s="154"/>
      <c r="AU11" s="155"/>
      <c r="AV11" s="156">
        <f t="shared" si="13"/>
        <v>0</v>
      </c>
      <c r="AW11" s="153"/>
      <c r="AX11" s="154"/>
      <c r="AY11" s="154"/>
      <c r="AZ11" s="155"/>
      <c r="BA11" s="156">
        <f t="shared" si="14"/>
        <v>0</v>
      </c>
      <c r="BB11" s="153"/>
      <c r="BC11" s="154"/>
      <c r="BD11" s="154"/>
      <c r="BE11" s="155"/>
      <c r="BF11" s="156">
        <f t="shared" si="15"/>
        <v>0</v>
      </c>
      <c r="BG11" s="153"/>
      <c r="BH11" s="154"/>
      <c r="BI11" s="154"/>
      <c r="BJ11" s="155"/>
      <c r="BK11" s="156">
        <f t="shared" si="16"/>
        <v>0</v>
      </c>
      <c r="BL11" s="153"/>
      <c r="BM11" s="154"/>
      <c r="BN11" s="154"/>
      <c r="BO11" s="155"/>
      <c r="BP11" s="156">
        <f t="shared" si="17"/>
        <v>0</v>
      </c>
      <c r="BQ11" s="153"/>
      <c r="BR11" s="154"/>
      <c r="BS11" s="154"/>
      <c r="BT11" s="155"/>
      <c r="BU11" s="156">
        <f t="shared" si="18"/>
        <v>0</v>
      </c>
      <c r="BV11" s="153"/>
      <c r="BW11" s="154"/>
      <c r="BX11" s="154"/>
      <c r="BY11" s="155"/>
      <c r="BZ11" s="156">
        <f t="shared" si="19"/>
        <v>0</v>
      </c>
      <c r="CA11" s="153"/>
      <c r="CB11" s="154"/>
      <c r="CC11" s="154"/>
      <c r="CD11" s="155"/>
      <c r="CE11" s="156">
        <f t="shared" si="20"/>
        <v>0</v>
      </c>
      <c r="CF11" s="153"/>
      <c r="CG11" s="154"/>
      <c r="CH11" s="154"/>
      <c r="CI11" s="155"/>
      <c r="CJ11" s="156">
        <f t="shared" si="21"/>
        <v>0</v>
      </c>
      <c r="CK11" s="153"/>
      <c r="CL11" s="154"/>
      <c r="CM11" s="154"/>
      <c r="CN11" s="155"/>
      <c r="CO11" s="156">
        <f t="shared" si="22"/>
        <v>0</v>
      </c>
      <c r="CP11" s="153"/>
      <c r="CQ11" s="154">
        <v>1.0</v>
      </c>
      <c r="CR11" s="154">
        <v>2.0</v>
      </c>
      <c r="CS11" s="155">
        <v>3.0</v>
      </c>
      <c r="CT11" s="156">
        <f t="shared" si="23"/>
        <v>6</v>
      </c>
      <c r="CU11" s="153"/>
      <c r="CV11" s="154"/>
      <c r="CW11" s="154"/>
      <c r="CX11" s="155"/>
      <c r="CY11" s="156">
        <f t="shared" si="24"/>
        <v>0</v>
      </c>
      <c r="CZ11" s="153"/>
      <c r="DA11" s="154"/>
      <c r="DB11" s="154"/>
      <c r="DC11" s="155"/>
      <c r="DD11" s="156">
        <f t="shared" si="25"/>
        <v>0</v>
      </c>
      <c r="DE11" s="153"/>
      <c r="DF11" s="154">
        <v>1.0</v>
      </c>
      <c r="DG11" s="154">
        <v>2.0</v>
      </c>
      <c r="DH11" s="155">
        <v>6.0</v>
      </c>
      <c r="DI11" s="156">
        <f t="shared" si="26"/>
        <v>9</v>
      </c>
      <c r="DJ11" s="153"/>
      <c r="DK11" s="154"/>
      <c r="DL11" s="154"/>
      <c r="DM11" s="155"/>
      <c r="DN11" s="156">
        <f t="shared" si="27"/>
        <v>0</v>
      </c>
      <c r="DO11" s="153"/>
      <c r="DP11" s="154">
        <v>1.0</v>
      </c>
      <c r="DQ11" s="154">
        <v>2.0</v>
      </c>
      <c r="DR11" s="155"/>
      <c r="DS11" s="156">
        <f t="shared" si="28"/>
        <v>3</v>
      </c>
      <c r="DT11" s="153"/>
      <c r="DU11" s="156">
        <f t="shared" si="29"/>
        <v>0</v>
      </c>
      <c r="DV11" s="154">
        <f t="shared" si="30"/>
        <v>0</v>
      </c>
      <c r="DW11" s="163" t="str">
        <f t="shared" si="31"/>
        <v>#DIV/0!</v>
      </c>
      <c r="DX11" s="153"/>
      <c r="DY11" s="156">
        <f t="shared" si="32"/>
        <v>0</v>
      </c>
      <c r="DZ11" s="154">
        <f t="shared" si="33"/>
        <v>0</v>
      </c>
      <c r="EA11" s="163" t="str">
        <f t="shared" si="34"/>
        <v>#DIV/0!</v>
      </c>
      <c r="EB11" s="153"/>
      <c r="EC11" s="156">
        <f t="shared" si="35"/>
        <v>0</v>
      </c>
      <c r="ED11" s="154">
        <f t="shared" si="36"/>
        <v>0</v>
      </c>
      <c r="EE11" s="163" t="str">
        <f t="shared" si="37"/>
        <v>#DIV/0!</v>
      </c>
      <c r="EF11" s="153"/>
      <c r="EG11" s="156">
        <f t="shared" si="38"/>
        <v>1</v>
      </c>
      <c r="EH11" s="154">
        <f t="shared" si="39"/>
        <v>1</v>
      </c>
      <c r="EI11" s="163">
        <f t="shared" si="40"/>
        <v>1</v>
      </c>
      <c r="EJ11" s="153"/>
      <c r="EK11" s="156">
        <f t="shared" si="41"/>
        <v>0</v>
      </c>
      <c r="EL11" s="154">
        <f t="shared" si="42"/>
        <v>0</v>
      </c>
      <c r="EM11" s="163" t="str">
        <f t="shared" si="43"/>
        <v>#DIV/0!</v>
      </c>
      <c r="EN11" s="153"/>
      <c r="EO11" s="156">
        <f t="shared" ref="EO11:EP11" si="44">SUM(CL11,DP11)</f>
        <v>1</v>
      </c>
      <c r="EP11" s="156">
        <f t="shared" si="44"/>
        <v>2</v>
      </c>
      <c r="EQ11" s="163">
        <f t="shared" si="45"/>
        <v>2</v>
      </c>
      <c r="ER11" s="153"/>
      <c r="ES11" s="156">
        <f t="shared" ref="ES11:ET11" si="46">SUM(DU11,EG11)</f>
        <v>1</v>
      </c>
      <c r="ET11" s="154">
        <f t="shared" si="46"/>
        <v>1</v>
      </c>
      <c r="EU11" s="163">
        <f t="shared" si="47"/>
        <v>1</v>
      </c>
      <c r="EV11" s="153"/>
      <c r="EW11" s="156">
        <f t="shared" ref="EW11:EX11" si="48">SUM(DY11,EK11)</f>
        <v>0</v>
      </c>
      <c r="EX11" s="154">
        <f t="shared" si="48"/>
        <v>0</v>
      </c>
      <c r="EY11" s="163" t="str">
        <f t="shared" si="49"/>
        <v>#DIV/0!</v>
      </c>
      <c r="EZ11" s="153"/>
      <c r="FA11" s="156">
        <f t="shared" ref="FA11:FB11" si="50">SUM(EC11,EO11)</f>
        <v>1</v>
      </c>
      <c r="FB11" s="154">
        <f t="shared" si="50"/>
        <v>2</v>
      </c>
      <c r="FC11" s="163">
        <f t="shared" si="51"/>
        <v>2</v>
      </c>
      <c r="FD11" s="153"/>
      <c r="FE11" s="4"/>
      <c r="FF11" s="164"/>
      <c r="FG11" s="4"/>
      <c r="FH11" s="20"/>
      <c r="FI11" s="20"/>
      <c r="FJ11" s="4"/>
      <c r="FK11" s="4"/>
      <c r="FL11" s="20"/>
      <c r="FM11" s="20"/>
      <c r="FN11" s="4"/>
      <c r="FO11" s="4"/>
      <c r="FP11" s="4"/>
      <c r="FQ11" s="4"/>
      <c r="FR11" s="4"/>
      <c r="FS11" s="1"/>
      <c r="FT11" s="1"/>
    </row>
    <row r="12" ht="15.75" customHeight="1">
      <c r="A12" s="167"/>
      <c r="B12" s="168"/>
      <c r="C12" s="152"/>
      <c r="D12" s="153"/>
      <c r="E12" s="154"/>
      <c r="F12" s="154"/>
      <c r="G12" s="155"/>
      <c r="H12" s="156">
        <f t="shared" si="5"/>
        <v>0</v>
      </c>
      <c r="I12" s="153"/>
      <c r="J12" s="154"/>
      <c r="K12" s="154"/>
      <c r="L12" s="155"/>
      <c r="M12" s="156">
        <f t="shared" si="6"/>
        <v>0</v>
      </c>
      <c r="N12" s="153"/>
      <c r="O12" s="154"/>
      <c r="P12" s="154"/>
      <c r="Q12" s="155"/>
      <c r="R12" s="156">
        <f t="shared" si="7"/>
        <v>0</v>
      </c>
      <c r="S12" s="153"/>
      <c r="T12" s="154"/>
      <c r="U12" s="154"/>
      <c r="V12" s="155"/>
      <c r="W12" s="156">
        <f t="shared" si="8"/>
        <v>0</v>
      </c>
      <c r="X12" s="153"/>
      <c r="Y12" s="154"/>
      <c r="Z12" s="154"/>
      <c r="AA12" s="155"/>
      <c r="AB12" s="156">
        <f t="shared" si="9"/>
        <v>0</v>
      </c>
      <c r="AC12" s="153"/>
      <c r="AD12" s="154"/>
      <c r="AE12" s="154"/>
      <c r="AF12" s="155"/>
      <c r="AG12" s="156">
        <f t="shared" si="10"/>
        <v>0</v>
      </c>
      <c r="AH12" s="153"/>
      <c r="AI12" s="154"/>
      <c r="AJ12" s="154"/>
      <c r="AK12" s="155"/>
      <c r="AL12" s="156">
        <f t="shared" si="11"/>
        <v>0</v>
      </c>
      <c r="AM12" s="153"/>
      <c r="AN12" s="154"/>
      <c r="AO12" s="154"/>
      <c r="AP12" s="155"/>
      <c r="AQ12" s="156">
        <f t="shared" si="12"/>
        <v>0</v>
      </c>
      <c r="AR12" s="153"/>
      <c r="AS12" s="154"/>
      <c r="AT12" s="154"/>
      <c r="AU12" s="155"/>
      <c r="AV12" s="156">
        <f t="shared" si="13"/>
        <v>0</v>
      </c>
      <c r="AW12" s="153"/>
      <c r="AX12" s="154"/>
      <c r="AY12" s="154"/>
      <c r="AZ12" s="155"/>
      <c r="BA12" s="156">
        <f t="shared" si="14"/>
        <v>0</v>
      </c>
      <c r="BB12" s="153"/>
      <c r="BC12" s="154"/>
      <c r="BD12" s="154"/>
      <c r="BE12" s="155"/>
      <c r="BF12" s="156">
        <f t="shared" si="15"/>
        <v>0</v>
      </c>
      <c r="BG12" s="153"/>
      <c r="BH12" s="154"/>
      <c r="BI12" s="154"/>
      <c r="BJ12" s="155"/>
      <c r="BK12" s="156">
        <f t="shared" si="16"/>
        <v>0</v>
      </c>
      <c r="BL12" s="153"/>
      <c r="BM12" s="154"/>
      <c r="BN12" s="154"/>
      <c r="BO12" s="155"/>
      <c r="BP12" s="156">
        <f t="shared" si="17"/>
        <v>0</v>
      </c>
      <c r="BQ12" s="153"/>
      <c r="BR12" s="154"/>
      <c r="BS12" s="154"/>
      <c r="BT12" s="155"/>
      <c r="BU12" s="156">
        <f t="shared" si="18"/>
        <v>0</v>
      </c>
      <c r="BV12" s="153"/>
      <c r="BW12" s="154"/>
      <c r="BX12" s="154"/>
      <c r="BY12" s="155"/>
      <c r="BZ12" s="156">
        <f t="shared" si="19"/>
        <v>0</v>
      </c>
      <c r="CA12" s="153"/>
      <c r="CB12" s="154"/>
      <c r="CC12" s="154"/>
      <c r="CD12" s="155"/>
      <c r="CE12" s="156">
        <f t="shared" si="20"/>
        <v>0</v>
      </c>
      <c r="CF12" s="153"/>
      <c r="CG12" s="154"/>
      <c r="CH12" s="154"/>
      <c r="CI12" s="155"/>
      <c r="CJ12" s="156">
        <f t="shared" si="21"/>
        <v>0</v>
      </c>
      <c r="CK12" s="153"/>
      <c r="CL12" s="154"/>
      <c r="CM12" s="154"/>
      <c r="CN12" s="155"/>
      <c r="CO12" s="156">
        <f t="shared" si="22"/>
        <v>0</v>
      </c>
      <c r="CP12" s="153"/>
      <c r="CQ12" s="154">
        <v>1.0</v>
      </c>
      <c r="CR12" s="154">
        <v>2.0</v>
      </c>
      <c r="CS12" s="155">
        <v>3.0</v>
      </c>
      <c r="CT12" s="156">
        <f t="shared" si="23"/>
        <v>6</v>
      </c>
      <c r="CU12" s="153"/>
      <c r="CV12" s="154"/>
      <c r="CW12" s="154"/>
      <c r="CX12" s="155"/>
      <c r="CY12" s="156">
        <f t="shared" si="24"/>
        <v>0</v>
      </c>
      <c r="CZ12" s="153"/>
      <c r="DA12" s="154"/>
      <c r="DB12" s="154"/>
      <c r="DC12" s="155"/>
      <c r="DD12" s="156">
        <f t="shared" si="25"/>
        <v>0</v>
      </c>
      <c r="DE12" s="153"/>
      <c r="DF12" s="154">
        <v>1.0</v>
      </c>
      <c r="DG12" s="154">
        <v>2.0</v>
      </c>
      <c r="DH12" s="155">
        <v>6.0</v>
      </c>
      <c r="DI12" s="156">
        <f t="shared" si="26"/>
        <v>9</v>
      </c>
      <c r="DJ12" s="153"/>
      <c r="DK12" s="154"/>
      <c r="DL12" s="154"/>
      <c r="DM12" s="155"/>
      <c r="DN12" s="156">
        <f t="shared" si="27"/>
        <v>0</v>
      </c>
      <c r="DO12" s="153"/>
      <c r="DP12" s="154">
        <v>1.0</v>
      </c>
      <c r="DQ12" s="154">
        <v>2.0</v>
      </c>
      <c r="DR12" s="155"/>
      <c r="DS12" s="156">
        <f t="shared" si="28"/>
        <v>3</v>
      </c>
      <c r="DT12" s="153"/>
      <c r="DU12" s="156">
        <f t="shared" si="29"/>
        <v>0</v>
      </c>
      <c r="DV12" s="154">
        <f t="shared" si="30"/>
        <v>0</v>
      </c>
      <c r="DW12" s="163" t="str">
        <f t="shared" si="31"/>
        <v>#DIV/0!</v>
      </c>
      <c r="DX12" s="153"/>
      <c r="DY12" s="156">
        <f t="shared" si="32"/>
        <v>0</v>
      </c>
      <c r="DZ12" s="154">
        <f t="shared" si="33"/>
        <v>0</v>
      </c>
      <c r="EA12" s="163" t="str">
        <f t="shared" si="34"/>
        <v>#DIV/0!</v>
      </c>
      <c r="EB12" s="153"/>
      <c r="EC12" s="156">
        <f t="shared" si="35"/>
        <v>0</v>
      </c>
      <c r="ED12" s="154">
        <f t="shared" si="36"/>
        <v>0</v>
      </c>
      <c r="EE12" s="163" t="str">
        <f t="shared" si="37"/>
        <v>#DIV/0!</v>
      </c>
      <c r="EF12" s="153"/>
      <c r="EG12" s="156">
        <f t="shared" si="38"/>
        <v>1</v>
      </c>
      <c r="EH12" s="154">
        <f t="shared" si="39"/>
        <v>1</v>
      </c>
      <c r="EI12" s="163">
        <f t="shared" si="40"/>
        <v>1</v>
      </c>
      <c r="EJ12" s="153"/>
      <c r="EK12" s="156">
        <f t="shared" si="41"/>
        <v>0</v>
      </c>
      <c r="EL12" s="154">
        <f t="shared" si="42"/>
        <v>0</v>
      </c>
      <c r="EM12" s="163" t="str">
        <f t="shared" si="43"/>
        <v>#DIV/0!</v>
      </c>
      <c r="EN12" s="153"/>
      <c r="EO12" s="156">
        <f t="shared" ref="EO12:EP12" si="52">SUM(CL12,DP12)</f>
        <v>1</v>
      </c>
      <c r="EP12" s="156">
        <f t="shared" si="52"/>
        <v>2</v>
      </c>
      <c r="EQ12" s="163">
        <f t="shared" si="45"/>
        <v>2</v>
      </c>
      <c r="ER12" s="153"/>
      <c r="ES12" s="156">
        <f t="shared" ref="ES12:ET12" si="53">SUM(DU12,EG12)</f>
        <v>1</v>
      </c>
      <c r="ET12" s="154">
        <f t="shared" si="53"/>
        <v>1</v>
      </c>
      <c r="EU12" s="163">
        <f t="shared" si="47"/>
        <v>1</v>
      </c>
      <c r="EV12" s="153"/>
      <c r="EW12" s="156">
        <f t="shared" ref="EW12:EX12" si="54">SUM(DY12,EK12)</f>
        <v>0</v>
      </c>
      <c r="EX12" s="154">
        <f t="shared" si="54"/>
        <v>0</v>
      </c>
      <c r="EY12" s="163" t="str">
        <f t="shared" si="49"/>
        <v>#DIV/0!</v>
      </c>
      <c r="EZ12" s="153"/>
      <c r="FA12" s="156">
        <f t="shared" ref="FA12:FB12" si="55">SUM(EC12,EO12)</f>
        <v>1</v>
      </c>
      <c r="FB12" s="154">
        <f t="shared" si="55"/>
        <v>2</v>
      </c>
      <c r="FC12" s="163">
        <f t="shared" si="51"/>
        <v>2</v>
      </c>
      <c r="FD12" s="153"/>
      <c r="FE12" s="4"/>
      <c r="FF12" s="164"/>
      <c r="FG12" s="4"/>
      <c r="FH12" s="20"/>
      <c r="FI12" s="20"/>
      <c r="FJ12" s="4"/>
      <c r="FK12" s="4"/>
      <c r="FL12" s="20"/>
      <c r="FM12" s="20"/>
      <c r="FN12" s="4"/>
      <c r="FO12" s="4"/>
      <c r="FP12" s="4"/>
      <c r="FQ12" s="4"/>
      <c r="FR12" s="4"/>
      <c r="FS12" s="1"/>
      <c r="FT12" s="1"/>
    </row>
    <row r="13" ht="15.75" customHeight="1">
      <c r="A13" s="169"/>
      <c r="B13" s="168"/>
      <c r="C13" s="152"/>
      <c r="D13" s="153"/>
      <c r="E13" s="154"/>
      <c r="F13" s="154"/>
      <c r="G13" s="154"/>
      <c r="H13" s="156">
        <f t="shared" si="5"/>
        <v>0</v>
      </c>
      <c r="I13" s="153"/>
      <c r="J13" s="154"/>
      <c r="K13" s="154"/>
      <c r="L13" s="154"/>
      <c r="M13" s="156">
        <f t="shared" si="6"/>
        <v>0</v>
      </c>
      <c r="N13" s="153"/>
      <c r="O13" s="154"/>
      <c r="P13" s="154"/>
      <c r="Q13" s="154"/>
      <c r="R13" s="156">
        <f t="shared" si="7"/>
        <v>0</v>
      </c>
      <c r="S13" s="153"/>
      <c r="T13" s="154"/>
      <c r="U13" s="154"/>
      <c r="V13" s="154"/>
      <c r="W13" s="156">
        <f t="shared" si="8"/>
        <v>0</v>
      </c>
      <c r="X13" s="153"/>
      <c r="Y13" s="154"/>
      <c r="Z13" s="154"/>
      <c r="AA13" s="154"/>
      <c r="AB13" s="156">
        <f t="shared" si="9"/>
        <v>0</v>
      </c>
      <c r="AC13" s="153"/>
      <c r="AD13" s="154"/>
      <c r="AE13" s="154"/>
      <c r="AF13" s="154"/>
      <c r="AG13" s="156">
        <f t="shared" si="10"/>
        <v>0</v>
      </c>
      <c r="AH13" s="153"/>
      <c r="AI13" s="154"/>
      <c r="AJ13" s="154"/>
      <c r="AK13" s="154"/>
      <c r="AL13" s="156">
        <f t="shared" si="11"/>
        <v>0</v>
      </c>
      <c r="AM13" s="153"/>
      <c r="AN13" s="154"/>
      <c r="AO13" s="154"/>
      <c r="AP13" s="154"/>
      <c r="AQ13" s="156">
        <f t="shared" si="12"/>
        <v>0</v>
      </c>
      <c r="AR13" s="153"/>
      <c r="AS13" s="154"/>
      <c r="AT13" s="154"/>
      <c r="AU13" s="154"/>
      <c r="AV13" s="156">
        <f t="shared" si="13"/>
        <v>0</v>
      </c>
      <c r="AW13" s="153"/>
      <c r="AX13" s="154"/>
      <c r="AY13" s="154"/>
      <c r="AZ13" s="154"/>
      <c r="BA13" s="156">
        <f t="shared" si="14"/>
        <v>0</v>
      </c>
      <c r="BB13" s="153"/>
      <c r="BC13" s="154"/>
      <c r="BD13" s="154"/>
      <c r="BE13" s="154"/>
      <c r="BF13" s="156">
        <f t="shared" si="15"/>
        <v>0</v>
      </c>
      <c r="BG13" s="153"/>
      <c r="BH13" s="154"/>
      <c r="BI13" s="154"/>
      <c r="BJ13" s="154"/>
      <c r="BK13" s="156">
        <f t="shared" si="16"/>
        <v>0</v>
      </c>
      <c r="BL13" s="153"/>
      <c r="BM13" s="154"/>
      <c r="BN13" s="154"/>
      <c r="BO13" s="154"/>
      <c r="BP13" s="156">
        <f t="shared" si="17"/>
        <v>0</v>
      </c>
      <c r="BQ13" s="153"/>
      <c r="BR13" s="154"/>
      <c r="BS13" s="154"/>
      <c r="BT13" s="154"/>
      <c r="BU13" s="156">
        <f t="shared" si="18"/>
        <v>0</v>
      </c>
      <c r="BV13" s="153"/>
      <c r="BW13" s="154"/>
      <c r="BX13" s="154"/>
      <c r="BY13" s="154"/>
      <c r="BZ13" s="156">
        <f t="shared" si="19"/>
        <v>0</v>
      </c>
      <c r="CA13" s="153"/>
      <c r="CB13" s="154"/>
      <c r="CC13" s="154"/>
      <c r="CD13" s="154"/>
      <c r="CE13" s="156">
        <f t="shared" si="20"/>
        <v>0</v>
      </c>
      <c r="CF13" s="153"/>
      <c r="CG13" s="154"/>
      <c r="CH13" s="154"/>
      <c r="CI13" s="154"/>
      <c r="CJ13" s="156">
        <f t="shared" si="21"/>
        <v>0</v>
      </c>
      <c r="CK13" s="153"/>
      <c r="CL13" s="154"/>
      <c r="CM13" s="154"/>
      <c r="CN13" s="154"/>
      <c r="CO13" s="156">
        <f t="shared" si="22"/>
        <v>0</v>
      </c>
      <c r="CP13" s="153"/>
      <c r="CQ13" s="154">
        <v>1.0</v>
      </c>
      <c r="CR13" s="154">
        <v>2.0</v>
      </c>
      <c r="CS13" s="155">
        <v>3.0</v>
      </c>
      <c r="CT13" s="156">
        <f t="shared" si="23"/>
        <v>6</v>
      </c>
      <c r="CU13" s="153"/>
      <c r="CV13" s="154"/>
      <c r="CW13" s="154"/>
      <c r="CX13" s="154"/>
      <c r="CY13" s="156">
        <f t="shared" si="24"/>
        <v>0</v>
      </c>
      <c r="CZ13" s="153"/>
      <c r="DA13" s="154"/>
      <c r="DB13" s="154"/>
      <c r="DC13" s="154"/>
      <c r="DD13" s="156">
        <f t="shared" si="25"/>
        <v>0</v>
      </c>
      <c r="DE13" s="153"/>
      <c r="DF13" s="154">
        <v>1.0</v>
      </c>
      <c r="DG13" s="154">
        <v>2.0</v>
      </c>
      <c r="DH13" s="155">
        <v>6.0</v>
      </c>
      <c r="DI13" s="156">
        <f t="shared" si="26"/>
        <v>9</v>
      </c>
      <c r="DJ13" s="153"/>
      <c r="DK13" s="154"/>
      <c r="DL13" s="154"/>
      <c r="DM13" s="154"/>
      <c r="DN13" s="156">
        <f t="shared" si="27"/>
        <v>0</v>
      </c>
      <c r="DO13" s="153"/>
      <c r="DP13" s="154">
        <v>1.0</v>
      </c>
      <c r="DQ13" s="154">
        <v>2.0</v>
      </c>
      <c r="DR13" s="154"/>
      <c r="DS13" s="156">
        <f t="shared" si="28"/>
        <v>3</v>
      </c>
      <c r="DT13" s="153"/>
      <c r="DU13" s="156">
        <f t="shared" si="29"/>
        <v>0</v>
      </c>
      <c r="DV13" s="154">
        <f t="shared" si="30"/>
        <v>0</v>
      </c>
      <c r="DW13" s="163" t="str">
        <f t="shared" si="31"/>
        <v>#DIV/0!</v>
      </c>
      <c r="DX13" s="153"/>
      <c r="DY13" s="156">
        <f t="shared" si="32"/>
        <v>0</v>
      </c>
      <c r="DZ13" s="154">
        <f t="shared" si="33"/>
        <v>0</v>
      </c>
      <c r="EA13" s="163" t="str">
        <f t="shared" si="34"/>
        <v>#DIV/0!</v>
      </c>
      <c r="EB13" s="153"/>
      <c r="EC13" s="156">
        <f t="shared" si="35"/>
        <v>0</v>
      </c>
      <c r="ED13" s="154">
        <f t="shared" si="36"/>
        <v>0</v>
      </c>
      <c r="EE13" s="163" t="str">
        <f t="shared" si="37"/>
        <v>#DIV/0!</v>
      </c>
      <c r="EF13" s="153"/>
      <c r="EG13" s="156">
        <f t="shared" si="38"/>
        <v>1</v>
      </c>
      <c r="EH13" s="154">
        <f t="shared" si="39"/>
        <v>1</v>
      </c>
      <c r="EI13" s="163">
        <f t="shared" si="40"/>
        <v>1</v>
      </c>
      <c r="EJ13" s="153"/>
      <c r="EK13" s="156">
        <f t="shared" si="41"/>
        <v>0</v>
      </c>
      <c r="EL13" s="154">
        <f t="shared" si="42"/>
        <v>0</v>
      </c>
      <c r="EM13" s="163" t="str">
        <f t="shared" si="43"/>
        <v>#DIV/0!</v>
      </c>
      <c r="EN13" s="153"/>
      <c r="EO13" s="156">
        <f t="shared" ref="EO13:EP13" si="56">SUM(CL13,DP13)</f>
        <v>1</v>
      </c>
      <c r="EP13" s="156">
        <f t="shared" si="56"/>
        <v>2</v>
      </c>
      <c r="EQ13" s="163">
        <f t="shared" si="45"/>
        <v>2</v>
      </c>
      <c r="ER13" s="153"/>
      <c r="ES13" s="156">
        <f t="shared" ref="ES13:ET13" si="57">SUM(DU13,EG13)</f>
        <v>1</v>
      </c>
      <c r="ET13" s="154">
        <f t="shared" si="57"/>
        <v>1</v>
      </c>
      <c r="EU13" s="163">
        <f t="shared" si="47"/>
        <v>1</v>
      </c>
      <c r="EV13" s="153"/>
      <c r="EW13" s="156">
        <f t="shared" ref="EW13:EX13" si="58">SUM(DY13,EK13)</f>
        <v>0</v>
      </c>
      <c r="EX13" s="154">
        <f t="shared" si="58"/>
        <v>0</v>
      </c>
      <c r="EY13" s="163" t="str">
        <f t="shared" si="49"/>
        <v>#DIV/0!</v>
      </c>
      <c r="EZ13" s="153"/>
      <c r="FA13" s="156">
        <f t="shared" ref="FA13:FB13" si="59">SUM(EC13,EO13)</f>
        <v>1</v>
      </c>
      <c r="FB13" s="154">
        <f t="shared" si="59"/>
        <v>2</v>
      </c>
      <c r="FC13" s="163">
        <f t="shared" si="51"/>
        <v>2</v>
      </c>
      <c r="FD13" s="153"/>
      <c r="FE13" s="4"/>
      <c r="FF13" s="164"/>
      <c r="FG13" s="4"/>
      <c r="FH13" s="20"/>
      <c r="FI13" s="20"/>
      <c r="FJ13" s="4"/>
      <c r="FK13" s="4"/>
      <c r="FL13" s="20"/>
      <c r="FM13" s="20"/>
      <c r="FN13" s="4"/>
      <c r="FO13" s="4"/>
      <c r="FP13" s="4"/>
      <c r="FQ13" s="4"/>
      <c r="FR13" s="4"/>
      <c r="FS13" s="1"/>
      <c r="FT13" s="1"/>
    </row>
    <row r="14" ht="15.75" customHeight="1">
      <c r="A14" s="167"/>
      <c r="B14" s="168"/>
      <c r="C14" s="152"/>
      <c r="D14" s="153"/>
      <c r="E14" s="154"/>
      <c r="F14" s="154"/>
      <c r="G14" s="154"/>
      <c r="H14" s="156">
        <f t="shared" si="5"/>
        <v>0</v>
      </c>
      <c r="I14" s="153"/>
      <c r="J14" s="154"/>
      <c r="K14" s="154"/>
      <c r="L14" s="154"/>
      <c r="M14" s="156">
        <f t="shared" si="6"/>
        <v>0</v>
      </c>
      <c r="N14" s="153"/>
      <c r="O14" s="154"/>
      <c r="P14" s="154"/>
      <c r="Q14" s="154"/>
      <c r="R14" s="156">
        <f t="shared" si="7"/>
        <v>0</v>
      </c>
      <c r="S14" s="153"/>
      <c r="T14" s="154"/>
      <c r="U14" s="154"/>
      <c r="V14" s="154"/>
      <c r="W14" s="156">
        <f t="shared" si="8"/>
        <v>0</v>
      </c>
      <c r="X14" s="153"/>
      <c r="Y14" s="154"/>
      <c r="Z14" s="154"/>
      <c r="AA14" s="154"/>
      <c r="AB14" s="156">
        <f t="shared" si="9"/>
        <v>0</v>
      </c>
      <c r="AC14" s="153"/>
      <c r="AD14" s="154"/>
      <c r="AE14" s="154"/>
      <c r="AF14" s="154"/>
      <c r="AG14" s="156">
        <f t="shared" si="10"/>
        <v>0</v>
      </c>
      <c r="AH14" s="153"/>
      <c r="AI14" s="154"/>
      <c r="AJ14" s="154"/>
      <c r="AK14" s="154"/>
      <c r="AL14" s="156">
        <f t="shared" si="11"/>
        <v>0</v>
      </c>
      <c r="AM14" s="153"/>
      <c r="AN14" s="154"/>
      <c r="AO14" s="154"/>
      <c r="AP14" s="154"/>
      <c r="AQ14" s="156">
        <f t="shared" si="12"/>
        <v>0</v>
      </c>
      <c r="AR14" s="153"/>
      <c r="AS14" s="154"/>
      <c r="AT14" s="154"/>
      <c r="AU14" s="154"/>
      <c r="AV14" s="156">
        <f t="shared" si="13"/>
        <v>0</v>
      </c>
      <c r="AW14" s="153"/>
      <c r="AX14" s="154"/>
      <c r="AY14" s="154"/>
      <c r="AZ14" s="154"/>
      <c r="BA14" s="156">
        <f t="shared" si="14"/>
        <v>0</v>
      </c>
      <c r="BB14" s="153"/>
      <c r="BC14" s="154"/>
      <c r="BD14" s="154"/>
      <c r="BE14" s="154"/>
      <c r="BF14" s="156">
        <f t="shared" si="15"/>
        <v>0</v>
      </c>
      <c r="BG14" s="153"/>
      <c r="BH14" s="154"/>
      <c r="BI14" s="154"/>
      <c r="BJ14" s="154"/>
      <c r="BK14" s="156">
        <f t="shared" si="16"/>
        <v>0</v>
      </c>
      <c r="BL14" s="153"/>
      <c r="BM14" s="154"/>
      <c r="BN14" s="154"/>
      <c r="BO14" s="154"/>
      <c r="BP14" s="156">
        <f t="shared" si="17"/>
        <v>0</v>
      </c>
      <c r="BQ14" s="153"/>
      <c r="BR14" s="154"/>
      <c r="BS14" s="154"/>
      <c r="BT14" s="154"/>
      <c r="BU14" s="156">
        <f t="shared" si="18"/>
        <v>0</v>
      </c>
      <c r="BV14" s="153"/>
      <c r="BW14" s="154"/>
      <c r="BX14" s="154"/>
      <c r="BY14" s="154"/>
      <c r="BZ14" s="156">
        <f t="shared" si="19"/>
        <v>0</v>
      </c>
      <c r="CA14" s="153"/>
      <c r="CB14" s="154"/>
      <c r="CC14" s="154"/>
      <c r="CD14" s="154"/>
      <c r="CE14" s="156">
        <f t="shared" si="20"/>
        <v>0</v>
      </c>
      <c r="CF14" s="153"/>
      <c r="CG14" s="154"/>
      <c r="CH14" s="154"/>
      <c r="CI14" s="154"/>
      <c r="CJ14" s="156">
        <f t="shared" si="21"/>
        <v>0</v>
      </c>
      <c r="CK14" s="153"/>
      <c r="CL14" s="154"/>
      <c r="CM14" s="154"/>
      <c r="CN14" s="154"/>
      <c r="CO14" s="156">
        <f t="shared" si="22"/>
        <v>0</v>
      </c>
      <c r="CP14" s="153"/>
      <c r="CQ14" s="154">
        <v>1.0</v>
      </c>
      <c r="CR14" s="154">
        <v>2.0</v>
      </c>
      <c r="CS14" s="155">
        <v>3.0</v>
      </c>
      <c r="CT14" s="156">
        <f t="shared" si="23"/>
        <v>6</v>
      </c>
      <c r="CU14" s="153"/>
      <c r="CV14" s="154"/>
      <c r="CW14" s="154"/>
      <c r="CX14" s="154"/>
      <c r="CY14" s="156">
        <f t="shared" si="24"/>
        <v>0</v>
      </c>
      <c r="CZ14" s="153"/>
      <c r="DA14" s="154"/>
      <c r="DB14" s="154"/>
      <c r="DC14" s="154"/>
      <c r="DD14" s="156">
        <f t="shared" si="25"/>
        <v>0</v>
      </c>
      <c r="DE14" s="153"/>
      <c r="DF14" s="154">
        <v>1.0</v>
      </c>
      <c r="DG14" s="154">
        <v>2.0</v>
      </c>
      <c r="DH14" s="155">
        <v>6.0</v>
      </c>
      <c r="DI14" s="156">
        <f t="shared" si="26"/>
        <v>9</v>
      </c>
      <c r="DJ14" s="153"/>
      <c r="DK14" s="154"/>
      <c r="DL14" s="154"/>
      <c r="DM14" s="154"/>
      <c r="DN14" s="156">
        <f t="shared" si="27"/>
        <v>0</v>
      </c>
      <c r="DO14" s="153"/>
      <c r="DP14" s="154">
        <v>1.0</v>
      </c>
      <c r="DQ14" s="154">
        <v>2.0</v>
      </c>
      <c r="DR14" s="154"/>
      <c r="DS14" s="156">
        <f t="shared" si="28"/>
        <v>3</v>
      </c>
      <c r="DT14" s="153"/>
      <c r="DU14" s="156">
        <f t="shared" si="29"/>
        <v>0</v>
      </c>
      <c r="DV14" s="154">
        <f t="shared" si="30"/>
        <v>0</v>
      </c>
      <c r="DW14" s="163" t="str">
        <f t="shared" si="31"/>
        <v>#DIV/0!</v>
      </c>
      <c r="DX14" s="153"/>
      <c r="DY14" s="156">
        <f t="shared" si="32"/>
        <v>0</v>
      </c>
      <c r="DZ14" s="154">
        <f t="shared" si="33"/>
        <v>0</v>
      </c>
      <c r="EA14" s="163" t="str">
        <f t="shared" si="34"/>
        <v>#DIV/0!</v>
      </c>
      <c r="EB14" s="153"/>
      <c r="EC14" s="156">
        <f t="shared" si="35"/>
        <v>0</v>
      </c>
      <c r="ED14" s="154">
        <f t="shared" si="36"/>
        <v>0</v>
      </c>
      <c r="EE14" s="163" t="str">
        <f t="shared" si="37"/>
        <v>#DIV/0!</v>
      </c>
      <c r="EF14" s="153"/>
      <c r="EG14" s="156">
        <f t="shared" si="38"/>
        <v>1</v>
      </c>
      <c r="EH14" s="154">
        <f t="shared" si="39"/>
        <v>1</v>
      </c>
      <c r="EI14" s="163">
        <f t="shared" si="40"/>
        <v>1</v>
      </c>
      <c r="EJ14" s="153"/>
      <c r="EK14" s="156">
        <f t="shared" si="41"/>
        <v>0</v>
      </c>
      <c r="EL14" s="154">
        <f t="shared" si="42"/>
        <v>0</v>
      </c>
      <c r="EM14" s="163" t="str">
        <f t="shared" si="43"/>
        <v>#DIV/0!</v>
      </c>
      <c r="EN14" s="153"/>
      <c r="EO14" s="156">
        <f t="shared" ref="EO14:EP14" si="60">SUM(CL14,DP14)</f>
        <v>1</v>
      </c>
      <c r="EP14" s="156">
        <f t="shared" si="60"/>
        <v>2</v>
      </c>
      <c r="EQ14" s="163">
        <f t="shared" si="45"/>
        <v>2</v>
      </c>
      <c r="ER14" s="153"/>
      <c r="ES14" s="156">
        <f t="shared" ref="ES14:ET14" si="61">SUM(DU14,EG14)</f>
        <v>1</v>
      </c>
      <c r="ET14" s="154">
        <f t="shared" si="61"/>
        <v>1</v>
      </c>
      <c r="EU14" s="163">
        <f t="shared" si="47"/>
        <v>1</v>
      </c>
      <c r="EV14" s="153"/>
      <c r="EW14" s="156">
        <f t="shared" ref="EW14:EX14" si="62">SUM(DY14,EK14)</f>
        <v>0</v>
      </c>
      <c r="EX14" s="154">
        <f t="shared" si="62"/>
        <v>0</v>
      </c>
      <c r="EY14" s="163" t="str">
        <f t="shared" si="49"/>
        <v>#DIV/0!</v>
      </c>
      <c r="EZ14" s="153"/>
      <c r="FA14" s="156">
        <f t="shared" ref="FA14:FB14" si="63">SUM(EC14,EO14)</f>
        <v>1</v>
      </c>
      <c r="FB14" s="154">
        <f t="shared" si="63"/>
        <v>2</v>
      </c>
      <c r="FC14" s="163">
        <f t="shared" si="51"/>
        <v>2</v>
      </c>
      <c r="FD14" s="153"/>
      <c r="FE14" s="4"/>
      <c r="FF14" s="164"/>
      <c r="FG14" s="4"/>
      <c r="FH14" s="20"/>
      <c r="FI14" s="20"/>
      <c r="FJ14" s="4"/>
      <c r="FK14" s="4"/>
      <c r="FL14" s="20"/>
      <c r="FM14" s="20"/>
      <c r="FN14" s="4"/>
      <c r="FO14" s="4"/>
      <c r="FP14" s="4"/>
      <c r="FQ14" s="4"/>
      <c r="FR14" s="4"/>
      <c r="FS14" s="1"/>
      <c r="FT14" s="1"/>
    </row>
    <row r="15" ht="15.75" customHeight="1">
      <c r="A15" s="167"/>
      <c r="B15" s="168"/>
      <c r="C15" s="152"/>
      <c r="D15" s="153"/>
      <c r="E15" s="154"/>
      <c r="F15" s="154"/>
      <c r="G15" s="154"/>
      <c r="H15" s="156">
        <f t="shared" si="5"/>
        <v>0</v>
      </c>
      <c r="I15" s="153"/>
      <c r="J15" s="154"/>
      <c r="K15" s="154"/>
      <c r="L15" s="154"/>
      <c r="M15" s="156">
        <f t="shared" si="6"/>
        <v>0</v>
      </c>
      <c r="N15" s="153"/>
      <c r="O15" s="154"/>
      <c r="P15" s="154"/>
      <c r="Q15" s="154"/>
      <c r="R15" s="156">
        <f t="shared" si="7"/>
        <v>0</v>
      </c>
      <c r="S15" s="153"/>
      <c r="T15" s="154"/>
      <c r="U15" s="154"/>
      <c r="V15" s="154"/>
      <c r="W15" s="156">
        <f t="shared" si="8"/>
        <v>0</v>
      </c>
      <c r="X15" s="153"/>
      <c r="Y15" s="154"/>
      <c r="Z15" s="154"/>
      <c r="AA15" s="154"/>
      <c r="AB15" s="156">
        <f t="shared" si="9"/>
        <v>0</v>
      </c>
      <c r="AC15" s="153"/>
      <c r="AD15" s="154"/>
      <c r="AE15" s="154"/>
      <c r="AF15" s="154"/>
      <c r="AG15" s="156">
        <f t="shared" si="10"/>
        <v>0</v>
      </c>
      <c r="AH15" s="153"/>
      <c r="AI15" s="154"/>
      <c r="AJ15" s="154"/>
      <c r="AK15" s="154"/>
      <c r="AL15" s="156">
        <f t="shared" si="11"/>
        <v>0</v>
      </c>
      <c r="AM15" s="153"/>
      <c r="AN15" s="154"/>
      <c r="AO15" s="154"/>
      <c r="AP15" s="154"/>
      <c r="AQ15" s="156">
        <f t="shared" si="12"/>
        <v>0</v>
      </c>
      <c r="AR15" s="153"/>
      <c r="AS15" s="154"/>
      <c r="AT15" s="154"/>
      <c r="AU15" s="154"/>
      <c r="AV15" s="156">
        <f t="shared" si="13"/>
        <v>0</v>
      </c>
      <c r="AW15" s="153"/>
      <c r="AX15" s="154"/>
      <c r="AY15" s="154"/>
      <c r="AZ15" s="154"/>
      <c r="BA15" s="156">
        <f t="shared" si="14"/>
        <v>0</v>
      </c>
      <c r="BB15" s="153"/>
      <c r="BC15" s="154"/>
      <c r="BD15" s="154"/>
      <c r="BE15" s="154"/>
      <c r="BF15" s="156">
        <f t="shared" si="15"/>
        <v>0</v>
      </c>
      <c r="BG15" s="153"/>
      <c r="BH15" s="154"/>
      <c r="BI15" s="154"/>
      <c r="BJ15" s="154"/>
      <c r="BK15" s="156">
        <f t="shared" si="16"/>
        <v>0</v>
      </c>
      <c r="BL15" s="153"/>
      <c r="BM15" s="154"/>
      <c r="BN15" s="154"/>
      <c r="BO15" s="154"/>
      <c r="BP15" s="156">
        <f t="shared" si="17"/>
        <v>0</v>
      </c>
      <c r="BQ15" s="153"/>
      <c r="BR15" s="154"/>
      <c r="BS15" s="154"/>
      <c r="BT15" s="154"/>
      <c r="BU15" s="156">
        <f t="shared" si="18"/>
        <v>0</v>
      </c>
      <c r="BV15" s="153"/>
      <c r="BW15" s="154"/>
      <c r="BX15" s="154"/>
      <c r="BY15" s="154"/>
      <c r="BZ15" s="156">
        <f t="shared" si="19"/>
        <v>0</v>
      </c>
      <c r="CA15" s="153"/>
      <c r="CB15" s="154"/>
      <c r="CC15" s="154"/>
      <c r="CD15" s="154"/>
      <c r="CE15" s="156">
        <f t="shared" si="20"/>
        <v>0</v>
      </c>
      <c r="CF15" s="153"/>
      <c r="CG15" s="154"/>
      <c r="CH15" s="154"/>
      <c r="CI15" s="154"/>
      <c r="CJ15" s="156">
        <f t="shared" si="21"/>
        <v>0</v>
      </c>
      <c r="CK15" s="153"/>
      <c r="CL15" s="154"/>
      <c r="CM15" s="154"/>
      <c r="CN15" s="154"/>
      <c r="CO15" s="156">
        <f t="shared" si="22"/>
        <v>0</v>
      </c>
      <c r="CP15" s="153"/>
      <c r="CQ15" s="154">
        <v>1.0</v>
      </c>
      <c r="CR15" s="154">
        <v>2.0</v>
      </c>
      <c r="CS15" s="155">
        <v>3.0</v>
      </c>
      <c r="CT15" s="156">
        <f t="shared" si="23"/>
        <v>6</v>
      </c>
      <c r="CU15" s="153"/>
      <c r="CV15" s="154"/>
      <c r="CW15" s="154"/>
      <c r="CX15" s="154"/>
      <c r="CY15" s="156">
        <f t="shared" si="24"/>
        <v>0</v>
      </c>
      <c r="CZ15" s="153"/>
      <c r="DA15" s="154"/>
      <c r="DB15" s="154"/>
      <c r="DC15" s="154"/>
      <c r="DD15" s="156">
        <f t="shared" si="25"/>
        <v>0</v>
      </c>
      <c r="DE15" s="153"/>
      <c r="DF15" s="154">
        <v>1.0</v>
      </c>
      <c r="DG15" s="154">
        <v>2.0</v>
      </c>
      <c r="DH15" s="155">
        <v>6.0</v>
      </c>
      <c r="DI15" s="156">
        <f t="shared" si="26"/>
        <v>9</v>
      </c>
      <c r="DJ15" s="153"/>
      <c r="DK15" s="154"/>
      <c r="DL15" s="154"/>
      <c r="DM15" s="154"/>
      <c r="DN15" s="156">
        <f t="shared" si="27"/>
        <v>0</v>
      </c>
      <c r="DO15" s="153"/>
      <c r="DP15" s="154">
        <v>1.0</v>
      </c>
      <c r="DQ15" s="154">
        <v>2.0</v>
      </c>
      <c r="DR15" s="154"/>
      <c r="DS15" s="156">
        <f t="shared" si="28"/>
        <v>3</v>
      </c>
      <c r="DT15" s="153"/>
      <c r="DU15" s="156">
        <f t="shared" si="29"/>
        <v>0</v>
      </c>
      <c r="DV15" s="154">
        <f t="shared" si="30"/>
        <v>0</v>
      </c>
      <c r="DW15" s="163" t="str">
        <f t="shared" si="31"/>
        <v>#DIV/0!</v>
      </c>
      <c r="DX15" s="153"/>
      <c r="DY15" s="156">
        <f t="shared" si="32"/>
        <v>0</v>
      </c>
      <c r="DZ15" s="154">
        <f t="shared" si="33"/>
        <v>0</v>
      </c>
      <c r="EA15" s="163" t="str">
        <f t="shared" si="34"/>
        <v>#DIV/0!</v>
      </c>
      <c r="EB15" s="153"/>
      <c r="EC15" s="156">
        <f t="shared" si="35"/>
        <v>0</v>
      </c>
      <c r="ED15" s="154">
        <f t="shared" si="36"/>
        <v>0</v>
      </c>
      <c r="EE15" s="163" t="str">
        <f t="shared" si="37"/>
        <v>#DIV/0!</v>
      </c>
      <c r="EF15" s="153"/>
      <c r="EG15" s="156">
        <f t="shared" si="38"/>
        <v>1</v>
      </c>
      <c r="EH15" s="154">
        <f t="shared" si="39"/>
        <v>1</v>
      </c>
      <c r="EI15" s="163">
        <f t="shared" si="40"/>
        <v>1</v>
      </c>
      <c r="EJ15" s="153"/>
      <c r="EK15" s="156">
        <f t="shared" si="41"/>
        <v>0</v>
      </c>
      <c r="EL15" s="154">
        <f t="shared" si="42"/>
        <v>0</v>
      </c>
      <c r="EM15" s="163" t="str">
        <f t="shared" si="43"/>
        <v>#DIV/0!</v>
      </c>
      <c r="EN15" s="153"/>
      <c r="EO15" s="156">
        <f t="shared" ref="EO15:EP15" si="64">SUM(CL15,DP15)</f>
        <v>1</v>
      </c>
      <c r="EP15" s="156">
        <f t="shared" si="64"/>
        <v>2</v>
      </c>
      <c r="EQ15" s="163">
        <f t="shared" si="45"/>
        <v>2</v>
      </c>
      <c r="ER15" s="153"/>
      <c r="ES15" s="156">
        <f t="shared" ref="ES15:ET15" si="65">SUM(DU15,EG15)</f>
        <v>1</v>
      </c>
      <c r="ET15" s="154">
        <f t="shared" si="65"/>
        <v>1</v>
      </c>
      <c r="EU15" s="163">
        <f t="shared" si="47"/>
        <v>1</v>
      </c>
      <c r="EV15" s="153"/>
      <c r="EW15" s="156">
        <f t="shared" ref="EW15:EX15" si="66">SUM(DY15,EK15)</f>
        <v>0</v>
      </c>
      <c r="EX15" s="154">
        <f t="shared" si="66"/>
        <v>0</v>
      </c>
      <c r="EY15" s="163" t="str">
        <f t="shared" si="49"/>
        <v>#DIV/0!</v>
      </c>
      <c r="EZ15" s="153"/>
      <c r="FA15" s="156">
        <f t="shared" ref="FA15:FB15" si="67">SUM(EC15,EO15)</f>
        <v>1</v>
      </c>
      <c r="FB15" s="154">
        <f t="shared" si="67"/>
        <v>2</v>
      </c>
      <c r="FC15" s="163">
        <f t="shared" si="51"/>
        <v>2</v>
      </c>
      <c r="FD15" s="153"/>
      <c r="FE15" s="4"/>
      <c r="FF15" s="164"/>
      <c r="FG15" s="4"/>
      <c r="FH15" s="20"/>
      <c r="FI15" s="20"/>
      <c r="FJ15" s="4"/>
      <c r="FK15" s="4"/>
      <c r="FL15" s="20"/>
      <c r="FM15" s="20"/>
      <c r="FN15" s="4"/>
      <c r="FO15" s="4"/>
      <c r="FP15" s="4"/>
      <c r="FQ15" s="4"/>
      <c r="FR15" s="4"/>
      <c r="FS15" s="1"/>
      <c r="FT15" s="1"/>
    </row>
    <row r="16" ht="15.75" customHeight="1">
      <c r="A16" s="167"/>
      <c r="B16" s="168"/>
      <c r="C16" s="152"/>
      <c r="D16" s="153"/>
      <c r="E16" s="154"/>
      <c r="F16" s="154"/>
      <c r="G16" s="154"/>
      <c r="H16" s="156">
        <f t="shared" si="5"/>
        <v>0</v>
      </c>
      <c r="I16" s="153"/>
      <c r="J16" s="154"/>
      <c r="K16" s="154"/>
      <c r="L16" s="154"/>
      <c r="M16" s="156">
        <f t="shared" si="6"/>
        <v>0</v>
      </c>
      <c r="N16" s="153"/>
      <c r="O16" s="154"/>
      <c r="P16" s="154"/>
      <c r="Q16" s="154"/>
      <c r="R16" s="156">
        <f t="shared" si="7"/>
        <v>0</v>
      </c>
      <c r="S16" s="153"/>
      <c r="T16" s="154"/>
      <c r="U16" s="154"/>
      <c r="V16" s="154"/>
      <c r="W16" s="156">
        <f t="shared" si="8"/>
        <v>0</v>
      </c>
      <c r="X16" s="153"/>
      <c r="Y16" s="154"/>
      <c r="Z16" s="154"/>
      <c r="AA16" s="154"/>
      <c r="AB16" s="156">
        <f t="shared" si="9"/>
        <v>0</v>
      </c>
      <c r="AC16" s="153"/>
      <c r="AD16" s="154"/>
      <c r="AE16" s="154"/>
      <c r="AF16" s="154"/>
      <c r="AG16" s="156">
        <f t="shared" si="10"/>
        <v>0</v>
      </c>
      <c r="AH16" s="153"/>
      <c r="AI16" s="154"/>
      <c r="AJ16" s="154"/>
      <c r="AK16" s="154"/>
      <c r="AL16" s="156">
        <f t="shared" si="11"/>
        <v>0</v>
      </c>
      <c r="AM16" s="153"/>
      <c r="AN16" s="154"/>
      <c r="AO16" s="154"/>
      <c r="AP16" s="154"/>
      <c r="AQ16" s="156">
        <f t="shared" si="12"/>
        <v>0</v>
      </c>
      <c r="AR16" s="153"/>
      <c r="AS16" s="154"/>
      <c r="AT16" s="154"/>
      <c r="AU16" s="154"/>
      <c r="AV16" s="156">
        <f t="shared" si="13"/>
        <v>0</v>
      </c>
      <c r="AW16" s="153"/>
      <c r="AX16" s="154"/>
      <c r="AY16" s="154"/>
      <c r="AZ16" s="154"/>
      <c r="BA16" s="156">
        <f t="shared" si="14"/>
        <v>0</v>
      </c>
      <c r="BB16" s="153"/>
      <c r="BC16" s="154"/>
      <c r="BD16" s="154"/>
      <c r="BE16" s="154"/>
      <c r="BF16" s="156">
        <f t="shared" si="15"/>
        <v>0</v>
      </c>
      <c r="BG16" s="153"/>
      <c r="BH16" s="154"/>
      <c r="BI16" s="154"/>
      <c r="BJ16" s="154"/>
      <c r="BK16" s="156">
        <f t="shared" si="16"/>
        <v>0</v>
      </c>
      <c r="BL16" s="153"/>
      <c r="BM16" s="154"/>
      <c r="BN16" s="154"/>
      <c r="BO16" s="154"/>
      <c r="BP16" s="156">
        <f t="shared" si="17"/>
        <v>0</v>
      </c>
      <c r="BQ16" s="153"/>
      <c r="BR16" s="154"/>
      <c r="BS16" s="154"/>
      <c r="BT16" s="154"/>
      <c r="BU16" s="156">
        <f t="shared" si="18"/>
        <v>0</v>
      </c>
      <c r="BV16" s="153"/>
      <c r="BW16" s="154"/>
      <c r="BX16" s="154"/>
      <c r="BY16" s="154"/>
      <c r="BZ16" s="156">
        <f t="shared" si="19"/>
        <v>0</v>
      </c>
      <c r="CA16" s="153"/>
      <c r="CB16" s="154"/>
      <c r="CC16" s="154"/>
      <c r="CD16" s="154"/>
      <c r="CE16" s="156">
        <f t="shared" si="20"/>
        <v>0</v>
      </c>
      <c r="CF16" s="153"/>
      <c r="CG16" s="154"/>
      <c r="CH16" s="154"/>
      <c r="CI16" s="154"/>
      <c r="CJ16" s="156">
        <f t="shared" si="21"/>
        <v>0</v>
      </c>
      <c r="CK16" s="153"/>
      <c r="CL16" s="154"/>
      <c r="CM16" s="154"/>
      <c r="CN16" s="154"/>
      <c r="CO16" s="156">
        <f t="shared" si="22"/>
        <v>0</v>
      </c>
      <c r="CP16" s="153"/>
      <c r="CQ16" s="154">
        <v>1.0</v>
      </c>
      <c r="CR16" s="154">
        <v>2.0</v>
      </c>
      <c r="CS16" s="155">
        <v>3.0</v>
      </c>
      <c r="CT16" s="156">
        <f t="shared" si="23"/>
        <v>6</v>
      </c>
      <c r="CU16" s="153"/>
      <c r="CV16" s="154"/>
      <c r="CW16" s="154"/>
      <c r="CX16" s="154"/>
      <c r="CY16" s="156">
        <f t="shared" si="24"/>
        <v>0</v>
      </c>
      <c r="CZ16" s="153"/>
      <c r="DA16" s="154"/>
      <c r="DB16" s="154"/>
      <c r="DC16" s="154"/>
      <c r="DD16" s="156">
        <f t="shared" si="25"/>
        <v>0</v>
      </c>
      <c r="DE16" s="153"/>
      <c r="DF16" s="154">
        <v>1.0</v>
      </c>
      <c r="DG16" s="154">
        <v>2.0</v>
      </c>
      <c r="DH16" s="155">
        <v>6.0</v>
      </c>
      <c r="DI16" s="156">
        <f t="shared" si="26"/>
        <v>9</v>
      </c>
      <c r="DJ16" s="153"/>
      <c r="DK16" s="154"/>
      <c r="DL16" s="154"/>
      <c r="DM16" s="154"/>
      <c r="DN16" s="156">
        <f t="shared" si="27"/>
        <v>0</v>
      </c>
      <c r="DO16" s="153"/>
      <c r="DP16" s="154">
        <v>1.0</v>
      </c>
      <c r="DQ16" s="154">
        <v>2.0</v>
      </c>
      <c r="DR16" s="154"/>
      <c r="DS16" s="156">
        <f t="shared" si="28"/>
        <v>3</v>
      </c>
      <c r="DT16" s="153"/>
      <c r="DU16" s="156">
        <f t="shared" si="29"/>
        <v>0</v>
      </c>
      <c r="DV16" s="154">
        <f t="shared" si="30"/>
        <v>0</v>
      </c>
      <c r="DW16" s="163" t="str">
        <f t="shared" si="31"/>
        <v>#DIV/0!</v>
      </c>
      <c r="DX16" s="153"/>
      <c r="DY16" s="156">
        <f t="shared" si="32"/>
        <v>0</v>
      </c>
      <c r="DZ16" s="154">
        <f t="shared" si="33"/>
        <v>0</v>
      </c>
      <c r="EA16" s="163" t="str">
        <f t="shared" si="34"/>
        <v>#DIV/0!</v>
      </c>
      <c r="EB16" s="153"/>
      <c r="EC16" s="156">
        <f t="shared" si="35"/>
        <v>0</v>
      </c>
      <c r="ED16" s="154">
        <f t="shared" si="36"/>
        <v>0</v>
      </c>
      <c r="EE16" s="163" t="str">
        <f t="shared" si="37"/>
        <v>#DIV/0!</v>
      </c>
      <c r="EF16" s="153"/>
      <c r="EG16" s="156">
        <f t="shared" si="38"/>
        <v>1</v>
      </c>
      <c r="EH16" s="154">
        <f t="shared" si="39"/>
        <v>1</v>
      </c>
      <c r="EI16" s="163">
        <f t="shared" si="40"/>
        <v>1</v>
      </c>
      <c r="EJ16" s="153"/>
      <c r="EK16" s="156">
        <f t="shared" si="41"/>
        <v>0</v>
      </c>
      <c r="EL16" s="154">
        <f t="shared" si="42"/>
        <v>0</v>
      </c>
      <c r="EM16" s="163" t="str">
        <f t="shared" si="43"/>
        <v>#DIV/0!</v>
      </c>
      <c r="EN16" s="153"/>
      <c r="EO16" s="156">
        <f t="shared" ref="EO16:EP16" si="68">SUM(CL16,DP16)</f>
        <v>1</v>
      </c>
      <c r="EP16" s="156">
        <f t="shared" si="68"/>
        <v>2</v>
      </c>
      <c r="EQ16" s="163">
        <f t="shared" si="45"/>
        <v>2</v>
      </c>
      <c r="ER16" s="153"/>
      <c r="ES16" s="156">
        <f t="shared" ref="ES16:ET16" si="69">SUM(DU16,EG16)</f>
        <v>1</v>
      </c>
      <c r="ET16" s="154">
        <f t="shared" si="69"/>
        <v>1</v>
      </c>
      <c r="EU16" s="163">
        <f t="shared" si="47"/>
        <v>1</v>
      </c>
      <c r="EV16" s="153"/>
      <c r="EW16" s="156">
        <f t="shared" ref="EW16:EX16" si="70">SUM(DY16,EK16)</f>
        <v>0</v>
      </c>
      <c r="EX16" s="154">
        <f t="shared" si="70"/>
        <v>0</v>
      </c>
      <c r="EY16" s="163" t="str">
        <f t="shared" si="49"/>
        <v>#DIV/0!</v>
      </c>
      <c r="EZ16" s="153"/>
      <c r="FA16" s="156">
        <f t="shared" ref="FA16:FB16" si="71">SUM(EC16,EO16)</f>
        <v>1</v>
      </c>
      <c r="FB16" s="154">
        <f t="shared" si="71"/>
        <v>2</v>
      </c>
      <c r="FC16" s="163">
        <f t="shared" si="51"/>
        <v>2</v>
      </c>
      <c r="FD16" s="153"/>
      <c r="FE16" s="4"/>
      <c r="FF16" s="164"/>
      <c r="FG16" s="4"/>
      <c r="FH16" s="20"/>
      <c r="FI16" s="20"/>
      <c r="FJ16" s="4"/>
      <c r="FK16" s="4"/>
      <c r="FL16" s="20"/>
      <c r="FM16" s="20"/>
      <c r="FN16" s="4"/>
      <c r="FO16" s="4"/>
      <c r="FP16" s="4"/>
      <c r="FQ16" s="4"/>
      <c r="FR16" s="4"/>
      <c r="FS16" s="1"/>
      <c r="FT16" s="1"/>
    </row>
    <row r="17" ht="15.75" customHeight="1">
      <c r="A17" s="115" t="s">
        <v>80</v>
      </c>
      <c r="B17" s="115"/>
      <c r="C17" s="173"/>
      <c r="D17" s="174"/>
      <c r="E17" s="115"/>
      <c r="F17" s="115"/>
      <c r="G17" s="115"/>
      <c r="H17" s="175">
        <f>SUM(H10:H16)</f>
        <v>6</v>
      </c>
      <c r="I17" s="174"/>
      <c r="J17" s="115"/>
      <c r="K17" s="115"/>
      <c r="L17" s="115"/>
      <c r="M17" s="175">
        <f>SUM(M10:M16)</f>
        <v>6</v>
      </c>
      <c r="N17" s="174"/>
      <c r="O17" s="115"/>
      <c r="P17" s="115"/>
      <c r="Q17" s="115"/>
      <c r="R17" s="175">
        <f>SUM(R10:R16)</f>
        <v>6</v>
      </c>
      <c r="S17" s="174"/>
      <c r="T17" s="115"/>
      <c r="U17" s="115"/>
      <c r="V17" s="115"/>
      <c r="W17" s="175">
        <f>SUM(W10:W16)</f>
        <v>3</v>
      </c>
      <c r="X17" s="174"/>
      <c r="Y17" s="115"/>
      <c r="Z17" s="115"/>
      <c r="AA17" s="115"/>
      <c r="AB17" s="175">
        <f>SUM(AB10:AB16)</f>
        <v>3</v>
      </c>
      <c r="AC17" s="174"/>
      <c r="AD17" s="115"/>
      <c r="AE17" s="115"/>
      <c r="AF17" s="115"/>
      <c r="AG17" s="175">
        <f>SUM(AG10:AG16)</f>
        <v>3</v>
      </c>
      <c r="AH17" s="174"/>
      <c r="AI17" s="115"/>
      <c r="AJ17" s="115"/>
      <c r="AK17" s="115"/>
      <c r="AL17" s="175">
        <f>SUM(AL10:AL16)</f>
        <v>6</v>
      </c>
      <c r="AM17" s="174"/>
      <c r="AN17" s="115"/>
      <c r="AO17" s="115"/>
      <c r="AP17" s="115"/>
      <c r="AQ17" s="175">
        <f>SUM(AQ10:AQ16)</f>
        <v>6</v>
      </c>
      <c r="AR17" s="174"/>
      <c r="AS17" s="115"/>
      <c r="AT17" s="115"/>
      <c r="AU17" s="115"/>
      <c r="AV17" s="175">
        <f>SUM(AV10:AV16)</f>
        <v>6</v>
      </c>
      <c r="AW17" s="174"/>
      <c r="AX17" s="115"/>
      <c r="AY17" s="115"/>
      <c r="AZ17" s="115"/>
      <c r="BA17" s="175">
        <f>SUM(BA10:BA16)</f>
        <v>3</v>
      </c>
      <c r="BB17" s="174"/>
      <c r="BC17" s="115"/>
      <c r="BD17" s="115"/>
      <c r="BE17" s="115"/>
      <c r="BF17" s="175">
        <f>SUM(BF10:BF16)</f>
        <v>3</v>
      </c>
      <c r="BG17" s="174"/>
      <c r="BH17" s="115"/>
      <c r="BI17" s="115"/>
      <c r="BJ17" s="115"/>
      <c r="BK17" s="175">
        <f>SUM(BK10:BK16)</f>
        <v>3</v>
      </c>
      <c r="BL17" s="174"/>
      <c r="BM17" s="115"/>
      <c r="BN17" s="115"/>
      <c r="BO17" s="115"/>
      <c r="BP17" s="175">
        <f>SUM(BP10:BP16)</f>
        <v>6</v>
      </c>
      <c r="BQ17" s="174"/>
      <c r="BR17" s="115"/>
      <c r="BS17" s="115"/>
      <c r="BT17" s="115"/>
      <c r="BU17" s="175">
        <f>SUM(BU10:BU16)</f>
        <v>6</v>
      </c>
      <c r="BV17" s="174"/>
      <c r="BW17" s="115"/>
      <c r="BX17" s="115"/>
      <c r="BY17" s="115"/>
      <c r="BZ17" s="175">
        <f>SUM(BZ10:BZ16)</f>
        <v>6</v>
      </c>
      <c r="CA17" s="174"/>
      <c r="CB17" s="115"/>
      <c r="CC17" s="115"/>
      <c r="CD17" s="115"/>
      <c r="CE17" s="175">
        <f>SUM(CE10:CE16)</f>
        <v>3</v>
      </c>
      <c r="CF17" s="174"/>
      <c r="CG17" s="115"/>
      <c r="CH17" s="115"/>
      <c r="CI17" s="115"/>
      <c r="CJ17" s="175">
        <f>SUM(CJ10:CJ16)</f>
        <v>3</v>
      </c>
      <c r="CK17" s="174"/>
      <c r="CL17" s="115"/>
      <c r="CM17" s="115"/>
      <c r="CN17" s="115"/>
      <c r="CO17" s="175">
        <f>SUM(CO10:CO16)</f>
        <v>3</v>
      </c>
      <c r="CP17" s="174"/>
      <c r="CQ17" s="115"/>
      <c r="CR17" s="115"/>
      <c r="CS17" s="115"/>
      <c r="CT17" s="175">
        <f>SUM(CT10:CT16)</f>
        <v>42</v>
      </c>
      <c r="CU17" s="174"/>
      <c r="CV17" s="115"/>
      <c r="CW17" s="115"/>
      <c r="CX17" s="115"/>
      <c r="CY17" s="175">
        <f>SUM(CY10:CY16)</f>
        <v>6</v>
      </c>
      <c r="CZ17" s="174"/>
      <c r="DA17" s="115"/>
      <c r="DB17" s="115"/>
      <c r="DC17" s="115"/>
      <c r="DD17" s="175">
        <f>SUM(DD10:DD16)</f>
        <v>6</v>
      </c>
      <c r="DE17" s="174"/>
      <c r="DF17" s="115"/>
      <c r="DG17" s="115"/>
      <c r="DH17" s="115"/>
      <c r="DI17" s="175">
        <f>SUM(DI10:DI16)</f>
        <v>63</v>
      </c>
      <c r="DJ17" s="174"/>
      <c r="DK17" s="115"/>
      <c r="DL17" s="115"/>
      <c r="DM17" s="115"/>
      <c r="DN17" s="175">
        <f>SUM(DN10:DN16)</f>
        <v>3</v>
      </c>
      <c r="DO17" s="174"/>
      <c r="DP17" s="115"/>
      <c r="DQ17" s="115"/>
      <c r="DR17" s="115"/>
      <c r="DS17" s="175">
        <f>SUM(DS10:DS16)</f>
        <v>21</v>
      </c>
      <c r="DT17" s="174"/>
      <c r="DU17" s="175"/>
      <c r="DV17" s="175"/>
      <c r="DW17" s="177" t="str">
        <f>AVERAGE(DW10:DW16)</f>
        <v>#DIV/0!</v>
      </c>
      <c r="DX17" s="174"/>
      <c r="DY17" s="175"/>
      <c r="DZ17" s="175"/>
      <c r="EA17" s="177" t="str">
        <f>AVERAGE(EA10:EA16)</f>
        <v>#DIV/0!</v>
      </c>
      <c r="EB17" s="174"/>
      <c r="EC17" s="175"/>
      <c r="ED17" s="175"/>
      <c r="EE17" s="177" t="str">
        <f>AVERAGE(EE10:EE16)</f>
        <v>#DIV/0!</v>
      </c>
      <c r="EF17" s="174"/>
      <c r="EG17" s="175"/>
      <c r="EH17" s="175"/>
      <c r="EI17" s="177">
        <f>AVERAGE(EI10:EI16)</f>
        <v>1.785714286</v>
      </c>
      <c r="EJ17" s="174"/>
      <c r="EK17" s="175"/>
      <c r="EL17" s="175"/>
      <c r="EM17" s="177" t="str">
        <f>AVERAGE(EM10:EM16)</f>
        <v>#DIV/0!</v>
      </c>
      <c r="EN17" s="174"/>
      <c r="EO17" s="175"/>
      <c r="EP17" s="175"/>
      <c r="EQ17" s="177">
        <f>AVERAGE(EQ10:EQ16)</f>
        <v>2</v>
      </c>
      <c r="ER17" s="174"/>
      <c r="ES17" s="175"/>
      <c r="ET17" s="175"/>
      <c r="EU17" s="177">
        <f>AVERAGE(EU10:EU16)</f>
        <v>1.051020408</v>
      </c>
      <c r="EV17" s="174"/>
      <c r="EW17" s="175"/>
      <c r="EX17" s="175"/>
      <c r="EY17" s="177" t="str">
        <f>AVERAGE(EY10:EY16)</f>
        <v>#DIV/0!</v>
      </c>
      <c r="EZ17" s="174"/>
      <c r="FA17" s="175"/>
      <c r="FB17" s="175"/>
      <c r="FC17" s="177">
        <f>AVERAGE(FC10:FC16)</f>
        <v>1.816326531</v>
      </c>
      <c r="FD17" s="174"/>
      <c r="FE17" s="4"/>
      <c r="FF17" s="20" t="str">
        <f>SUM(FF9:FF16)</f>
        <v>#REF!</v>
      </c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20"/>
      <c r="FS17" s="4"/>
      <c r="FT17" s="4"/>
    </row>
    <row r="18" ht="15.75" customHeight="1">
      <c r="A18" s="137" t="s">
        <v>82</v>
      </c>
      <c r="B18" s="138"/>
      <c r="C18" s="139"/>
      <c r="D18" s="140"/>
      <c r="E18" s="141"/>
      <c r="F18" s="141"/>
      <c r="G18" s="141"/>
      <c r="H18" s="142"/>
      <c r="I18" s="140"/>
      <c r="J18" s="141"/>
      <c r="K18" s="141"/>
      <c r="L18" s="141"/>
      <c r="M18" s="142"/>
      <c r="N18" s="140"/>
      <c r="O18" s="141"/>
      <c r="P18" s="141"/>
      <c r="Q18" s="141"/>
      <c r="R18" s="142"/>
      <c r="S18" s="140"/>
      <c r="T18" s="141"/>
      <c r="U18" s="141"/>
      <c r="V18" s="141"/>
      <c r="W18" s="142"/>
      <c r="X18" s="140"/>
      <c r="Y18" s="141"/>
      <c r="Z18" s="141"/>
      <c r="AA18" s="141"/>
      <c r="AB18" s="142"/>
      <c r="AC18" s="140"/>
      <c r="AD18" s="141"/>
      <c r="AE18" s="141"/>
      <c r="AF18" s="141"/>
      <c r="AG18" s="142"/>
      <c r="AH18" s="140"/>
      <c r="AI18" s="141"/>
      <c r="AJ18" s="141"/>
      <c r="AK18" s="141"/>
      <c r="AL18" s="142"/>
      <c r="AM18" s="140"/>
      <c r="AN18" s="141"/>
      <c r="AO18" s="141"/>
      <c r="AP18" s="141"/>
      <c r="AQ18" s="142"/>
      <c r="AR18" s="140"/>
      <c r="AS18" s="141"/>
      <c r="AT18" s="141"/>
      <c r="AU18" s="141"/>
      <c r="AV18" s="142"/>
      <c r="AW18" s="140"/>
      <c r="AX18" s="141"/>
      <c r="AY18" s="141"/>
      <c r="AZ18" s="141"/>
      <c r="BA18" s="142"/>
      <c r="BB18" s="140"/>
      <c r="BC18" s="141"/>
      <c r="BD18" s="141"/>
      <c r="BE18" s="141"/>
      <c r="BF18" s="142"/>
      <c r="BG18" s="140"/>
      <c r="BH18" s="141"/>
      <c r="BI18" s="141"/>
      <c r="BJ18" s="141"/>
      <c r="BK18" s="142"/>
      <c r="BL18" s="140"/>
      <c r="BM18" s="141"/>
      <c r="BN18" s="141"/>
      <c r="BO18" s="141"/>
      <c r="BP18" s="142"/>
      <c r="BQ18" s="140"/>
      <c r="BR18" s="141"/>
      <c r="BS18" s="141"/>
      <c r="BT18" s="141"/>
      <c r="BU18" s="142"/>
      <c r="BV18" s="140"/>
      <c r="BW18" s="141"/>
      <c r="BX18" s="141"/>
      <c r="BY18" s="141"/>
      <c r="BZ18" s="142"/>
      <c r="CA18" s="140"/>
      <c r="CB18" s="141"/>
      <c r="CC18" s="141"/>
      <c r="CD18" s="141"/>
      <c r="CE18" s="142"/>
      <c r="CF18" s="140"/>
      <c r="CG18" s="141"/>
      <c r="CH18" s="141"/>
      <c r="CI18" s="141"/>
      <c r="CJ18" s="142"/>
      <c r="CK18" s="140"/>
      <c r="CL18" s="141"/>
      <c r="CM18" s="141"/>
      <c r="CN18" s="141"/>
      <c r="CO18" s="142"/>
      <c r="CP18" s="140"/>
      <c r="CQ18" s="141"/>
      <c r="CR18" s="141"/>
      <c r="CS18" s="141"/>
      <c r="CT18" s="142"/>
      <c r="CU18" s="140"/>
      <c r="CV18" s="141"/>
      <c r="CW18" s="141"/>
      <c r="CX18" s="141"/>
      <c r="CY18" s="142"/>
      <c r="CZ18" s="140"/>
      <c r="DA18" s="141"/>
      <c r="DB18" s="141"/>
      <c r="DC18" s="141"/>
      <c r="DD18" s="142"/>
      <c r="DE18" s="140"/>
      <c r="DF18" s="141"/>
      <c r="DG18" s="141"/>
      <c r="DH18" s="141"/>
      <c r="DI18" s="142"/>
      <c r="DJ18" s="140"/>
      <c r="DK18" s="141"/>
      <c r="DL18" s="141"/>
      <c r="DM18" s="141"/>
      <c r="DN18" s="142"/>
      <c r="DO18" s="140"/>
      <c r="DP18" s="141"/>
      <c r="DQ18" s="141"/>
      <c r="DR18" s="141"/>
      <c r="DS18" s="142"/>
      <c r="DT18" s="140"/>
      <c r="DU18" s="142"/>
      <c r="DV18" s="141"/>
      <c r="DW18" s="141"/>
      <c r="DX18" s="140"/>
      <c r="DY18" s="142"/>
      <c r="DZ18" s="141"/>
      <c r="EA18" s="141"/>
      <c r="EB18" s="140"/>
      <c r="EC18" s="142"/>
      <c r="ED18" s="141"/>
      <c r="EE18" s="141"/>
      <c r="EF18" s="140"/>
      <c r="EG18" s="142"/>
      <c r="EH18" s="141"/>
      <c r="EI18" s="141"/>
      <c r="EJ18" s="140"/>
      <c r="EK18" s="142"/>
      <c r="EL18" s="141"/>
      <c r="EM18" s="141"/>
      <c r="EN18" s="140"/>
      <c r="EO18" s="142"/>
      <c r="EP18" s="141"/>
      <c r="EQ18" s="141"/>
      <c r="ER18" s="140"/>
      <c r="ES18" s="142"/>
      <c r="ET18" s="141"/>
      <c r="EU18" s="141"/>
      <c r="EV18" s="140"/>
      <c r="EW18" s="142"/>
      <c r="EX18" s="141"/>
      <c r="EY18" s="141"/>
      <c r="EZ18" s="140"/>
      <c r="FA18" s="142"/>
      <c r="FB18" s="141"/>
      <c r="FC18" s="141"/>
      <c r="FD18" s="140"/>
      <c r="FE18" s="4"/>
      <c r="FF18" s="20" t="str">
        <f>SUM(#REF!,#REF!,#REF!,#REF!,#REF!)</f>
        <v>#REF!</v>
      </c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1"/>
      <c r="FT18" s="148"/>
    </row>
    <row r="19" ht="15.75" customHeight="1">
      <c r="A19" s="149" t="s">
        <v>83</v>
      </c>
      <c r="B19" s="150" t="s">
        <v>84</v>
      </c>
      <c r="C19" s="152" t="s">
        <v>71</v>
      </c>
      <c r="D19" s="153">
        <v>1.0</v>
      </c>
      <c r="E19" s="154">
        <v>1.0</v>
      </c>
      <c r="F19" s="154">
        <v>2.0</v>
      </c>
      <c r="G19" s="155">
        <v>3.0</v>
      </c>
      <c r="H19" s="156">
        <f t="shared" ref="H19:H25" si="76">SUM(E19:G19)</f>
        <v>6</v>
      </c>
      <c r="I19" s="153">
        <v>1.0</v>
      </c>
      <c r="J19" s="154">
        <v>1.0</v>
      </c>
      <c r="K19" s="154">
        <v>2.0</v>
      </c>
      <c r="L19" s="155">
        <v>3.0</v>
      </c>
      <c r="M19" s="156">
        <f t="shared" ref="M19:M25" si="77">SUM(J19:L19)</f>
        <v>6</v>
      </c>
      <c r="N19" s="153">
        <v>1.0</v>
      </c>
      <c r="O19" s="154">
        <v>1.0</v>
      </c>
      <c r="P19" s="154">
        <v>2.0</v>
      </c>
      <c r="Q19" s="155">
        <v>3.0</v>
      </c>
      <c r="R19" s="156">
        <f t="shared" ref="R19:R25" si="78">SUM(O19:Q19)</f>
        <v>6</v>
      </c>
      <c r="S19" s="153"/>
      <c r="T19" s="154">
        <v>1.0</v>
      </c>
      <c r="U19" s="154"/>
      <c r="V19" s="155"/>
      <c r="W19" s="156">
        <f t="shared" ref="W19:W25" si="79">SUM(T19:V19)</f>
        <v>1</v>
      </c>
      <c r="X19" s="153"/>
      <c r="Y19" s="154">
        <v>1.0</v>
      </c>
      <c r="Z19" s="154"/>
      <c r="AA19" s="155"/>
      <c r="AB19" s="156">
        <f t="shared" ref="AB19:AB25" si="80">SUM(Y19:AA19)</f>
        <v>1</v>
      </c>
      <c r="AC19" s="153"/>
      <c r="AD19" s="154">
        <v>1.0</v>
      </c>
      <c r="AE19" s="154"/>
      <c r="AF19" s="155"/>
      <c r="AG19" s="156">
        <f t="shared" ref="AG19:AG25" si="81">SUM(AD19:AF19)</f>
        <v>1</v>
      </c>
      <c r="AH19" s="153"/>
      <c r="AI19" s="154">
        <v>1.0</v>
      </c>
      <c r="AJ19" s="154">
        <v>2.0</v>
      </c>
      <c r="AK19" s="155">
        <v>3.0</v>
      </c>
      <c r="AL19" s="156">
        <f t="shared" ref="AL19:AL25" si="82">SUM(AI19:AK19)</f>
        <v>6</v>
      </c>
      <c r="AM19" s="153">
        <v>1.0</v>
      </c>
      <c r="AN19" s="154">
        <v>1.0</v>
      </c>
      <c r="AO19" s="154">
        <v>2.0</v>
      </c>
      <c r="AP19" s="155">
        <v>3.0</v>
      </c>
      <c r="AQ19" s="156">
        <f t="shared" ref="AQ19:AQ25" si="83">SUM(AN19:AP19)</f>
        <v>6</v>
      </c>
      <c r="AR19" s="153">
        <v>1.0</v>
      </c>
      <c r="AS19" s="154">
        <v>1.0</v>
      </c>
      <c r="AT19" s="154">
        <v>2.0</v>
      </c>
      <c r="AU19" s="155">
        <v>3.0</v>
      </c>
      <c r="AV19" s="156">
        <f t="shared" ref="AV19:AV25" si="84">SUM(AS19:AU19)</f>
        <v>6</v>
      </c>
      <c r="AW19" s="153"/>
      <c r="AX19" s="154">
        <v>1.0</v>
      </c>
      <c r="AY19" s="154"/>
      <c r="AZ19" s="155"/>
      <c r="BA19" s="156">
        <f t="shared" ref="BA19:BA25" si="85">SUM(AX19:AZ19)</f>
        <v>1</v>
      </c>
      <c r="BB19" s="153"/>
      <c r="BC19" s="154">
        <v>1.0</v>
      </c>
      <c r="BD19" s="154"/>
      <c r="BE19" s="155"/>
      <c r="BF19" s="156">
        <f t="shared" ref="BF19:BF25" si="86">SUM(BC19:BE19)</f>
        <v>1</v>
      </c>
      <c r="BG19" s="153"/>
      <c r="BH19" s="154">
        <v>1.0</v>
      </c>
      <c r="BI19" s="154"/>
      <c r="BJ19" s="155"/>
      <c r="BK19" s="156">
        <f t="shared" ref="BK19:BK25" si="87">SUM(BH19:BJ19)</f>
        <v>1</v>
      </c>
      <c r="BL19" s="153"/>
      <c r="BM19" s="154">
        <v>1.0</v>
      </c>
      <c r="BN19" s="154">
        <v>2.0</v>
      </c>
      <c r="BO19" s="155">
        <v>3.0</v>
      </c>
      <c r="BP19" s="156">
        <f t="shared" ref="BP19:BP25" si="88">SUM(BM19:BO19)</f>
        <v>6</v>
      </c>
      <c r="BQ19" s="153">
        <v>1.0</v>
      </c>
      <c r="BR19" s="154">
        <v>1.0</v>
      </c>
      <c r="BS19" s="154">
        <v>2.0</v>
      </c>
      <c r="BT19" s="155">
        <v>3.0</v>
      </c>
      <c r="BU19" s="156">
        <f t="shared" ref="BU19:BU25" si="89">SUM(BR19:BT19)</f>
        <v>6</v>
      </c>
      <c r="BV19" s="153">
        <v>1.0</v>
      </c>
      <c r="BW19" s="154">
        <v>1.0</v>
      </c>
      <c r="BX19" s="154">
        <v>2.0</v>
      </c>
      <c r="BY19" s="155">
        <v>3.0</v>
      </c>
      <c r="BZ19" s="156">
        <f t="shared" ref="BZ19:BZ25" si="90">SUM(BW19:BY19)</f>
        <v>6</v>
      </c>
      <c r="CA19" s="153"/>
      <c r="CB19" s="154">
        <v>1.0</v>
      </c>
      <c r="CC19" s="154"/>
      <c r="CD19" s="155"/>
      <c r="CE19" s="156">
        <f t="shared" ref="CE19:CE25" si="91">SUM(CB19:CD19)</f>
        <v>1</v>
      </c>
      <c r="CF19" s="153"/>
      <c r="CG19" s="154">
        <v>1.0</v>
      </c>
      <c r="CH19" s="154"/>
      <c r="CI19" s="155"/>
      <c r="CJ19" s="156">
        <f t="shared" ref="CJ19:CJ25" si="92">SUM(CG19:CI19)</f>
        <v>1</v>
      </c>
      <c r="CK19" s="153"/>
      <c r="CL19" s="154">
        <v>1.0</v>
      </c>
      <c r="CM19" s="154"/>
      <c r="CN19" s="155"/>
      <c r="CO19" s="156">
        <f t="shared" ref="CO19:CO25" si="93">SUM(CL19:CN19)</f>
        <v>1</v>
      </c>
      <c r="CP19" s="153"/>
      <c r="CQ19" s="154">
        <v>1.0</v>
      </c>
      <c r="CR19" s="154">
        <v>2.0</v>
      </c>
      <c r="CS19" s="155">
        <v>3.0</v>
      </c>
      <c r="CT19" s="156">
        <f t="shared" ref="CT19:CT25" si="94">SUM(CQ19:CS19)</f>
        <v>6</v>
      </c>
      <c r="CU19" s="153">
        <v>1.0</v>
      </c>
      <c r="CV19" s="154">
        <v>1.0</v>
      </c>
      <c r="CW19" s="154">
        <v>2.0</v>
      </c>
      <c r="CX19" s="155">
        <v>3.0</v>
      </c>
      <c r="CY19" s="156">
        <f t="shared" ref="CY19:CY25" si="95">SUM(CV19:CX19)</f>
        <v>6</v>
      </c>
      <c r="CZ19" s="153">
        <v>1.0</v>
      </c>
      <c r="DA19" s="154">
        <v>1.0</v>
      </c>
      <c r="DB19" s="154">
        <v>2.0</v>
      </c>
      <c r="DC19" s="155">
        <v>3.0</v>
      </c>
      <c r="DD19" s="156">
        <f t="shared" ref="DD19:DD25" si="96">SUM(DA19:DC19)</f>
        <v>6</v>
      </c>
      <c r="DE19" s="153"/>
      <c r="DF19" s="154">
        <v>1.0</v>
      </c>
      <c r="DG19" s="154"/>
      <c r="DH19" s="155"/>
      <c r="DI19" s="156">
        <f t="shared" ref="DI19:DI25" si="97">SUM(DF19:DH19)</f>
        <v>1</v>
      </c>
      <c r="DJ19" s="153"/>
      <c r="DK19" s="154">
        <v>1.0</v>
      </c>
      <c r="DL19" s="154"/>
      <c r="DM19" s="155"/>
      <c r="DN19" s="156">
        <f t="shared" ref="DN19:DN25" si="98">SUM(DK19:DM19)</f>
        <v>1</v>
      </c>
      <c r="DO19" s="153"/>
      <c r="DP19" s="154">
        <v>1.0</v>
      </c>
      <c r="DQ19" s="154"/>
      <c r="DR19" s="155"/>
      <c r="DS19" s="156">
        <f t="shared" ref="DS19:DS25" si="99">SUM(DP19:DR19)</f>
        <v>1</v>
      </c>
      <c r="DT19" s="153"/>
      <c r="DU19" s="156">
        <f t="shared" ref="DU19:DU25" si="100">SUM(H19,AL19)</f>
        <v>12</v>
      </c>
      <c r="DV19" s="154">
        <f t="shared" ref="DV19:DV25" si="101">SUM(W19,BA19)</f>
        <v>2</v>
      </c>
      <c r="DW19" s="163">
        <f t="shared" ref="DW19:DW25" si="102">DV19/DU19</f>
        <v>0.1666666667</v>
      </c>
      <c r="DX19" s="153"/>
      <c r="DY19" s="156">
        <f t="shared" ref="DY19:DY25" si="103">SUM(M19,AQ19)</f>
        <v>12</v>
      </c>
      <c r="DZ19" s="154">
        <f t="shared" ref="DZ19:DZ25" si="104">SUM(AB19,BF19)</f>
        <v>2</v>
      </c>
      <c r="EA19" s="163">
        <f t="shared" ref="EA19:EA25" si="105">DZ19/DY19</f>
        <v>0.1666666667</v>
      </c>
      <c r="EB19" s="153"/>
      <c r="EC19" s="156">
        <f t="shared" ref="EC19:EC25" si="106">SUM(R19,AV19)</f>
        <v>12</v>
      </c>
      <c r="ED19" s="154">
        <f t="shared" ref="ED19:ED25" si="107">SUM(AG19,BK19)</f>
        <v>2</v>
      </c>
      <c r="EE19" s="163">
        <f t="shared" ref="EE19:EE25" si="108">ED19/EC19</f>
        <v>0.1666666667</v>
      </c>
      <c r="EF19" s="153"/>
      <c r="EG19" s="156">
        <f t="shared" ref="EG19:EG25" si="109">SUM(CB19,DF19)</f>
        <v>2</v>
      </c>
      <c r="EH19" s="154">
        <f t="shared" ref="EH19:EH25" si="110">SUM(CQ19,DU19)</f>
        <v>13</v>
      </c>
      <c r="EI19" s="163">
        <f t="shared" ref="EI19:EI25" si="111">EH19/EG19</f>
        <v>6.5</v>
      </c>
      <c r="EJ19" s="153"/>
      <c r="EK19" s="156">
        <f t="shared" ref="EK19:EK25" si="112">SUM(CG19,DK19)</f>
        <v>2</v>
      </c>
      <c r="EL19" s="154">
        <f t="shared" ref="EL19:EL25" si="113">SUM(CV19,DZ19)</f>
        <v>3</v>
      </c>
      <c r="EM19" s="163">
        <f t="shared" ref="EM19:EM25" si="114">EL19/EK19</f>
        <v>1.5</v>
      </c>
      <c r="EN19" s="153"/>
      <c r="EO19" s="156">
        <f t="shared" ref="EO19:EP19" si="72">SUM(CL19,DP19)</f>
        <v>2</v>
      </c>
      <c r="EP19" s="156">
        <f t="shared" si="72"/>
        <v>0</v>
      </c>
      <c r="EQ19" s="163">
        <f t="shared" ref="EQ19:EQ25" si="116">EP19/EO19</f>
        <v>0</v>
      </c>
      <c r="ER19" s="153"/>
      <c r="ES19" s="156">
        <f t="shared" ref="ES19:ET19" si="73">SUM(DU19,EG19)</f>
        <v>14</v>
      </c>
      <c r="ET19" s="154">
        <f t="shared" si="73"/>
        <v>15</v>
      </c>
      <c r="EU19" s="163">
        <f t="shared" ref="EU19:EU25" si="118">ET19/ES19</f>
        <v>1.071428571</v>
      </c>
      <c r="EV19" s="153"/>
      <c r="EW19" s="156">
        <f t="shared" ref="EW19:EX19" si="74">SUM(DY19,EK19)</f>
        <v>14</v>
      </c>
      <c r="EX19" s="154">
        <f t="shared" si="74"/>
        <v>5</v>
      </c>
      <c r="EY19" s="163">
        <f t="shared" ref="EY19:EY25" si="120">EX19/EW19</f>
        <v>0.3571428571</v>
      </c>
      <c r="EZ19" s="153"/>
      <c r="FA19" s="156">
        <f t="shared" ref="FA19:FB19" si="75">SUM(EC19,EO19)</f>
        <v>14</v>
      </c>
      <c r="FB19" s="154">
        <f t="shared" si="75"/>
        <v>2</v>
      </c>
      <c r="FC19" s="163">
        <f t="shared" ref="FC19:FC25" si="122">FB19/FA19</f>
        <v>0.1428571429</v>
      </c>
      <c r="FD19" s="153"/>
      <c r="FE19" s="4"/>
      <c r="FF19" s="164"/>
      <c r="FG19" s="4"/>
      <c r="FH19" s="20"/>
      <c r="FI19" s="20"/>
      <c r="FJ19" s="4"/>
      <c r="FK19" s="4"/>
      <c r="FL19" s="20"/>
      <c r="FM19" s="20"/>
      <c r="FN19" s="4"/>
      <c r="FO19" s="4"/>
      <c r="FP19" s="4"/>
      <c r="FQ19" s="4"/>
      <c r="FR19" s="165"/>
      <c r="FS19" s="1"/>
      <c r="FT19" s="1"/>
    </row>
    <row r="20" ht="15.75" customHeight="1">
      <c r="A20" s="167"/>
      <c r="B20" s="168"/>
      <c r="C20" s="152"/>
      <c r="D20" s="153"/>
      <c r="E20" s="154"/>
      <c r="F20" s="154"/>
      <c r="G20" s="155"/>
      <c r="H20" s="156">
        <f t="shared" si="76"/>
        <v>0</v>
      </c>
      <c r="I20" s="153"/>
      <c r="J20" s="154"/>
      <c r="K20" s="154"/>
      <c r="L20" s="155"/>
      <c r="M20" s="156">
        <f t="shared" si="77"/>
        <v>0</v>
      </c>
      <c r="N20" s="153"/>
      <c r="O20" s="154"/>
      <c r="P20" s="154"/>
      <c r="Q20" s="155"/>
      <c r="R20" s="156">
        <f t="shared" si="78"/>
        <v>0</v>
      </c>
      <c r="S20" s="153"/>
      <c r="T20" s="154"/>
      <c r="U20" s="154"/>
      <c r="V20" s="155"/>
      <c r="W20" s="156">
        <f t="shared" si="79"/>
        <v>0</v>
      </c>
      <c r="X20" s="153"/>
      <c r="Y20" s="154"/>
      <c r="Z20" s="154"/>
      <c r="AA20" s="155"/>
      <c r="AB20" s="156">
        <f t="shared" si="80"/>
        <v>0</v>
      </c>
      <c r="AC20" s="153"/>
      <c r="AD20" s="154"/>
      <c r="AE20" s="154"/>
      <c r="AF20" s="155"/>
      <c r="AG20" s="156">
        <f t="shared" si="81"/>
        <v>0</v>
      </c>
      <c r="AH20" s="153"/>
      <c r="AI20" s="154"/>
      <c r="AJ20" s="154"/>
      <c r="AK20" s="155"/>
      <c r="AL20" s="156">
        <f t="shared" si="82"/>
        <v>0</v>
      </c>
      <c r="AM20" s="153"/>
      <c r="AN20" s="154"/>
      <c r="AO20" s="154"/>
      <c r="AP20" s="155"/>
      <c r="AQ20" s="156">
        <f t="shared" si="83"/>
        <v>0</v>
      </c>
      <c r="AR20" s="153"/>
      <c r="AS20" s="154"/>
      <c r="AT20" s="154"/>
      <c r="AU20" s="155"/>
      <c r="AV20" s="156">
        <f t="shared" si="84"/>
        <v>0</v>
      </c>
      <c r="AW20" s="153"/>
      <c r="AX20" s="154"/>
      <c r="AY20" s="154"/>
      <c r="AZ20" s="155"/>
      <c r="BA20" s="156">
        <f t="shared" si="85"/>
        <v>0</v>
      </c>
      <c r="BB20" s="153"/>
      <c r="BC20" s="154"/>
      <c r="BD20" s="154"/>
      <c r="BE20" s="155"/>
      <c r="BF20" s="156">
        <f t="shared" si="86"/>
        <v>0</v>
      </c>
      <c r="BG20" s="153"/>
      <c r="BH20" s="154"/>
      <c r="BI20" s="154"/>
      <c r="BJ20" s="155"/>
      <c r="BK20" s="156">
        <f t="shared" si="87"/>
        <v>0</v>
      </c>
      <c r="BL20" s="153"/>
      <c r="BM20" s="154"/>
      <c r="BN20" s="154"/>
      <c r="BO20" s="155"/>
      <c r="BP20" s="156">
        <f t="shared" si="88"/>
        <v>0</v>
      </c>
      <c r="BQ20" s="153"/>
      <c r="BR20" s="154"/>
      <c r="BS20" s="154"/>
      <c r="BT20" s="155"/>
      <c r="BU20" s="156">
        <f t="shared" si="89"/>
        <v>0</v>
      </c>
      <c r="BV20" s="153"/>
      <c r="BW20" s="154"/>
      <c r="BX20" s="154"/>
      <c r="BY20" s="155"/>
      <c r="BZ20" s="156">
        <f t="shared" si="90"/>
        <v>0</v>
      </c>
      <c r="CA20" s="153"/>
      <c r="CB20" s="154"/>
      <c r="CC20" s="154"/>
      <c r="CD20" s="155"/>
      <c r="CE20" s="156">
        <f t="shared" si="91"/>
        <v>0</v>
      </c>
      <c r="CF20" s="153"/>
      <c r="CG20" s="154"/>
      <c r="CH20" s="154"/>
      <c r="CI20" s="155"/>
      <c r="CJ20" s="156">
        <f t="shared" si="92"/>
        <v>0</v>
      </c>
      <c r="CK20" s="153"/>
      <c r="CL20" s="154"/>
      <c r="CM20" s="154"/>
      <c r="CN20" s="155"/>
      <c r="CO20" s="156">
        <f t="shared" si="93"/>
        <v>0</v>
      </c>
      <c r="CP20" s="153"/>
      <c r="CQ20" s="154"/>
      <c r="CR20" s="154"/>
      <c r="CS20" s="155"/>
      <c r="CT20" s="156">
        <f t="shared" si="94"/>
        <v>0</v>
      </c>
      <c r="CU20" s="153"/>
      <c r="CV20" s="154"/>
      <c r="CW20" s="154"/>
      <c r="CX20" s="155"/>
      <c r="CY20" s="156">
        <f t="shared" si="95"/>
        <v>0</v>
      </c>
      <c r="CZ20" s="153"/>
      <c r="DA20" s="154"/>
      <c r="DB20" s="154"/>
      <c r="DC20" s="155"/>
      <c r="DD20" s="156">
        <f t="shared" si="96"/>
        <v>0</v>
      </c>
      <c r="DE20" s="153"/>
      <c r="DF20" s="154"/>
      <c r="DG20" s="154"/>
      <c r="DH20" s="155"/>
      <c r="DI20" s="156">
        <f t="shared" si="97"/>
        <v>0</v>
      </c>
      <c r="DJ20" s="153"/>
      <c r="DK20" s="154"/>
      <c r="DL20" s="154"/>
      <c r="DM20" s="155"/>
      <c r="DN20" s="156">
        <f t="shared" si="98"/>
        <v>0</v>
      </c>
      <c r="DO20" s="153"/>
      <c r="DP20" s="154"/>
      <c r="DQ20" s="154"/>
      <c r="DR20" s="155"/>
      <c r="DS20" s="156">
        <f t="shared" si="99"/>
        <v>0</v>
      </c>
      <c r="DT20" s="153"/>
      <c r="DU20" s="156">
        <f t="shared" si="100"/>
        <v>0</v>
      </c>
      <c r="DV20" s="154">
        <f t="shared" si="101"/>
        <v>0</v>
      </c>
      <c r="DW20" s="163" t="str">
        <f t="shared" si="102"/>
        <v>#DIV/0!</v>
      </c>
      <c r="DX20" s="153"/>
      <c r="DY20" s="156">
        <f t="shared" si="103"/>
        <v>0</v>
      </c>
      <c r="DZ20" s="154">
        <f t="shared" si="104"/>
        <v>0</v>
      </c>
      <c r="EA20" s="163" t="str">
        <f t="shared" si="105"/>
        <v>#DIV/0!</v>
      </c>
      <c r="EB20" s="153"/>
      <c r="EC20" s="156">
        <f t="shared" si="106"/>
        <v>0</v>
      </c>
      <c r="ED20" s="154">
        <f t="shared" si="107"/>
        <v>0</v>
      </c>
      <c r="EE20" s="163" t="str">
        <f t="shared" si="108"/>
        <v>#DIV/0!</v>
      </c>
      <c r="EF20" s="153"/>
      <c r="EG20" s="156">
        <f t="shared" si="109"/>
        <v>0</v>
      </c>
      <c r="EH20" s="154">
        <f t="shared" si="110"/>
        <v>0</v>
      </c>
      <c r="EI20" s="163" t="str">
        <f t="shared" si="111"/>
        <v>#DIV/0!</v>
      </c>
      <c r="EJ20" s="153"/>
      <c r="EK20" s="156">
        <f t="shared" si="112"/>
        <v>0</v>
      </c>
      <c r="EL20" s="154">
        <f t="shared" si="113"/>
        <v>0</v>
      </c>
      <c r="EM20" s="163" t="str">
        <f t="shared" si="114"/>
        <v>#DIV/0!</v>
      </c>
      <c r="EN20" s="153"/>
      <c r="EO20" s="156">
        <f t="shared" ref="EO20:EP20" si="115">SUM(CL20,DP20)</f>
        <v>0</v>
      </c>
      <c r="EP20" s="156">
        <f t="shared" si="115"/>
        <v>0</v>
      </c>
      <c r="EQ20" s="163" t="str">
        <f t="shared" si="116"/>
        <v>#DIV/0!</v>
      </c>
      <c r="ER20" s="153"/>
      <c r="ES20" s="156">
        <f t="shared" ref="ES20:ET20" si="117">SUM(DU20,EG20)</f>
        <v>0</v>
      </c>
      <c r="ET20" s="154">
        <f t="shared" si="117"/>
        <v>0</v>
      </c>
      <c r="EU20" s="163" t="str">
        <f t="shared" si="118"/>
        <v>#DIV/0!</v>
      </c>
      <c r="EV20" s="153"/>
      <c r="EW20" s="156">
        <f t="shared" ref="EW20:EX20" si="119">SUM(DY20,EK20)</f>
        <v>0</v>
      </c>
      <c r="EX20" s="154">
        <f t="shared" si="119"/>
        <v>0</v>
      </c>
      <c r="EY20" s="163" t="str">
        <f t="shared" si="120"/>
        <v>#DIV/0!</v>
      </c>
      <c r="EZ20" s="153"/>
      <c r="FA20" s="156">
        <f t="shared" ref="FA20:FB20" si="121">SUM(EC20,EO20)</f>
        <v>0</v>
      </c>
      <c r="FB20" s="154">
        <f t="shared" si="121"/>
        <v>0</v>
      </c>
      <c r="FC20" s="163" t="str">
        <f t="shared" si="122"/>
        <v>#DIV/0!</v>
      </c>
      <c r="FD20" s="153"/>
      <c r="FE20" s="4"/>
      <c r="FF20" s="164"/>
      <c r="FG20" s="4"/>
      <c r="FH20" s="20"/>
      <c r="FI20" s="20"/>
      <c r="FJ20" s="4"/>
      <c r="FK20" s="4"/>
      <c r="FL20" s="20"/>
      <c r="FM20" s="20"/>
      <c r="FN20" s="4"/>
      <c r="FO20" s="4"/>
      <c r="FP20" s="4"/>
      <c r="FQ20" s="4"/>
      <c r="FR20" s="4"/>
      <c r="FS20" s="1"/>
      <c r="FT20" s="1"/>
    </row>
    <row r="21" ht="15.75" customHeight="1">
      <c r="A21" s="167"/>
      <c r="B21" s="168"/>
      <c r="C21" s="152"/>
      <c r="D21" s="153"/>
      <c r="E21" s="154"/>
      <c r="F21" s="154"/>
      <c r="G21" s="155"/>
      <c r="H21" s="156">
        <f t="shared" si="76"/>
        <v>0</v>
      </c>
      <c r="I21" s="153"/>
      <c r="J21" s="154"/>
      <c r="K21" s="154"/>
      <c r="L21" s="155"/>
      <c r="M21" s="156">
        <f t="shared" si="77"/>
        <v>0</v>
      </c>
      <c r="N21" s="153"/>
      <c r="O21" s="154"/>
      <c r="P21" s="154"/>
      <c r="Q21" s="155"/>
      <c r="R21" s="156">
        <f t="shared" si="78"/>
        <v>0</v>
      </c>
      <c r="S21" s="153"/>
      <c r="T21" s="154">
        <v>1.0</v>
      </c>
      <c r="U21" s="154">
        <v>2.0</v>
      </c>
      <c r="V21" s="155"/>
      <c r="W21" s="156">
        <f t="shared" si="79"/>
        <v>3</v>
      </c>
      <c r="X21" s="153"/>
      <c r="Y21" s="154">
        <v>1.0</v>
      </c>
      <c r="Z21" s="154">
        <v>2.0</v>
      </c>
      <c r="AA21" s="155"/>
      <c r="AB21" s="156">
        <f t="shared" si="80"/>
        <v>3</v>
      </c>
      <c r="AC21" s="153"/>
      <c r="AD21" s="154">
        <v>1.0</v>
      </c>
      <c r="AE21" s="154">
        <v>2.0</v>
      </c>
      <c r="AF21" s="155"/>
      <c r="AG21" s="156">
        <f t="shared" si="81"/>
        <v>3</v>
      </c>
      <c r="AH21" s="153"/>
      <c r="AI21" s="154"/>
      <c r="AJ21" s="154"/>
      <c r="AK21" s="155"/>
      <c r="AL21" s="156">
        <f t="shared" si="82"/>
        <v>0</v>
      </c>
      <c r="AM21" s="153"/>
      <c r="AN21" s="154"/>
      <c r="AO21" s="154"/>
      <c r="AP21" s="155"/>
      <c r="AQ21" s="156">
        <f t="shared" si="83"/>
        <v>0</v>
      </c>
      <c r="AR21" s="153"/>
      <c r="AS21" s="154"/>
      <c r="AT21" s="154"/>
      <c r="AU21" s="155"/>
      <c r="AV21" s="156">
        <f t="shared" si="84"/>
        <v>0</v>
      </c>
      <c r="AW21" s="153"/>
      <c r="AX21" s="154">
        <v>1.0</v>
      </c>
      <c r="AY21" s="154">
        <v>2.0</v>
      </c>
      <c r="AZ21" s="155"/>
      <c r="BA21" s="156">
        <f t="shared" si="85"/>
        <v>3</v>
      </c>
      <c r="BB21" s="153"/>
      <c r="BC21" s="154">
        <v>1.0</v>
      </c>
      <c r="BD21" s="154">
        <v>2.0</v>
      </c>
      <c r="BE21" s="155"/>
      <c r="BF21" s="156">
        <f t="shared" si="86"/>
        <v>3</v>
      </c>
      <c r="BG21" s="153"/>
      <c r="BH21" s="154">
        <v>1.0</v>
      </c>
      <c r="BI21" s="154">
        <v>2.0</v>
      </c>
      <c r="BJ21" s="155"/>
      <c r="BK21" s="156">
        <f t="shared" si="87"/>
        <v>3</v>
      </c>
      <c r="BL21" s="153"/>
      <c r="BM21" s="154"/>
      <c r="BN21" s="154"/>
      <c r="BO21" s="155"/>
      <c r="BP21" s="156">
        <f t="shared" si="88"/>
        <v>0</v>
      </c>
      <c r="BQ21" s="153"/>
      <c r="BR21" s="154"/>
      <c r="BS21" s="154"/>
      <c r="BT21" s="155"/>
      <c r="BU21" s="156">
        <f t="shared" si="89"/>
        <v>0</v>
      </c>
      <c r="BV21" s="153"/>
      <c r="BW21" s="154"/>
      <c r="BX21" s="154"/>
      <c r="BY21" s="155"/>
      <c r="BZ21" s="156">
        <f t="shared" si="90"/>
        <v>0</v>
      </c>
      <c r="CA21" s="153"/>
      <c r="CB21" s="154">
        <v>1.0</v>
      </c>
      <c r="CC21" s="154">
        <v>2.0</v>
      </c>
      <c r="CD21" s="155"/>
      <c r="CE21" s="156">
        <f t="shared" si="91"/>
        <v>3</v>
      </c>
      <c r="CF21" s="153"/>
      <c r="CG21" s="154">
        <v>1.0</v>
      </c>
      <c r="CH21" s="154">
        <v>2.0</v>
      </c>
      <c r="CI21" s="155"/>
      <c r="CJ21" s="156">
        <f t="shared" si="92"/>
        <v>3</v>
      </c>
      <c r="CK21" s="153"/>
      <c r="CL21" s="154">
        <v>1.0</v>
      </c>
      <c r="CM21" s="154">
        <v>2.0</v>
      </c>
      <c r="CN21" s="155"/>
      <c r="CO21" s="156">
        <f t="shared" si="93"/>
        <v>3</v>
      </c>
      <c r="CP21" s="153"/>
      <c r="CQ21" s="154"/>
      <c r="CR21" s="154"/>
      <c r="CS21" s="155"/>
      <c r="CT21" s="156">
        <f t="shared" si="94"/>
        <v>0</v>
      </c>
      <c r="CU21" s="153"/>
      <c r="CV21" s="154"/>
      <c r="CW21" s="154"/>
      <c r="CX21" s="155"/>
      <c r="CY21" s="156">
        <f t="shared" si="95"/>
        <v>0</v>
      </c>
      <c r="CZ21" s="153"/>
      <c r="DA21" s="154"/>
      <c r="DB21" s="154"/>
      <c r="DC21" s="155"/>
      <c r="DD21" s="156">
        <f t="shared" si="96"/>
        <v>0</v>
      </c>
      <c r="DE21" s="153"/>
      <c r="DF21" s="154">
        <v>1.0</v>
      </c>
      <c r="DG21" s="154">
        <v>2.0</v>
      </c>
      <c r="DH21" s="155"/>
      <c r="DI21" s="156">
        <f t="shared" si="97"/>
        <v>3</v>
      </c>
      <c r="DJ21" s="153"/>
      <c r="DK21" s="154">
        <v>1.0</v>
      </c>
      <c r="DL21" s="154">
        <v>2.0</v>
      </c>
      <c r="DM21" s="155"/>
      <c r="DN21" s="156">
        <f t="shared" si="98"/>
        <v>3</v>
      </c>
      <c r="DO21" s="153"/>
      <c r="DP21" s="154">
        <v>1.0</v>
      </c>
      <c r="DQ21" s="154">
        <v>2.0</v>
      </c>
      <c r="DR21" s="155"/>
      <c r="DS21" s="156">
        <f t="shared" si="99"/>
        <v>3</v>
      </c>
      <c r="DT21" s="153"/>
      <c r="DU21" s="156">
        <f t="shared" si="100"/>
        <v>0</v>
      </c>
      <c r="DV21" s="154">
        <f t="shared" si="101"/>
        <v>6</v>
      </c>
      <c r="DW21" s="163" t="str">
        <f t="shared" si="102"/>
        <v>#DIV/0!</v>
      </c>
      <c r="DX21" s="153"/>
      <c r="DY21" s="156">
        <f t="shared" si="103"/>
        <v>0</v>
      </c>
      <c r="DZ21" s="154">
        <f t="shared" si="104"/>
        <v>6</v>
      </c>
      <c r="EA21" s="163" t="str">
        <f t="shared" si="105"/>
        <v>#DIV/0!</v>
      </c>
      <c r="EB21" s="153"/>
      <c r="EC21" s="156">
        <f t="shared" si="106"/>
        <v>0</v>
      </c>
      <c r="ED21" s="154">
        <f t="shared" si="107"/>
        <v>6</v>
      </c>
      <c r="EE21" s="163" t="str">
        <f t="shared" si="108"/>
        <v>#DIV/0!</v>
      </c>
      <c r="EF21" s="153"/>
      <c r="EG21" s="156">
        <f t="shared" si="109"/>
        <v>2</v>
      </c>
      <c r="EH21" s="154">
        <f t="shared" si="110"/>
        <v>0</v>
      </c>
      <c r="EI21" s="163">
        <f t="shared" si="111"/>
        <v>0</v>
      </c>
      <c r="EJ21" s="153"/>
      <c r="EK21" s="156">
        <f t="shared" si="112"/>
        <v>2</v>
      </c>
      <c r="EL21" s="154">
        <f t="shared" si="113"/>
        <v>6</v>
      </c>
      <c r="EM21" s="163">
        <f t="shared" si="114"/>
        <v>3</v>
      </c>
      <c r="EN21" s="153"/>
      <c r="EO21" s="156">
        <f t="shared" ref="EO21:EP21" si="123">SUM(CL21,DP21)</f>
        <v>2</v>
      </c>
      <c r="EP21" s="156">
        <f t="shared" si="123"/>
        <v>4</v>
      </c>
      <c r="EQ21" s="163">
        <f t="shared" si="116"/>
        <v>2</v>
      </c>
      <c r="ER21" s="153"/>
      <c r="ES21" s="156">
        <f t="shared" ref="ES21:ET21" si="124">SUM(DU21,EG21)</f>
        <v>2</v>
      </c>
      <c r="ET21" s="154">
        <f t="shared" si="124"/>
        <v>6</v>
      </c>
      <c r="EU21" s="163">
        <f t="shared" si="118"/>
        <v>3</v>
      </c>
      <c r="EV21" s="153"/>
      <c r="EW21" s="156">
        <f t="shared" ref="EW21:EX21" si="125">SUM(DY21,EK21)</f>
        <v>2</v>
      </c>
      <c r="EX21" s="154">
        <f t="shared" si="125"/>
        <v>12</v>
      </c>
      <c r="EY21" s="163">
        <f t="shared" si="120"/>
        <v>6</v>
      </c>
      <c r="EZ21" s="153"/>
      <c r="FA21" s="156">
        <f t="shared" ref="FA21:FB21" si="126">SUM(EC21,EO21)</f>
        <v>2</v>
      </c>
      <c r="FB21" s="154">
        <f t="shared" si="126"/>
        <v>10</v>
      </c>
      <c r="FC21" s="163">
        <f t="shared" si="122"/>
        <v>5</v>
      </c>
      <c r="FD21" s="153"/>
      <c r="FE21" s="4"/>
      <c r="FF21" s="164"/>
      <c r="FG21" s="4"/>
      <c r="FH21" s="20"/>
      <c r="FI21" s="20"/>
      <c r="FJ21" s="4"/>
      <c r="FK21" s="4"/>
      <c r="FL21" s="20"/>
      <c r="FM21" s="20"/>
      <c r="FN21" s="4"/>
      <c r="FO21" s="4"/>
      <c r="FP21" s="4"/>
      <c r="FQ21" s="4"/>
      <c r="FR21" s="4"/>
      <c r="FS21" s="1"/>
      <c r="FT21" s="1"/>
    </row>
    <row r="22" ht="15.75" customHeight="1">
      <c r="A22" s="169"/>
      <c r="B22" s="168"/>
      <c r="C22" s="152"/>
      <c r="D22" s="153"/>
      <c r="E22" s="154"/>
      <c r="F22" s="154"/>
      <c r="G22" s="154"/>
      <c r="H22" s="156">
        <f t="shared" si="76"/>
        <v>0</v>
      </c>
      <c r="I22" s="153"/>
      <c r="J22" s="154"/>
      <c r="K22" s="154"/>
      <c r="L22" s="154"/>
      <c r="M22" s="156">
        <f t="shared" si="77"/>
        <v>0</v>
      </c>
      <c r="N22" s="153"/>
      <c r="O22" s="154"/>
      <c r="P22" s="154"/>
      <c r="Q22" s="154"/>
      <c r="R22" s="156">
        <f t="shared" si="78"/>
        <v>0</v>
      </c>
      <c r="S22" s="153"/>
      <c r="T22" s="154"/>
      <c r="U22" s="154"/>
      <c r="V22" s="154"/>
      <c r="W22" s="156">
        <f t="shared" si="79"/>
        <v>0</v>
      </c>
      <c r="X22" s="153"/>
      <c r="Y22" s="154"/>
      <c r="Z22" s="154"/>
      <c r="AA22" s="154"/>
      <c r="AB22" s="156">
        <f t="shared" si="80"/>
        <v>0</v>
      </c>
      <c r="AC22" s="153"/>
      <c r="AD22" s="154"/>
      <c r="AE22" s="154"/>
      <c r="AF22" s="154"/>
      <c r="AG22" s="156">
        <f t="shared" si="81"/>
        <v>0</v>
      </c>
      <c r="AH22" s="153"/>
      <c r="AI22" s="154"/>
      <c r="AJ22" s="154"/>
      <c r="AK22" s="154"/>
      <c r="AL22" s="156">
        <f t="shared" si="82"/>
        <v>0</v>
      </c>
      <c r="AM22" s="153"/>
      <c r="AN22" s="154"/>
      <c r="AO22" s="154"/>
      <c r="AP22" s="154"/>
      <c r="AQ22" s="156">
        <f t="shared" si="83"/>
        <v>0</v>
      </c>
      <c r="AR22" s="153"/>
      <c r="AS22" s="154"/>
      <c r="AT22" s="154"/>
      <c r="AU22" s="154"/>
      <c r="AV22" s="156">
        <f t="shared" si="84"/>
        <v>0</v>
      </c>
      <c r="AW22" s="153"/>
      <c r="AX22" s="154"/>
      <c r="AY22" s="154"/>
      <c r="AZ22" s="154"/>
      <c r="BA22" s="156">
        <f t="shared" si="85"/>
        <v>0</v>
      </c>
      <c r="BB22" s="153"/>
      <c r="BC22" s="154"/>
      <c r="BD22" s="154"/>
      <c r="BE22" s="154"/>
      <c r="BF22" s="156">
        <f t="shared" si="86"/>
        <v>0</v>
      </c>
      <c r="BG22" s="153"/>
      <c r="BH22" s="154"/>
      <c r="BI22" s="154"/>
      <c r="BJ22" s="154"/>
      <c r="BK22" s="156">
        <f t="shared" si="87"/>
        <v>0</v>
      </c>
      <c r="BL22" s="153"/>
      <c r="BM22" s="154"/>
      <c r="BN22" s="154"/>
      <c r="BO22" s="154"/>
      <c r="BP22" s="156">
        <f t="shared" si="88"/>
        <v>0</v>
      </c>
      <c r="BQ22" s="153"/>
      <c r="BR22" s="154"/>
      <c r="BS22" s="154"/>
      <c r="BT22" s="154"/>
      <c r="BU22" s="156">
        <f t="shared" si="89"/>
        <v>0</v>
      </c>
      <c r="BV22" s="153"/>
      <c r="BW22" s="154"/>
      <c r="BX22" s="154"/>
      <c r="BY22" s="154"/>
      <c r="BZ22" s="156">
        <f t="shared" si="90"/>
        <v>0</v>
      </c>
      <c r="CA22" s="153"/>
      <c r="CB22" s="154"/>
      <c r="CC22" s="154"/>
      <c r="CD22" s="154"/>
      <c r="CE22" s="156">
        <f t="shared" si="91"/>
        <v>0</v>
      </c>
      <c r="CF22" s="153"/>
      <c r="CG22" s="154"/>
      <c r="CH22" s="154"/>
      <c r="CI22" s="154"/>
      <c r="CJ22" s="156">
        <f t="shared" si="92"/>
        <v>0</v>
      </c>
      <c r="CK22" s="153"/>
      <c r="CL22" s="154"/>
      <c r="CM22" s="154"/>
      <c r="CN22" s="154"/>
      <c r="CO22" s="156">
        <f t="shared" si="93"/>
        <v>0</v>
      </c>
      <c r="CP22" s="153"/>
      <c r="CQ22" s="154"/>
      <c r="CR22" s="154"/>
      <c r="CS22" s="154"/>
      <c r="CT22" s="156">
        <f t="shared" si="94"/>
        <v>0</v>
      </c>
      <c r="CU22" s="153"/>
      <c r="CV22" s="154"/>
      <c r="CW22" s="154"/>
      <c r="CX22" s="154"/>
      <c r="CY22" s="156">
        <f t="shared" si="95"/>
        <v>0</v>
      </c>
      <c r="CZ22" s="153"/>
      <c r="DA22" s="154"/>
      <c r="DB22" s="154"/>
      <c r="DC22" s="154"/>
      <c r="DD22" s="156">
        <f t="shared" si="96"/>
        <v>0</v>
      </c>
      <c r="DE22" s="153"/>
      <c r="DF22" s="154"/>
      <c r="DG22" s="154"/>
      <c r="DH22" s="154"/>
      <c r="DI22" s="156">
        <f t="shared" si="97"/>
        <v>0</v>
      </c>
      <c r="DJ22" s="153"/>
      <c r="DK22" s="154"/>
      <c r="DL22" s="154"/>
      <c r="DM22" s="154"/>
      <c r="DN22" s="156">
        <f t="shared" si="98"/>
        <v>0</v>
      </c>
      <c r="DO22" s="153"/>
      <c r="DP22" s="154"/>
      <c r="DQ22" s="154"/>
      <c r="DR22" s="154"/>
      <c r="DS22" s="156">
        <f t="shared" si="99"/>
        <v>0</v>
      </c>
      <c r="DT22" s="153"/>
      <c r="DU22" s="156">
        <f t="shared" si="100"/>
        <v>0</v>
      </c>
      <c r="DV22" s="154">
        <f t="shared" si="101"/>
        <v>0</v>
      </c>
      <c r="DW22" s="163" t="str">
        <f t="shared" si="102"/>
        <v>#DIV/0!</v>
      </c>
      <c r="DX22" s="153"/>
      <c r="DY22" s="156">
        <f t="shared" si="103"/>
        <v>0</v>
      </c>
      <c r="DZ22" s="154">
        <f t="shared" si="104"/>
        <v>0</v>
      </c>
      <c r="EA22" s="163" t="str">
        <f t="shared" si="105"/>
        <v>#DIV/0!</v>
      </c>
      <c r="EB22" s="153"/>
      <c r="EC22" s="156">
        <f t="shared" si="106"/>
        <v>0</v>
      </c>
      <c r="ED22" s="154">
        <f t="shared" si="107"/>
        <v>0</v>
      </c>
      <c r="EE22" s="163" t="str">
        <f t="shared" si="108"/>
        <v>#DIV/0!</v>
      </c>
      <c r="EF22" s="153"/>
      <c r="EG22" s="156">
        <f t="shared" si="109"/>
        <v>0</v>
      </c>
      <c r="EH22" s="154">
        <f t="shared" si="110"/>
        <v>0</v>
      </c>
      <c r="EI22" s="163" t="str">
        <f t="shared" si="111"/>
        <v>#DIV/0!</v>
      </c>
      <c r="EJ22" s="153"/>
      <c r="EK22" s="156">
        <f t="shared" si="112"/>
        <v>0</v>
      </c>
      <c r="EL22" s="154">
        <f t="shared" si="113"/>
        <v>0</v>
      </c>
      <c r="EM22" s="163" t="str">
        <f t="shared" si="114"/>
        <v>#DIV/0!</v>
      </c>
      <c r="EN22" s="153"/>
      <c r="EO22" s="156">
        <f t="shared" ref="EO22:EP22" si="127">SUM(CL22,DP22)</f>
        <v>0</v>
      </c>
      <c r="EP22" s="156">
        <f t="shared" si="127"/>
        <v>0</v>
      </c>
      <c r="EQ22" s="163" t="str">
        <f t="shared" si="116"/>
        <v>#DIV/0!</v>
      </c>
      <c r="ER22" s="153"/>
      <c r="ES22" s="156">
        <f t="shared" ref="ES22:ET22" si="128">SUM(DU22,EG22)</f>
        <v>0</v>
      </c>
      <c r="ET22" s="154">
        <f t="shared" si="128"/>
        <v>0</v>
      </c>
      <c r="EU22" s="163" t="str">
        <f t="shared" si="118"/>
        <v>#DIV/0!</v>
      </c>
      <c r="EV22" s="153"/>
      <c r="EW22" s="156">
        <f t="shared" ref="EW22:EX22" si="129">SUM(DY22,EK22)</f>
        <v>0</v>
      </c>
      <c r="EX22" s="154">
        <f t="shared" si="129"/>
        <v>0</v>
      </c>
      <c r="EY22" s="163" t="str">
        <f t="shared" si="120"/>
        <v>#DIV/0!</v>
      </c>
      <c r="EZ22" s="153"/>
      <c r="FA22" s="156">
        <f t="shared" ref="FA22:FB22" si="130">SUM(EC22,EO22)</f>
        <v>0</v>
      </c>
      <c r="FB22" s="154">
        <f t="shared" si="130"/>
        <v>0</v>
      </c>
      <c r="FC22" s="163" t="str">
        <f t="shared" si="122"/>
        <v>#DIV/0!</v>
      </c>
      <c r="FD22" s="153"/>
      <c r="FE22" s="4"/>
      <c r="FF22" s="164"/>
      <c r="FG22" s="4"/>
      <c r="FH22" s="20"/>
      <c r="FI22" s="20"/>
      <c r="FJ22" s="4"/>
      <c r="FK22" s="4"/>
      <c r="FL22" s="20"/>
      <c r="FM22" s="20"/>
      <c r="FN22" s="4"/>
      <c r="FO22" s="4"/>
      <c r="FP22" s="4"/>
      <c r="FQ22" s="4"/>
      <c r="FR22" s="4"/>
      <c r="FS22" s="1"/>
      <c r="FT22" s="1"/>
    </row>
    <row r="23" ht="15.75" customHeight="1">
      <c r="A23" s="167"/>
      <c r="B23" s="168"/>
      <c r="C23" s="152"/>
      <c r="D23" s="153"/>
      <c r="E23" s="154"/>
      <c r="F23" s="154"/>
      <c r="G23" s="154"/>
      <c r="H23" s="156">
        <f t="shared" si="76"/>
        <v>0</v>
      </c>
      <c r="I23" s="153"/>
      <c r="J23" s="154"/>
      <c r="K23" s="154"/>
      <c r="L23" s="154"/>
      <c r="M23" s="156">
        <f t="shared" si="77"/>
        <v>0</v>
      </c>
      <c r="N23" s="153"/>
      <c r="O23" s="154"/>
      <c r="P23" s="154"/>
      <c r="Q23" s="154"/>
      <c r="R23" s="156">
        <f t="shared" si="78"/>
        <v>0</v>
      </c>
      <c r="S23" s="153"/>
      <c r="T23" s="154"/>
      <c r="U23" s="154"/>
      <c r="V23" s="154"/>
      <c r="W23" s="156">
        <f t="shared" si="79"/>
        <v>0</v>
      </c>
      <c r="X23" s="153"/>
      <c r="Y23" s="154"/>
      <c r="Z23" s="154"/>
      <c r="AA23" s="154"/>
      <c r="AB23" s="156">
        <f t="shared" si="80"/>
        <v>0</v>
      </c>
      <c r="AC23" s="153"/>
      <c r="AD23" s="154"/>
      <c r="AE23" s="154"/>
      <c r="AF23" s="154"/>
      <c r="AG23" s="156">
        <f t="shared" si="81"/>
        <v>0</v>
      </c>
      <c r="AH23" s="153"/>
      <c r="AI23" s="154"/>
      <c r="AJ23" s="154"/>
      <c r="AK23" s="154"/>
      <c r="AL23" s="156">
        <f t="shared" si="82"/>
        <v>0</v>
      </c>
      <c r="AM23" s="153"/>
      <c r="AN23" s="154"/>
      <c r="AO23" s="154"/>
      <c r="AP23" s="154"/>
      <c r="AQ23" s="156">
        <f t="shared" si="83"/>
        <v>0</v>
      </c>
      <c r="AR23" s="153"/>
      <c r="AS23" s="154"/>
      <c r="AT23" s="154"/>
      <c r="AU23" s="154"/>
      <c r="AV23" s="156">
        <f t="shared" si="84"/>
        <v>0</v>
      </c>
      <c r="AW23" s="153"/>
      <c r="AX23" s="154"/>
      <c r="AY23" s="154"/>
      <c r="AZ23" s="154"/>
      <c r="BA23" s="156">
        <f t="shared" si="85"/>
        <v>0</v>
      </c>
      <c r="BB23" s="153"/>
      <c r="BC23" s="154"/>
      <c r="BD23" s="154"/>
      <c r="BE23" s="154"/>
      <c r="BF23" s="156">
        <f t="shared" si="86"/>
        <v>0</v>
      </c>
      <c r="BG23" s="153"/>
      <c r="BH23" s="154"/>
      <c r="BI23" s="154"/>
      <c r="BJ23" s="154"/>
      <c r="BK23" s="156">
        <f t="shared" si="87"/>
        <v>0</v>
      </c>
      <c r="BL23" s="153"/>
      <c r="BM23" s="154"/>
      <c r="BN23" s="154"/>
      <c r="BO23" s="154"/>
      <c r="BP23" s="156">
        <f t="shared" si="88"/>
        <v>0</v>
      </c>
      <c r="BQ23" s="153"/>
      <c r="BR23" s="154"/>
      <c r="BS23" s="154"/>
      <c r="BT23" s="154"/>
      <c r="BU23" s="156">
        <f t="shared" si="89"/>
        <v>0</v>
      </c>
      <c r="BV23" s="153"/>
      <c r="BW23" s="154"/>
      <c r="BX23" s="154"/>
      <c r="BY23" s="154"/>
      <c r="BZ23" s="156">
        <f t="shared" si="90"/>
        <v>0</v>
      </c>
      <c r="CA23" s="153"/>
      <c r="CB23" s="154"/>
      <c r="CC23" s="154"/>
      <c r="CD23" s="154"/>
      <c r="CE23" s="156">
        <f t="shared" si="91"/>
        <v>0</v>
      </c>
      <c r="CF23" s="153"/>
      <c r="CG23" s="154"/>
      <c r="CH23" s="154"/>
      <c r="CI23" s="154"/>
      <c r="CJ23" s="156">
        <f t="shared" si="92"/>
        <v>0</v>
      </c>
      <c r="CK23" s="153"/>
      <c r="CL23" s="154"/>
      <c r="CM23" s="154"/>
      <c r="CN23" s="154"/>
      <c r="CO23" s="156">
        <f t="shared" si="93"/>
        <v>0</v>
      </c>
      <c r="CP23" s="153"/>
      <c r="CQ23" s="154"/>
      <c r="CR23" s="154"/>
      <c r="CS23" s="154"/>
      <c r="CT23" s="156">
        <f t="shared" si="94"/>
        <v>0</v>
      </c>
      <c r="CU23" s="153"/>
      <c r="CV23" s="154"/>
      <c r="CW23" s="154"/>
      <c r="CX23" s="154"/>
      <c r="CY23" s="156">
        <f t="shared" si="95"/>
        <v>0</v>
      </c>
      <c r="CZ23" s="153"/>
      <c r="DA23" s="154"/>
      <c r="DB23" s="154"/>
      <c r="DC23" s="154"/>
      <c r="DD23" s="156">
        <f t="shared" si="96"/>
        <v>0</v>
      </c>
      <c r="DE23" s="153"/>
      <c r="DF23" s="154"/>
      <c r="DG23" s="154"/>
      <c r="DH23" s="154"/>
      <c r="DI23" s="156">
        <f t="shared" si="97"/>
        <v>0</v>
      </c>
      <c r="DJ23" s="153"/>
      <c r="DK23" s="154"/>
      <c r="DL23" s="154"/>
      <c r="DM23" s="154"/>
      <c r="DN23" s="156">
        <f t="shared" si="98"/>
        <v>0</v>
      </c>
      <c r="DO23" s="153"/>
      <c r="DP23" s="154"/>
      <c r="DQ23" s="154"/>
      <c r="DR23" s="154"/>
      <c r="DS23" s="156">
        <f t="shared" si="99"/>
        <v>0</v>
      </c>
      <c r="DT23" s="153"/>
      <c r="DU23" s="156">
        <f t="shared" si="100"/>
        <v>0</v>
      </c>
      <c r="DV23" s="154">
        <f t="shared" si="101"/>
        <v>0</v>
      </c>
      <c r="DW23" s="163" t="str">
        <f t="shared" si="102"/>
        <v>#DIV/0!</v>
      </c>
      <c r="DX23" s="153"/>
      <c r="DY23" s="156">
        <f t="shared" si="103"/>
        <v>0</v>
      </c>
      <c r="DZ23" s="154">
        <f t="shared" si="104"/>
        <v>0</v>
      </c>
      <c r="EA23" s="163" t="str">
        <f t="shared" si="105"/>
        <v>#DIV/0!</v>
      </c>
      <c r="EB23" s="153"/>
      <c r="EC23" s="156">
        <f t="shared" si="106"/>
        <v>0</v>
      </c>
      <c r="ED23" s="154">
        <f t="shared" si="107"/>
        <v>0</v>
      </c>
      <c r="EE23" s="163" t="str">
        <f t="shared" si="108"/>
        <v>#DIV/0!</v>
      </c>
      <c r="EF23" s="153"/>
      <c r="EG23" s="156">
        <f t="shared" si="109"/>
        <v>0</v>
      </c>
      <c r="EH23" s="154">
        <f t="shared" si="110"/>
        <v>0</v>
      </c>
      <c r="EI23" s="163" t="str">
        <f t="shared" si="111"/>
        <v>#DIV/0!</v>
      </c>
      <c r="EJ23" s="153"/>
      <c r="EK23" s="156">
        <f t="shared" si="112"/>
        <v>0</v>
      </c>
      <c r="EL23" s="154">
        <f t="shared" si="113"/>
        <v>0</v>
      </c>
      <c r="EM23" s="163" t="str">
        <f t="shared" si="114"/>
        <v>#DIV/0!</v>
      </c>
      <c r="EN23" s="153"/>
      <c r="EO23" s="156">
        <f t="shared" ref="EO23:EP23" si="131">SUM(CL23,DP23)</f>
        <v>0</v>
      </c>
      <c r="EP23" s="156">
        <f t="shared" si="131"/>
        <v>0</v>
      </c>
      <c r="EQ23" s="163" t="str">
        <f t="shared" si="116"/>
        <v>#DIV/0!</v>
      </c>
      <c r="ER23" s="153"/>
      <c r="ES23" s="156">
        <f t="shared" ref="ES23:ET23" si="132">SUM(DU23,EG23)</f>
        <v>0</v>
      </c>
      <c r="ET23" s="154">
        <f t="shared" si="132"/>
        <v>0</v>
      </c>
      <c r="EU23" s="163" t="str">
        <f t="shared" si="118"/>
        <v>#DIV/0!</v>
      </c>
      <c r="EV23" s="153"/>
      <c r="EW23" s="156">
        <f t="shared" ref="EW23:EX23" si="133">SUM(DY23,EK23)</f>
        <v>0</v>
      </c>
      <c r="EX23" s="154">
        <f t="shared" si="133"/>
        <v>0</v>
      </c>
      <c r="EY23" s="163" t="str">
        <f t="shared" si="120"/>
        <v>#DIV/0!</v>
      </c>
      <c r="EZ23" s="153"/>
      <c r="FA23" s="156">
        <f t="shared" ref="FA23:FB23" si="134">SUM(EC23,EO23)</f>
        <v>0</v>
      </c>
      <c r="FB23" s="154">
        <f t="shared" si="134"/>
        <v>0</v>
      </c>
      <c r="FC23" s="163" t="str">
        <f t="shared" si="122"/>
        <v>#DIV/0!</v>
      </c>
      <c r="FD23" s="153"/>
      <c r="FE23" s="4"/>
      <c r="FF23" s="164"/>
      <c r="FG23" s="4"/>
      <c r="FH23" s="20"/>
      <c r="FI23" s="20"/>
      <c r="FJ23" s="4"/>
      <c r="FK23" s="4"/>
      <c r="FL23" s="20"/>
      <c r="FM23" s="20"/>
      <c r="FN23" s="4"/>
      <c r="FO23" s="4"/>
      <c r="FP23" s="4"/>
      <c r="FQ23" s="4"/>
      <c r="FR23" s="4"/>
      <c r="FS23" s="1"/>
      <c r="FT23" s="1"/>
    </row>
    <row r="24" ht="15.75" customHeight="1">
      <c r="A24" s="167"/>
      <c r="B24" s="168"/>
      <c r="C24" s="152"/>
      <c r="D24" s="153"/>
      <c r="E24" s="154"/>
      <c r="F24" s="154"/>
      <c r="G24" s="154"/>
      <c r="H24" s="156">
        <f t="shared" si="76"/>
        <v>0</v>
      </c>
      <c r="I24" s="153"/>
      <c r="J24" s="154"/>
      <c r="K24" s="154"/>
      <c r="L24" s="154"/>
      <c r="M24" s="156">
        <f t="shared" si="77"/>
        <v>0</v>
      </c>
      <c r="N24" s="153"/>
      <c r="O24" s="154"/>
      <c r="P24" s="154"/>
      <c r="Q24" s="154"/>
      <c r="R24" s="156">
        <f t="shared" si="78"/>
        <v>0</v>
      </c>
      <c r="S24" s="153"/>
      <c r="T24" s="154"/>
      <c r="U24" s="154"/>
      <c r="V24" s="154"/>
      <c r="W24" s="156">
        <f t="shared" si="79"/>
        <v>0</v>
      </c>
      <c r="X24" s="153"/>
      <c r="Y24" s="154"/>
      <c r="Z24" s="154"/>
      <c r="AA24" s="154"/>
      <c r="AB24" s="156">
        <f t="shared" si="80"/>
        <v>0</v>
      </c>
      <c r="AC24" s="153"/>
      <c r="AD24" s="154"/>
      <c r="AE24" s="154"/>
      <c r="AF24" s="154"/>
      <c r="AG24" s="156">
        <f t="shared" si="81"/>
        <v>0</v>
      </c>
      <c r="AH24" s="153"/>
      <c r="AI24" s="154"/>
      <c r="AJ24" s="154"/>
      <c r="AK24" s="154"/>
      <c r="AL24" s="156">
        <f t="shared" si="82"/>
        <v>0</v>
      </c>
      <c r="AM24" s="153"/>
      <c r="AN24" s="154"/>
      <c r="AO24" s="154"/>
      <c r="AP24" s="154"/>
      <c r="AQ24" s="156">
        <f t="shared" si="83"/>
        <v>0</v>
      </c>
      <c r="AR24" s="153"/>
      <c r="AS24" s="154"/>
      <c r="AT24" s="154"/>
      <c r="AU24" s="154"/>
      <c r="AV24" s="156">
        <f t="shared" si="84"/>
        <v>0</v>
      </c>
      <c r="AW24" s="153"/>
      <c r="AX24" s="154"/>
      <c r="AY24" s="154"/>
      <c r="AZ24" s="154"/>
      <c r="BA24" s="156">
        <f t="shared" si="85"/>
        <v>0</v>
      </c>
      <c r="BB24" s="153"/>
      <c r="BC24" s="154"/>
      <c r="BD24" s="154"/>
      <c r="BE24" s="154"/>
      <c r="BF24" s="156">
        <f t="shared" si="86"/>
        <v>0</v>
      </c>
      <c r="BG24" s="153"/>
      <c r="BH24" s="154"/>
      <c r="BI24" s="154"/>
      <c r="BJ24" s="154"/>
      <c r="BK24" s="156">
        <f t="shared" si="87"/>
        <v>0</v>
      </c>
      <c r="BL24" s="153"/>
      <c r="BM24" s="154"/>
      <c r="BN24" s="154"/>
      <c r="BO24" s="154"/>
      <c r="BP24" s="156">
        <f t="shared" si="88"/>
        <v>0</v>
      </c>
      <c r="BQ24" s="153"/>
      <c r="BR24" s="154"/>
      <c r="BS24" s="154"/>
      <c r="BT24" s="154"/>
      <c r="BU24" s="156">
        <f t="shared" si="89"/>
        <v>0</v>
      </c>
      <c r="BV24" s="153"/>
      <c r="BW24" s="154"/>
      <c r="BX24" s="154"/>
      <c r="BY24" s="154"/>
      <c r="BZ24" s="156">
        <f t="shared" si="90"/>
        <v>0</v>
      </c>
      <c r="CA24" s="153"/>
      <c r="CB24" s="154"/>
      <c r="CC24" s="154"/>
      <c r="CD24" s="154"/>
      <c r="CE24" s="156">
        <f t="shared" si="91"/>
        <v>0</v>
      </c>
      <c r="CF24" s="153"/>
      <c r="CG24" s="154"/>
      <c r="CH24" s="154"/>
      <c r="CI24" s="154"/>
      <c r="CJ24" s="156">
        <f t="shared" si="92"/>
        <v>0</v>
      </c>
      <c r="CK24" s="153"/>
      <c r="CL24" s="154"/>
      <c r="CM24" s="154"/>
      <c r="CN24" s="154"/>
      <c r="CO24" s="156">
        <f t="shared" si="93"/>
        <v>0</v>
      </c>
      <c r="CP24" s="153"/>
      <c r="CQ24" s="154"/>
      <c r="CR24" s="154"/>
      <c r="CS24" s="154"/>
      <c r="CT24" s="156">
        <f t="shared" si="94"/>
        <v>0</v>
      </c>
      <c r="CU24" s="153"/>
      <c r="CV24" s="154"/>
      <c r="CW24" s="154"/>
      <c r="CX24" s="154"/>
      <c r="CY24" s="156">
        <f t="shared" si="95"/>
        <v>0</v>
      </c>
      <c r="CZ24" s="153"/>
      <c r="DA24" s="154"/>
      <c r="DB24" s="154"/>
      <c r="DC24" s="154"/>
      <c r="DD24" s="156">
        <f t="shared" si="96"/>
        <v>0</v>
      </c>
      <c r="DE24" s="153"/>
      <c r="DF24" s="154"/>
      <c r="DG24" s="154"/>
      <c r="DH24" s="154"/>
      <c r="DI24" s="156">
        <f t="shared" si="97"/>
        <v>0</v>
      </c>
      <c r="DJ24" s="153"/>
      <c r="DK24" s="154"/>
      <c r="DL24" s="154"/>
      <c r="DM24" s="154"/>
      <c r="DN24" s="156">
        <f t="shared" si="98"/>
        <v>0</v>
      </c>
      <c r="DO24" s="153"/>
      <c r="DP24" s="154"/>
      <c r="DQ24" s="154"/>
      <c r="DR24" s="154"/>
      <c r="DS24" s="156">
        <f t="shared" si="99"/>
        <v>0</v>
      </c>
      <c r="DT24" s="153"/>
      <c r="DU24" s="156">
        <f t="shared" si="100"/>
        <v>0</v>
      </c>
      <c r="DV24" s="154">
        <f t="shared" si="101"/>
        <v>0</v>
      </c>
      <c r="DW24" s="163" t="str">
        <f t="shared" si="102"/>
        <v>#DIV/0!</v>
      </c>
      <c r="DX24" s="153"/>
      <c r="DY24" s="156">
        <f t="shared" si="103"/>
        <v>0</v>
      </c>
      <c r="DZ24" s="154">
        <f t="shared" si="104"/>
        <v>0</v>
      </c>
      <c r="EA24" s="163" t="str">
        <f t="shared" si="105"/>
        <v>#DIV/0!</v>
      </c>
      <c r="EB24" s="153"/>
      <c r="EC24" s="156">
        <f t="shared" si="106"/>
        <v>0</v>
      </c>
      <c r="ED24" s="154">
        <f t="shared" si="107"/>
        <v>0</v>
      </c>
      <c r="EE24" s="163" t="str">
        <f t="shared" si="108"/>
        <v>#DIV/0!</v>
      </c>
      <c r="EF24" s="153"/>
      <c r="EG24" s="156">
        <f t="shared" si="109"/>
        <v>0</v>
      </c>
      <c r="EH24" s="154">
        <f t="shared" si="110"/>
        <v>0</v>
      </c>
      <c r="EI24" s="163" t="str">
        <f t="shared" si="111"/>
        <v>#DIV/0!</v>
      </c>
      <c r="EJ24" s="153"/>
      <c r="EK24" s="156">
        <f t="shared" si="112"/>
        <v>0</v>
      </c>
      <c r="EL24" s="154">
        <f t="shared" si="113"/>
        <v>0</v>
      </c>
      <c r="EM24" s="163" t="str">
        <f t="shared" si="114"/>
        <v>#DIV/0!</v>
      </c>
      <c r="EN24" s="153"/>
      <c r="EO24" s="156">
        <f t="shared" ref="EO24:EP24" si="135">SUM(CL24,DP24)</f>
        <v>0</v>
      </c>
      <c r="EP24" s="156">
        <f t="shared" si="135"/>
        <v>0</v>
      </c>
      <c r="EQ24" s="163" t="str">
        <f t="shared" si="116"/>
        <v>#DIV/0!</v>
      </c>
      <c r="ER24" s="153"/>
      <c r="ES24" s="156">
        <f t="shared" ref="ES24:ET24" si="136">SUM(DU24,EG24)</f>
        <v>0</v>
      </c>
      <c r="ET24" s="154">
        <f t="shared" si="136"/>
        <v>0</v>
      </c>
      <c r="EU24" s="163" t="str">
        <f t="shared" si="118"/>
        <v>#DIV/0!</v>
      </c>
      <c r="EV24" s="153"/>
      <c r="EW24" s="156">
        <f t="shared" ref="EW24:EX24" si="137">SUM(DY24,EK24)</f>
        <v>0</v>
      </c>
      <c r="EX24" s="154">
        <f t="shared" si="137"/>
        <v>0</v>
      </c>
      <c r="EY24" s="163" t="str">
        <f t="shared" si="120"/>
        <v>#DIV/0!</v>
      </c>
      <c r="EZ24" s="153"/>
      <c r="FA24" s="156">
        <f t="shared" ref="FA24:FB24" si="138">SUM(EC24,EO24)</f>
        <v>0</v>
      </c>
      <c r="FB24" s="154">
        <f t="shared" si="138"/>
        <v>0</v>
      </c>
      <c r="FC24" s="163" t="str">
        <f t="shared" si="122"/>
        <v>#DIV/0!</v>
      </c>
      <c r="FD24" s="153"/>
      <c r="FE24" s="4"/>
      <c r="FF24" s="164"/>
      <c r="FG24" s="4"/>
      <c r="FH24" s="20"/>
      <c r="FI24" s="20"/>
      <c r="FJ24" s="4"/>
      <c r="FK24" s="4"/>
      <c r="FL24" s="20"/>
      <c r="FM24" s="20"/>
      <c r="FN24" s="4"/>
      <c r="FO24" s="4"/>
      <c r="FP24" s="4"/>
      <c r="FQ24" s="4"/>
      <c r="FR24" s="4"/>
      <c r="FS24" s="1"/>
      <c r="FT24" s="1"/>
    </row>
    <row r="25" ht="15.75" customHeight="1">
      <c r="A25" s="167"/>
      <c r="B25" s="168"/>
      <c r="C25" s="152"/>
      <c r="D25" s="153"/>
      <c r="E25" s="154"/>
      <c r="F25" s="154"/>
      <c r="G25" s="154"/>
      <c r="H25" s="156">
        <f t="shared" si="76"/>
        <v>0</v>
      </c>
      <c r="I25" s="153"/>
      <c r="J25" s="154"/>
      <c r="K25" s="154"/>
      <c r="L25" s="154"/>
      <c r="M25" s="156">
        <f t="shared" si="77"/>
        <v>0</v>
      </c>
      <c r="N25" s="153"/>
      <c r="O25" s="154"/>
      <c r="P25" s="154"/>
      <c r="Q25" s="154"/>
      <c r="R25" s="156">
        <f t="shared" si="78"/>
        <v>0</v>
      </c>
      <c r="S25" s="153"/>
      <c r="T25" s="154"/>
      <c r="U25" s="154"/>
      <c r="V25" s="154"/>
      <c r="W25" s="156">
        <f t="shared" si="79"/>
        <v>0</v>
      </c>
      <c r="X25" s="153"/>
      <c r="Y25" s="154"/>
      <c r="Z25" s="154"/>
      <c r="AA25" s="154"/>
      <c r="AB25" s="156">
        <f t="shared" si="80"/>
        <v>0</v>
      </c>
      <c r="AC25" s="153"/>
      <c r="AD25" s="154"/>
      <c r="AE25" s="154"/>
      <c r="AF25" s="154"/>
      <c r="AG25" s="156">
        <f t="shared" si="81"/>
        <v>0</v>
      </c>
      <c r="AH25" s="153"/>
      <c r="AI25" s="154"/>
      <c r="AJ25" s="154"/>
      <c r="AK25" s="154"/>
      <c r="AL25" s="156">
        <f t="shared" si="82"/>
        <v>0</v>
      </c>
      <c r="AM25" s="153"/>
      <c r="AN25" s="154"/>
      <c r="AO25" s="154"/>
      <c r="AP25" s="154"/>
      <c r="AQ25" s="156">
        <f t="shared" si="83"/>
        <v>0</v>
      </c>
      <c r="AR25" s="153"/>
      <c r="AS25" s="154"/>
      <c r="AT25" s="154"/>
      <c r="AU25" s="154"/>
      <c r="AV25" s="156">
        <f t="shared" si="84"/>
        <v>0</v>
      </c>
      <c r="AW25" s="153"/>
      <c r="AX25" s="154"/>
      <c r="AY25" s="154"/>
      <c r="AZ25" s="154"/>
      <c r="BA25" s="156">
        <f t="shared" si="85"/>
        <v>0</v>
      </c>
      <c r="BB25" s="153"/>
      <c r="BC25" s="154"/>
      <c r="BD25" s="154"/>
      <c r="BE25" s="154"/>
      <c r="BF25" s="156">
        <f t="shared" si="86"/>
        <v>0</v>
      </c>
      <c r="BG25" s="153"/>
      <c r="BH25" s="154"/>
      <c r="BI25" s="154"/>
      <c r="BJ25" s="154"/>
      <c r="BK25" s="156">
        <f t="shared" si="87"/>
        <v>0</v>
      </c>
      <c r="BL25" s="153"/>
      <c r="BM25" s="154"/>
      <c r="BN25" s="154"/>
      <c r="BO25" s="154"/>
      <c r="BP25" s="156">
        <f t="shared" si="88"/>
        <v>0</v>
      </c>
      <c r="BQ25" s="153"/>
      <c r="BR25" s="154"/>
      <c r="BS25" s="154"/>
      <c r="BT25" s="154"/>
      <c r="BU25" s="156">
        <f t="shared" si="89"/>
        <v>0</v>
      </c>
      <c r="BV25" s="153"/>
      <c r="BW25" s="154"/>
      <c r="BX25" s="154"/>
      <c r="BY25" s="154"/>
      <c r="BZ25" s="156">
        <f t="shared" si="90"/>
        <v>0</v>
      </c>
      <c r="CA25" s="153"/>
      <c r="CB25" s="154"/>
      <c r="CC25" s="154"/>
      <c r="CD25" s="154"/>
      <c r="CE25" s="156">
        <f t="shared" si="91"/>
        <v>0</v>
      </c>
      <c r="CF25" s="153"/>
      <c r="CG25" s="154"/>
      <c r="CH25" s="154"/>
      <c r="CI25" s="154"/>
      <c r="CJ25" s="156">
        <f t="shared" si="92"/>
        <v>0</v>
      </c>
      <c r="CK25" s="153"/>
      <c r="CL25" s="154"/>
      <c r="CM25" s="154"/>
      <c r="CN25" s="154"/>
      <c r="CO25" s="156">
        <f t="shared" si="93"/>
        <v>0</v>
      </c>
      <c r="CP25" s="153"/>
      <c r="CQ25" s="154"/>
      <c r="CR25" s="154"/>
      <c r="CS25" s="154"/>
      <c r="CT25" s="156">
        <f t="shared" si="94"/>
        <v>0</v>
      </c>
      <c r="CU25" s="153"/>
      <c r="CV25" s="154"/>
      <c r="CW25" s="154"/>
      <c r="CX25" s="154"/>
      <c r="CY25" s="156">
        <f t="shared" si="95"/>
        <v>0</v>
      </c>
      <c r="CZ25" s="153"/>
      <c r="DA25" s="154"/>
      <c r="DB25" s="154"/>
      <c r="DC25" s="154"/>
      <c r="DD25" s="156">
        <f t="shared" si="96"/>
        <v>0</v>
      </c>
      <c r="DE25" s="153"/>
      <c r="DF25" s="154"/>
      <c r="DG25" s="154"/>
      <c r="DH25" s="154"/>
      <c r="DI25" s="156">
        <f t="shared" si="97"/>
        <v>0</v>
      </c>
      <c r="DJ25" s="153"/>
      <c r="DK25" s="154"/>
      <c r="DL25" s="154"/>
      <c r="DM25" s="154"/>
      <c r="DN25" s="156">
        <f t="shared" si="98"/>
        <v>0</v>
      </c>
      <c r="DO25" s="153"/>
      <c r="DP25" s="154"/>
      <c r="DQ25" s="154"/>
      <c r="DR25" s="154"/>
      <c r="DS25" s="156">
        <f t="shared" si="99"/>
        <v>0</v>
      </c>
      <c r="DT25" s="153"/>
      <c r="DU25" s="156">
        <f t="shared" si="100"/>
        <v>0</v>
      </c>
      <c r="DV25" s="154">
        <f t="shared" si="101"/>
        <v>0</v>
      </c>
      <c r="DW25" s="163" t="str">
        <f t="shared" si="102"/>
        <v>#DIV/0!</v>
      </c>
      <c r="DX25" s="153"/>
      <c r="DY25" s="156">
        <f t="shared" si="103"/>
        <v>0</v>
      </c>
      <c r="DZ25" s="154">
        <f t="shared" si="104"/>
        <v>0</v>
      </c>
      <c r="EA25" s="163" t="str">
        <f t="shared" si="105"/>
        <v>#DIV/0!</v>
      </c>
      <c r="EB25" s="153"/>
      <c r="EC25" s="156">
        <f t="shared" si="106"/>
        <v>0</v>
      </c>
      <c r="ED25" s="154">
        <f t="shared" si="107"/>
        <v>0</v>
      </c>
      <c r="EE25" s="163" t="str">
        <f t="shared" si="108"/>
        <v>#DIV/0!</v>
      </c>
      <c r="EF25" s="153"/>
      <c r="EG25" s="156">
        <f t="shared" si="109"/>
        <v>0</v>
      </c>
      <c r="EH25" s="154">
        <f t="shared" si="110"/>
        <v>0</v>
      </c>
      <c r="EI25" s="163" t="str">
        <f t="shared" si="111"/>
        <v>#DIV/0!</v>
      </c>
      <c r="EJ25" s="153"/>
      <c r="EK25" s="156">
        <f t="shared" si="112"/>
        <v>0</v>
      </c>
      <c r="EL25" s="154">
        <f t="shared" si="113"/>
        <v>0</v>
      </c>
      <c r="EM25" s="163" t="str">
        <f t="shared" si="114"/>
        <v>#DIV/0!</v>
      </c>
      <c r="EN25" s="153"/>
      <c r="EO25" s="156">
        <f t="shared" ref="EO25:EP25" si="139">SUM(CL25,DP25)</f>
        <v>0</v>
      </c>
      <c r="EP25" s="156">
        <f t="shared" si="139"/>
        <v>0</v>
      </c>
      <c r="EQ25" s="163" t="str">
        <f t="shared" si="116"/>
        <v>#DIV/0!</v>
      </c>
      <c r="ER25" s="153"/>
      <c r="ES25" s="156">
        <f t="shared" ref="ES25:ET25" si="140">SUM(DU25,EG25)</f>
        <v>0</v>
      </c>
      <c r="ET25" s="154">
        <f t="shared" si="140"/>
        <v>0</v>
      </c>
      <c r="EU25" s="163" t="str">
        <f t="shared" si="118"/>
        <v>#DIV/0!</v>
      </c>
      <c r="EV25" s="153"/>
      <c r="EW25" s="156">
        <f t="shared" ref="EW25:EX25" si="141">SUM(DY25,EK25)</f>
        <v>0</v>
      </c>
      <c r="EX25" s="154">
        <f t="shared" si="141"/>
        <v>0</v>
      </c>
      <c r="EY25" s="163" t="str">
        <f t="shared" si="120"/>
        <v>#DIV/0!</v>
      </c>
      <c r="EZ25" s="153"/>
      <c r="FA25" s="156">
        <f t="shared" ref="FA25:FB25" si="142">SUM(EC25,EO25)</f>
        <v>0</v>
      </c>
      <c r="FB25" s="154">
        <f t="shared" si="142"/>
        <v>0</v>
      </c>
      <c r="FC25" s="163" t="str">
        <f t="shared" si="122"/>
        <v>#DIV/0!</v>
      </c>
      <c r="FD25" s="153"/>
      <c r="FE25" s="4"/>
      <c r="FF25" s="164"/>
      <c r="FG25" s="4"/>
      <c r="FH25" s="20"/>
      <c r="FI25" s="20"/>
      <c r="FJ25" s="4"/>
      <c r="FK25" s="4"/>
      <c r="FL25" s="20"/>
      <c r="FM25" s="20"/>
      <c r="FN25" s="4"/>
      <c r="FO25" s="4"/>
      <c r="FP25" s="4"/>
      <c r="FQ25" s="4"/>
      <c r="FR25" s="4"/>
      <c r="FS25" s="1"/>
      <c r="FT25" s="1"/>
    </row>
    <row r="26" ht="15.75" customHeight="1">
      <c r="A26" s="115" t="s">
        <v>80</v>
      </c>
      <c r="B26" s="115"/>
      <c r="C26" s="173"/>
      <c r="D26" s="174"/>
      <c r="E26" s="115"/>
      <c r="F26" s="115"/>
      <c r="G26" s="115"/>
      <c r="H26" s="175">
        <f>SUM(H18:H24)</f>
        <v>6</v>
      </c>
      <c r="I26" s="174"/>
      <c r="J26" s="115"/>
      <c r="K26" s="115"/>
      <c r="L26" s="115"/>
      <c r="M26" s="175">
        <f>SUM(M18:M24)</f>
        <v>6</v>
      </c>
      <c r="N26" s="174"/>
      <c r="O26" s="115"/>
      <c r="P26" s="115"/>
      <c r="Q26" s="115"/>
      <c r="R26" s="175">
        <f>SUM(R18:R24)</f>
        <v>6</v>
      </c>
      <c r="S26" s="174"/>
      <c r="T26" s="115"/>
      <c r="U26" s="115"/>
      <c r="V26" s="115"/>
      <c r="W26" s="175">
        <f>SUM(W18:W24)</f>
        <v>4</v>
      </c>
      <c r="X26" s="174"/>
      <c r="Y26" s="115"/>
      <c r="Z26" s="115"/>
      <c r="AA26" s="115"/>
      <c r="AB26" s="175">
        <f>SUM(AB18:AB24)</f>
        <v>4</v>
      </c>
      <c r="AC26" s="174"/>
      <c r="AD26" s="115"/>
      <c r="AE26" s="115"/>
      <c r="AF26" s="115"/>
      <c r="AG26" s="175">
        <f>SUM(AG18:AG24)</f>
        <v>4</v>
      </c>
      <c r="AH26" s="174"/>
      <c r="AI26" s="115"/>
      <c r="AJ26" s="115"/>
      <c r="AK26" s="115"/>
      <c r="AL26" s="175">
        <f>SUM(AL18:AL24)</f>
        <v>6</v>
      </c>
      <c r="AM26" s="174"/>
      <c r="AN26" s="115"/>
      <c r="AO26" s="115"/>
      <c r="AP26" s="115"/>
      <c r="AQ26" s="175">
        <f>SUM(AQ18:AQ24)</f>
        <v>6</v>
      </c>
      <c r="AR26" s="174"/>
      <c r="AS26" s="115"/>
      <c r="AT26" s="115"/>
      <c r="AU26" s="115"/>
      <c r="AV26" s="175">
        <f>SUM(AV18:AV24)</f>
        <v>6</v>
      </c>
      <c r="AW26" s="174"/>
      <c r="AX26" s="115"/>
      <c r="AY26" s="115"/>
      <c r="AZ26" s="115"/>
      <c r="BA26" s="175">
        <f>SUM(BA18:BA24)</f>
        <v>4</v>
      </c>
      <c r="BB26" s="174"/>
      <c r="BC26" s="115"/>
      <c r="BD26" s="115"/>
      <c r="BE26" s="115"/>
      <c r="BF26" s="175">
        <f>SUM(BF18:BF24)</f>
        <v>4</v>
      </c>
      <c r="BG26" s="174"/>
      <c r="BH26" s="115"/>
      <c r="BI26" s="115"/>
      <c r="BJ26" s="115"/>
      <c r="BK26" s="175">
        <f>SUM(BK18:BK24)</f>
        <v>4</v>
      </c>
      <c r="BL26" s="174"/>
      <c r="BM26" s="115"/>
      <c r="BN26" s="115"/>
      <c r="BO26" s="115"/>
      <c r="BP26" s="175">
        <f>SUM(BP18:BP24)</f>
        <v>6</v>
      </c>
      <c r="BQ26" s="174"/>
      <c r="BR26" s="115"/>
      <c r="BS26" s="115"/>
      <c r="BT26" s="115"/>
      <c r="BU26" s="175">
        <f>SUM(BU18:BU24)</f>
        <v>6</v>
      </c>
      <c r="BV26" s="174"/>
      <c r="BW26" s="115"/>
      <c r="BX26" s="115"/>
      <c r="BY26" s="115"/>
      <c r="BZ26" s="175">
        <f>SUM(BZ18:BZ24)</f>
        <v>6</v>
      </c>
      <c r="CA26" s="174"/>
      <c r="CB26" s="115"/>
      <c r="CC26" s="115"/>
      <c r="CD26" s="115"/>
      <c r="CE26" s="175">
        <f>SUM(CE18:CE24)</f>
        <v>4</v>
      </c>
      <c r="CF26" s="174"/>
      <c r="CG26" s="115"/>
      <c r="CH26" s="115"/>
      <c r="CI26" s="115"/>
      <c r="CJ26" s="175">
        <f>SUM(CJ18:CJ24)</f>
        <v>4</v>
      </c>
      <c r="CK26" s="174"/>
      <c r="CL26" s="115"/>
      <c r="CM26" s="115"/>
      <c r="CN26" s="115"/>
      <c r="CO26" s="175">
        <f>SUM(CO18:CO24)</f>
        <v>4</v>
      </c>
      <c r="CP26" s="174"/>
      <c r="CQ26" s="115"/>
      <c r="CR26" s="115"/>
      <c r="CS26" s="115"/>
      <c r="CT26" s="175">
        <f>SUM(CT18:CT24)</f>
        <v>6</v>
      </c>
      <c r="CU26" s="174"/>
      <c r="CV26" s="115"/>
      <c r="CW26" s="115"/>
      <c r="CX26" s="115"/>
      <c r="CY26" s="175">
        <f>SUM(CY18:CY24)</f>
        <v>6</v>
      </c>
      <c r="CZ26" s="174"/>
      <c r="DA26" s="115"/>
      <c r="DB26" s="115"/>
      <c r="DC26" s="115"/>
      <c r="DD26" s="175">
        <f>SUM(DD18:DD24)</f>
        <v>6</v>
      </c>
      <c r="DE26" s="174"/>
      <c r="DF26" s="115"/>
      <c r="DG26" s="115"/>
      <c r="DH26" s="115"/>
      <c r="DI26" s="175">
        <f>SUM(DI18:DI24)</f>
        <v>4</v>
      </c>
      <c r="DJ26" s="174"/>
      <c r="DK26" s="115"/>
      <c r="DL26" s="115"/>
      <c r="DM26" s="115"/>
      <c r="DN26" s="175">
        <f>SUM(DN18:DN24)</f>
        <v>4</v>
      </c>
      <c r="DO26" s="174"/>
      <c r="DP26" s="115"/>
      <c r="DQ26" s="115"/>
      <c r="DR26" s="115"/>
      <c r="DS26" s="175">
        <f>SUM(DS18:DS24)</f>
        <v>4</v>
      </c>
      <c r="DT26" s="174"/>
      <c r="DU26" s="175"/>
      <c r="DV26" s="175"/>
      <c r="DW26" s="177" t="str">
        <f>AVERAGE(DW19:DW25)</f>
        <v>#DIV/0!</v>
      </c>
      <c r="DX26" s="174"/>
      <c r="DY26" s="175"/>
      <c r="DZ26" s="175"/>
      <c r="EA26" s="177" t="str">
        <f>AVERAGE(EA19:EA25)</f>
        <v>#DIV/0!</v>
      </c>
      <c r="EB26" s="174"/>
      <c r="EC26" s="175"/>
      <c r="ED26" s="175"/>
      <c r="EE26" s="177" t="str">
        <f>AVERAGE(EE19:EE25)</f>
        <v>#DIV/0!</v>
      </c>
      <c r="EF26" s="174"/>
      <c r="EG26" s="175"/>
      <c r="EH26" s="175"/>
      <c r="EI26" s="177" t="str">
        <f>AVERAGE(EI19:EI25)</f>
        <v>#DIV/0!</v>
      </c>
      <c r="EJ26" s="174"/>
      <c r="EK26" s="175"/>
      <c r="EL26" s="175"/>
      <c r="EM26" s="177" t="str">
        <f>AVERAGE(EM19:EM25)</f>
        <v>#DIV/0!</v>
      </c>
      <c r="EN26" s="174"/>
      <c r="EO26" s="175"/>
      <c r="EP26" s="175"/>
      <c r="EQ26" s="177" t="str">
        <f>AVERAGE(EQ19:EQ25)</f>
        <v>#DIV/0!</v>
      </c>
      <c r="ER26" s="174"/>
      <c r="ES26" s="175"/>
      <c r="ET26" s="175"/>
      <c r="EU26" s="177" t="str">
        <f>AVERAGE(EU19:EU25)</f>
        <v>#DIV/0!</v>
      </c>
      <c r="EV26" s="174"/>
      <c r="EW26" s="175"/>
      <c r="EX26" s="175"/>
      <c r="EY26" s="177" t="str">
        <f>AVERAGE(EY19:EY25)</f>
        <v>#DIV/0!</v>
      </c>
      <c r="EZ26" s="174"/>
      <c r="FA26" s="175"/>
      <c r="FB26" s="175"/>
      <c r="FC26" s="177" t="str">
        <f>AVERAGE(FC19:FC25)</f>
        <v>#DIV/0!</v>
      </c>
      <c r="FD26" s="174"/>
      <c r="FE26" s="4"/>
      <c r="FF26" s="20" t="str">
        <f t="shared" ref="FF26:FF27" si="143">SUM(FF17:FF24)</f>
        <v>#REF!</v>
      </c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20"/>
      <c r="FS26" s="4"/>
      <c r="FT26" s="4"/>
    </row>
    <row r="27" ht="15.75" customHeight="1">
      <c r="A27" s="130" t="s">
        <v>36</v>
      </c>
      <c r="B27" s="115"/>
      <c r="C27" s="173"/>
      <c r="D27" s="174"/>
      <c r="E27" s="115"/>
      <c r="F27" s="115"/>
      <c r="G27" s="115"/>
      <c r="H27" s="178">
        <f>SUM(H17,H26)</f>
        <v>12</v>
      </c>
      <c r="I27" s="174"/>
      <c r="J27" s="115"/>
      <c r="K27" s="115"/>
      <c r="L27" s="115"/>
      <c r="M27" s="178">
        <f>SUM(M17,M26)</f>
        <v>12</v>
      </c>
      <c r="N27" s="174"/>
      <c r="O27" s="115"/>
      <c r="P27" s="115"/>
      <c r="Q27" s="115"/>
      <c r="R27" s="178">
        <f>SUM(R17,R26)</f>
        <v>12</v>
      </c>
      <c r="S27" s="174"/>
      <c r="T27" s="115"/>
      <c r="U27" s="115"/>
      <c r="V27" s="115"/>
      <c r="W27" s="178">
        <f>SUM(W17,W26)</f>
        <v>7</v>
      </c>
      <c r="X27" s="174"/>
      <c r="Y27" s="115"/>
      <c r="Z27" s="115"/>
      <c r="AA27" s="115"/>
      <c r="AB27" s="178">
        <f>SUM(AB17,AB26)</f>
        <v>7</v>
      </c>
      <c r="AC27" s="174"/>
      <c r="AD27" s="115"/>
      <c r="AE27" s="115"/>
      <c r="AF27" s="115"/>
      <c r="AG27" s="178">
        <f>SUM(AG17,AG26)</f>
        <v>7</v>
      </c>
      <c r="AH27" s="174"/>
      <c r="AI27" s="115"/>
      <c r="AJ27" s="115"/>
      <c r="AK27" s="115"/>
      <c r="AL27" s="178">
        <f>SUM(AL17,AL26)</f>
        <v>12</v>
      </c>
      <c r="AM27" s="174"/>
      <c r="AN27" s="115"/>
      <c r="AO27" s="115"/>
      <c r="AP27" s="115"/>
      <c r="AQ27" s="178">
        <f>SUM(AQ17,AQ26)</f>
        <v>12</v>
      </c>
      <c r="AR27" s="174"/>
      <c r="AS27" s="115"/>
      <c r="AT27" s="115"/>
      <c r="AU27" s="115"/>
      <c r="AV27" s="178">
        <f>SUM(AV17,AV26)</f>
        <v>12</v>
      </c>
      <c r="AW27" s="174"/>
      <c r="AX27" s="115"/>
      <c r="AY27" s="115"/>
      <c r="AZ27" s="115"/>
      <c r="BA27" s="178">
        <f>SUM(BA17,BA26)</f>
        <v>7</v>
      </c>
      <c r="BB27" s="174"/>
      <c r="BC27" s="115"/>
      <c r="BD27" s="115"/>
      <c r="BE27" s="115"/>
      <c r="BF27" s="178">
        <f>SUM(BF17,BF26)</f>
        <v>7</v>
      </c>
      <c r="BG27" s="174"/>
      <c r="BH27" s="115"/>
      <c r="BI27" s="115"/>
      <c r="BJ27" s="115"/>
      <c r="BK27" s="178">
        <f>SUM(BK17,BK26)</f>
        <v>7</v>
      </c>
      <c r="BL27" s="174"/>
      <c r="BM27" s="115"/>
      <c r="BN27" s="115"/>
      <c r="BO27" s="115"/>
      <c r="BP27" s="178">
        <f>SUM(BP17,BP26)</f>
        <v>12</v>
      </c>
      <c r="BQ27" s="174"/>
      <c r="BR27" s="115"/>
      <c r="BS27" s="115"/>
      <c r="BT27" s="115"/>
      <c r="BU27" s="178">
        <f>SUM(BU17,BU26)</f>
        <v>12</v>
      </c>
      <c r="BV27" s="174"/>
      <c r="BW27" s="115"/>
      <c r="BX27" s="115"/>
      <c r="BY27" s="115"/>
      <c r="BZ27" s="178">
        <f>SUM(BZ17,BZ26)</f>
        <v>12</v>
      </c>
      <c r="CA27" s="174"/>
      <c r="CB27" s="115"/>
      <c r="CC27" s="115"/>
      <c r="CD27" s="115"/>
      <c r="CE27" s="178">
        <f>SUM(CE17,CE26)</f>
        <v>7</v>
      </c>
      <c r="CF27" s="174"/>
      <c r="CG27" s="115"/>
      <c r="CH27" s="115"/>
      <c r="CI27" s="115"/>
      <c r="CJ27" s="178">
        <f>SUM(CJ17,CJ26)</f>
        <v>7</v>
      </c>
      <c r="CK27" s="174"/>
      <c r="CL27" s="115"/>
      <c r="CM27" s="115"/>
      <c r="CN27" s="115"/>
      <c r="CO27" s="178">
        <f>SUM(CO17,CO26)</f>
        <v>7</v>
      </c>
      <c r="CP27" s="174"/>
      <c r="CQ27" s="115"/>
      <c r="CR27" s="115"/>
      <c r="CS27" s="115"/>
      <c r="CT27" s="178">
        <f>SUM(CT17,CT26)</f>
        <v>48</v>
      </c>
      <c r="CU27" s="174"/>
      <c r="CV27" s="115"/>
      <c r="CW27" s="115"/>
      <c r="CX27" s="115"/>
      <c r="CY27" s="178">
        <f>SUM(CY17,CY26)</f>
        <v>12</v>
      </c>
      <c r="CZ27" s="174"/>
      <c r="DA27" s="115"/>
      <c r="DB27" s="115"/>
      <c r="DC27" s="115"/>
      <c r="DD27" s="178">
        <f>SUM(DD17,DD26)</f>
        <v>12</v>
      </c>
      <c r="DE27" s="174"/>
      <c r="DF27" s="115"/>
      <c r="DG27" s="115"/>
      <c r="DH27" s="115"/>
      <c r="DI27" s="178">
        <f>SUM(DI17,DI26)</f>
        <v>67</v>
      </c>
      <c r="DJ27" s="174"/>
      <c r="DK27" s="115"/>
      <c r="DL27" s="115"/>
      <c r="DM27" s="115"/>
      <c r="DN27" s="178">
        <f>SUM(DN17,DN26)</f>
        <v>7</v>
      </c>
      <c r="DO27" s="174"/>
      <c r="DP27" s="115"/>
      <c r="DQ27" s="115"/>
      <c r="DR27" s="115"/>
      <c r="DS27" s="178">
        <f>SUM(DS17,DS26)</f>
        <v>25</v>
      </c>
      <c r="DT27" s="174"/>
      <c r="DU27" s="115"/>
      <c r="DV27" s="115"/>
      <c r="DW27" s="178" t="str">
        <f>SUM(DW17,DW26)</f>
        <v>#DIV/0!</v>
      </c>
      <c r="DX27" s="174"/>
      <c r="DY27" s="115"/>
      <c r="DZ27" s="115"/>
      <c r="EA27" s="178" t="str">
        <f>SUM(EA17,EA26)</f>
        <v>#DIV/0!</v>
      </c>
      <c r="EB27" s="174"/>
      <c r="EC27" s="115"/>
      <c r="ED27" s="115"/>
      <c r="EE27" s="178" t="str">
        <f>SUM(EE17,EE26)</f>
        <v>#DIV/0!</v>
      </c>
      <c r="EF27" s="174"/>
      <c r="EG27" s="115"/>
      <c r="EH27" s="115"/>
      <c r="EI27" s="178" t="str">
        <f>SUM(EI17,EI26)</f>
        <v>#DIV/0!</v>
      </c>
      <c r="EJ27" s="174"/>
      <c r="EK27" s="115"/>
      <c r="EL27" s="115"/>
      <c r="EM27" s="178" t="str">
        <f>SUM(EM17,EM26)</f>
        <v>#DIV/0!</v>
      </c>
      <c r="EN27" s="174"/>
      <c r="EO27" s="115"/>
      <c r="EP27" s="115"/>
      <c r="EQ27" s="178" t="str">
        <f>SUM(EQ17,EQ26)</f>
        <v>#DIV/0!</v>
      </c>
      <c r="ER27" s="174"/>
      <c r="ES27" s="115"/>
      <c r="ET27" s="115"/>
      <c r="EU27" s="178" t="str">
        <f>SUM(EU17,EU26)</f>
        <v>#DIV/0!</v>
      </c>
      <c r="EV27" s="174"/>
      <c r="EW27" s="115"/>
      <c r="EX27" s="115"/>
      <c r="EY27" s="178" t="str">
        <f>SUM(EY17,EY26)</f>
        <v>#DIV/0!</v>
      </c>
      <c r="EZ27" s="174"/>
      <c r="FA27" s="115"/>
      <c r="FB27" s="115"/>
      <c r="FC27" s="178" t="str">
        <f>SUM(FC17,FC26)</f>
        <v>#DIV/0!</v>
      </c>
      <c r="FD27" s="174"/>
      <c r="FE27" s="4"/>
      <c r="FF27" s="20" t="str">
        <f t="shared" si="143"/>
        <v>#REF!</v>
      </c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20"/>
      <c r="FS27" s="4"/>
      <c r="FT27" s="4"/>
    </row>
    <row r="28" ht="15.75" customHeight="1">
      <c r="A28" s="4"/>
      <c r="B28" s="2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</row>
    <row r="29" ht="15.75" customHeight="1">
      <c r="A29" s="4"/>
      <c r="B29" s="2"/>
      <c r="C29" s="3"/>
      <c r="D29" s="4"/>
      <c r="E29" s="4"/>
      <c r="F29" s="4"/>
      <c r="G29" s="20"/>
      <c r="H29" s="4"/>
      <c r="I29" s="4"/>
      <c r="J29" s="4"/>
      <c r="K29" s="4"/>
      <c r="L29" s="20"/>
      <c r="M29" s="4"/>
      <c r="N29" s="4"/>
      <c r="O29" s="4"/>
      <c r="P29" s="4"/>
      <c r="Q29" s="20"/>
      <c r="R29" s="4"/>
      <c r="S29" s="4"/>
      <c r="T29" s="4"/>
      <c r="U29" s="4"/>
      <c r="V29" s="20"/>
      <c r="W29" s="4"/>
      <c r="X29" s="4"/>
      <c r="Y29" s="4"/>
      <c r="Z29" s="4"/>
      <c r="AA29" s="20"/>
      <c r="AB29" s="4"/>
      <c r="AC29" s="4"/>
      <c r="AD29" s="4"/>
      <c r="AE29" s="4"/>
      <c r="AF29" s="20"/>
      <c r="AG29" s="4"/>
      <c r="AH29" s="4"/>
      <c r="AI29" s="4"/>
      <c r="AJ29" s="4"/>
      <c r="AK29" s="20"/>
      <c r="AL29" s="4"/>
      <c r="AM29" s="4"/>
      <c r="AN29" s="4"/>
      <c r="AO29" s="4"/>
      <c r="AP29" s="20"/>
      <c r="AQ29" s="4"/>
      <c r="AR29" s="4"/>
      <c r="AS29" s="4"/>
      <c r="AT29" s="4"/>
      <c r="AU29" s="20"/>
      <c r="AV29" s="4"/>
      <c r="AW29" s="4"/>
      <c r="AX29" s="4"/>
      <c r="AY29" s="4"/>
      <c r="AZ29" s="20"/>
      <c r="BA29" s="4"/>
      <c r="BB29" s="4"/>
      <c r="BC29" s="4"/>
      <c r="BD29" s="4"/>
      <c r="BE29" s="20"/>
      <c r="BF29" s="4"/>
      <c r="BG29" s="4"/>
      <c r="BH29" s="4"/>
      <c r="BI29" s="4"/>
      <c r="BJ29" s="20"/>
      <c r="BK29" s="4"/>
      <c r="BL29" s="4"/>
      <c r="BM29" s="4"/>
      <c r="BN29" s="4"/>
      <c r="BO29" s="20"/>
      <c r="BP29" s="4"/>
      <c r="BQ29" s="4"/>
      <c r="BR29" s="4"/>
      <c r="BS29" s="4"/>
      <c r="BT29" s="20"/>
      <c r="BU29" s="4"/>
      <c r="BV29" s="4"/>
      <c r="BW29" s="4"/>
      <c r="BX29" s="4"/>
      <c r="BY29" s="20"/>
      <c r="BZ29" s="4"/>
      <c r="CA29" s="4"/>
      <c r="CB29" s="4"/>
      <c r="CC29" s="4"/>
      <c r="CD29" s="20"/>
      <c r="CE29" s="4"/>
      <c r="CF29" s="4"/>
      <c r="CG29" s="4"/>
      <c r="CH29" s="4"/>
      <c r="CI29" s="20"/>
      <c r="CJ29" s="4"/>
      <c r="CK29" s="4"/>
      <c r="CL29" s="4"/>
      <c r="CM29" s="4"/>
      <c r="CN29" s="20"/>
      <c r="CO29" s="4"/>
      <c r="CP29" s="4"/>
      <c r="CQ29" s="4"/>
      <c r="CR29" s="4"/>
      <c r="CS29" s="20"/>
      <c r="CT29" s="4"/>
      <c r="CU29" s="4"/>
      <c r="CV29" s="4"/>
      <c r="CW29" s="4"/>
      <c r="CX29" s="20"/>
      <c r="CY29" s="4"/>
      <c r="CZ29" s="4"/>
      <c r="DA29" s="4"/>
      <c r="DB29" s="4"/>
      <c r="DC29" s="20"/>
      <c r="DD29" s="4"/>
      <c r="DE29" s="4"/>
      <c r="DF29" s="4"/>
      <c r="DG29" s="4"/>
      <c r="DH29" s="20"/>
      <c r="DI29" s="4"/>
      <c r="DJ29" s="4"/>
      <c r="DK29" s="4"/>
      <c r="DL29" s="4"/>
      <c r="DM29" s="20"/>
      <c r="DN29" s="4"/>
      <c r="DO29" s="4"/>
      <c r="DP29" s="4"/>
      <c r="DQ29" s="4"/>
      <c r="DR29" s="20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</row>
    <row r="30" ht="15.75" customHeight="1">
      <c r="A30" s="4" t="s">
        <v>91</v>
      </c>
      <c r="B30" s="2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</row>
    <row r="31" ht="15.75" customHeight="1">
      <c r="A31" s="4"/>
      <c r="B31" s="2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20"/>
      <c r="DW31" s="20"/>
      <c r="DX31" s="4"/>
      <c r="DY31" s="4"/>
      <c r="DZ31" s="20"/>
      <c r="EA31" s="20"/>
      <c r="EB31" s="4"/>
      <c r="EC31" s="4"/>
      <c r="ED31" s="20"/>
      <c r="EE31" s="20"/>
      <c r="EF31" s="4"/>
      <c r="EG31" s="4"/>
      <c r="EH31" s="20"/>
      <c r="EI31" s="20"/>
      <c r="EJ31" s="4"/>
      <c r="EK31" s="4"/>
      <c r="EL31" s="20"/>
      <c r="EM31" s="20"/>
      <c r="EN31" s="4"/>
      <c r="EO31" s="4"/>
      <c r="EP31" s="20"/>
      <c r="EQ31" s="20"/>
      <c r="ER31" s="4"/>
      <c r="ES31" s="4"/>
      <c r="ET31" s="20"/>
      <c r="EU31" s="20"/>
      <c r="EV31" s="4"/>
      <c r="EW31" s="4"/>
      <c r="EX31" s="20"/>
      <c r="EY31" s="20"/>
      <c r="EZ31" s="4"/>
      <c r="FA31" s="4"/>
      <c r="FB31" s="20"/>
      <c r="FC31" s="20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</row>
    <row r="32" ht="15.75" customHeight="1">
      <c r="A32" s="4"/>
      <c r="B32" s="2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</row>
    <row r="33" ht="15.75" customHeight="1">
      <c r="A33" s="4"/>
      <c r="B33" s="2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</row>
    <row r="34" ht="15.75" customHeight="1">
      <c r="A34" s="4"/>
      <c r="B34" s="2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</row>
    <row r="35" ht="15.75" customHeight="1">
      <c r="A35" s="4"/>
      <c r="B35" s="2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</row>
    <row r="36" ht="15.75" customHeight="1">
      <c r="A36" s="4"/>
      <c r="B36" s="2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</row>
    <row r="37" ht="15.75" customHeight="1">
      <c r="A37" s="4"/>
      <c r="B37" s="2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</row>
    <row r="38" ht="15.75" customHeight="1">
      <c r="A38" s="4"/>
      <c r="B38" s="2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</row>
    <row r="39" ht="15.75" customHeight="1">
      <c r="A39" s="4"/>
      <c r="B39" s="2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</row>
    <row r="40" ht="15.75" customHeight="1">
      <c r="A40" s="4"/>
      <c r="B40" s="2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</row>
    <row r="41" ht="15.75" customHeight="1">
      <c r="A41" s="4"/>
      <c r="B41" s="2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</row>
    <row r="42" ht="15.75" customHeight="1">
      <c r="A42" s="4"/>
      <c r="B42" s="2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</row>
    <row r="43" ht="15.75" customHeight="1">
      <c r="A43" s="4"/>
      <c r="B43" s="2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</row>
    <row r="44" ht="15.75" customHeight="1">
      <c r="A44" s="4"/>
      <c r="B44" s="2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</row>
    <row r="45" ht="15.75" customHeight="1">
      <c r="A45" s="4"/>
      <c r="B45" s="2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</row>
    <row r="46" ht="15.75" customHeight="1">
      <c r="A46" s="4"/>
      <c r="B46" s="2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</row>
    <row r="47" ht="15.75" customHeight="1">
      <c r="A47" s="4"/>
      <c r="B47" s="2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</row>
    <row r="48" ht="15.75" customHeight="1">
      <c r="A48" s="4"/>
      <c r="B48" s="2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</row>
    <row r="49" ht="15.75" customHeight="1">
      <c r="A49" s="4"/>
      <c r="B49" s="2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</row>
    <row r="50" ht="15.75" customHeight="1">
      <c r="A50" s="4"/>
      <c r="B50" s="2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</row>
    <row r="51" ht="15.75" customHeight="1">
      <c r="A51" s="4"/>
      <c r="B51" s="2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</row>
    <row r="52" ht="15.75" customHeight="1">
      <c r="A52" s="4"/>
      <c r="B52" s="2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</row>
    <row r="53" ht="15.75" customHeight="1">
      <c r="A53" s="4"/>
      <c r="B53" s="2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</row>
    <row r="54" ht="15.75" customHeight="1">
      <c r="A54" s="4"/>
      <c r="B54" s="2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</row>
    <row r="55" ht="15.75" customHeight="1">
      <c r="A55" s="4"/>
      <c r="B55" s="2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</row>
    <row r="56" ht="15.75" customHeight="1">
      <c r="A56" s="4"/>
      <c r="B56" s="2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</row>
    <row r="57" ht="15.75" customHeight="1">
      <c r="A57" s="4"/>
      <c r="B57" s="2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</row>
    <row r="58" ht="15.75" customHeight="1">
      <c r="A58" s="4"/>
      <c r="B58" s="2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</row>
    <row r="59" ht="15.75" customHeight="1">
      <c r="A59" s="4"/>
      <c r="B59" s="2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</row>
    <row r="60" ht="15.75" customHeight="1">
      <c r="A60" s="4"/>
      <c r="B60" s="2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</row>
    <row r="61" ht="15.75" customHeight="1">
      <c r="A61" s="4"/>
      <c r="B61" s="2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</row>
    <row r="62" ht="15.75" customHeight="1">
      <c r="A62" s="4"/>
      <c r="B62" s="2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</row>
    <row r="63" ht="15.75" customHeight="1">
      <c r="A63" s="4"/>
      <c r="B63" s="2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</row>
    <row r="64" ht="15.75" customHeight="1">
      <c r="A64" s="4"/>
      <c r="B64" s="2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</row>
    <row r="65" ht="15.75" customHeight="1">
      <c r="A65" s="4"/>
      <c r="B65" s="2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</row>
    <row r="66" ht="15.75" customHeight="1">
      <c r="A66" s="4"/>
      <c r="B66" s="2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</row>
    <row r="67" ht="15.75" customHeight="1">
      <c r="A67" s="4"/>
      <c r="B67" s="2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</row>
    <row r="68" ht="15.75" customHeight="1">
      <c r="A68" s="4"/>
      <c r="B68" s="2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</row>
    <row r="69" ht="15.75" customHeight="1">
      <c r="A69" s="4"/>
      <c r="B69" s="2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</row>
    <row r="70" ht="15.75" customHeight="1">
      <c r="A70" s="4"/>
      <c r="B70" s="2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</row>
    <row r="71" ht="15.75" customHeight="1">
      <c r="A71" s="4"/>
      <c r="B71" s="2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</row>
    <row r="72" ht="15.75" customHeight="1">
      <c r="A72" s="4"/>
      <c r="B72" s="2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</row>
    <row r="73" ht="15.75" customHeight="1">
      <c r="A73" s="4"/>
      <c r="B73" s="2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</row>
    <row r="74" ht="15.75" customHeight="1">
      <c r="A74" s="4"/>
      <c r="B74" s="2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</row>
    <row r="75" ht="15.75" customHeight="1">
      <c r="A75" s="4"/>
      <c r="B75" s="2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</row>
    <row r="76" ht="15.75" customHeight="1">
      <c r="A76" s="4"/>
      <c r="B76" s="2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</row>
    <row r="77" ht="15.75" customHeight="1">
      <c r="A77" s="4"/>
      <c r="B77" s="2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</row>
    <row r="78" ht="15.75" customHeight="1">
      <c r="A78" s="4"/>
      <c r="B78" s="2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</row>
    <row r="79" ht="15.75" customHeight="1">
      <c r="A79" s="4"/>
      <c r="B79" s="2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</row>
    <row r="80" ht="15.75" customHeight="1">
      <c r="A80" s="4"/>
      <c r="B80" s="2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</row>
    <row r="81" ht="15.75" customHeight="1">
      <c r="A81" s="4"/>
      <c r="B81" s="2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</row>
    <row r="82" ht="15.75" customHeight="1">
      <c r="A82" s="4"/>
      <c r="B82" s="2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</row>
    <row r="83" ht="15.75" customHeight="1">
      <c r="A83" s="4"/>
      <c r="B83" s="2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</row>
    <row r="84" ht="15.75" customHeight="1">
      <c r="A84" s="4"/>
      <c r="B84" s="2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</row>
    <row r="85" ht="15.75" customHeight="1">
      <c r="A85" s="4"/>
      <c r="B85" s="2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</row>
    <row r="86" ht="15.75" customHeight="1">
      <c r="A86" s="4"/>
      <c r="B86" s="2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</row>
    <row r="87" ht="15.75" customHeight="1">
      <c r="A87" s="4"/>
      <c r="B87" s="2"/>
      <c r="C87" s="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</row>
    <row r="88" ht="15.75" customHeight="1">
      <c r="A88" s="4"/>
      <c r="B88" s="2"/>
      <c r="C88" s="3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</row>
    <row r="89" ht="15.75" customHeight="1">
      <c r="A89" s="4"/>
      <c r="B89" s="2"/>
      <c r="C89" s="3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</row>
    <row r="90" ht="15.75" customHeight="1">
      <c r="A90" s="4"/>
      <c r="B90" s="2"/>
      <c r="C90" s="3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</row>
    <row r="91" ht="15.75" customHeight="1">
      <c r="A91" s="4"/>
      <c r="B91" s="2"/>
      <c r="C91" s="3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</row>
    <row r="92" ht="15.75" customHeight="1">
      <c r="A92" s="4"/>
      <c r="B92" s="2"/>
      <c r="C92" s="3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</row>
    <row r="93" ht="15.75" customHeight="1">
      <c r="A93" s="4"/>
      <c r="B93" s="2"/>
      <c r="C93" s="3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</row>
    <row r="94" ht="15.75" customHeight="1">
      <c r="A94" s="4"/>
      <c r="B94" s="2"/>
      <c r="C94" s="3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</row>
    <row r="95" ht="15.75" customHeight="1">
      <c r="A95" s="4"/>
      <c r="B95" s="2"/>
      <c r="C95" s="3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</row>
    <row r="96" ht="15.75" customHeight="1">
      <c r="A96" s="4"/>
      <c r="B96" s="2"/>
      <c r="C96" s="3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</row>
    <row r="97" ht="15.75" customHeight="1">
      <c r="A97" s="4"/>
      <c r="B97" s="2"/>
      <c r="C97" s="3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</row>
    <row r="98" ht="15.75" customHeight="1">
      <c r="A98" s="4"/>
      <c r="B98" s="2"/>
      <c r="C98" s="3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</row>
    <row r="99" ht="15.75" customHeight="1">
      <c r="A99" s="4"/>
      <c r="B99" s="2"/>
      <c r="C99" s="3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</row>
    <row r="100" ht="15.75" customHeight="1">
      <c r="A100" s="4"/>
      <c r="B100" s="2"/>
      <c r="C100" s="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</row>
    <row r="101" ht="15.75" customHeight="1">
      <c r="A101" s="4"/>
      <c r="B101" s="2"/>
      <c r="C101" s="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</row>
    <row r="102" ht="15.75" customHeight="1">
      <c r="A102" s="4"/>
      <c r="B102" s="2"/>
      <c r="C102" s="3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</row>
    <row r="103" ht="15.75" customHeight="1">
      <c r="A103" s="4"/>
      <c r="B103" s="2"/>
      <c r="C103" s="3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</row>
    <row r="104" ht="15.75" customHeight="1">
      <c r="A104" s="4"/>
      <c r="B104" s="2"/>
      <c r="C104" s="3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</row>
    <row r="105" ht="15.75" customHeight="1">
      <c r="A105" s="4"/>
      <c r="B105" s="2"/>
      <c r="C105" s="3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</row>
    <row r="106" ht="15.75" customHeight="1">
      <c r="A106" s="4"/>
      <c r="B106" s="2"/>
      <c r="C106" s="3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</row>
    <row r="107" ht="15.75" customHeight="1">
      <c r="A107" s="4"/>
      <c r="B107" s="2"/>
      <c r="C107" s="3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</row>
    <row r="108" ht="15.75" customHeight="1">
      <c r="A108" s="4"/>
      <c r="B108" s="2"/>
      <c r="C108" s="3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</row>
    <row r="109" ht="15.75" customHeight="1">
      <c r="A109" s="4"/>
      <c r="B109" s="2"/>
      <c r="C109" s="3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</row>
    <row r="110" ht="15.75" customHeight="1">
      <c r="A110" s="4"/>
      <c r="B110" s="2"/>
      <c r="C110" s="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</row>
    <row r="111" ht="15.75" customHeight="1">
      <c r="A111" s="4"/>
      <c r="B111" s="2"/>
      <c r="C111" s="3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</row>
    <row r="112" ht="15.75" customHeight="1">
      <c r="A112" s="4"/>
      <c r="B112" s="2"/>
      <c r="C112" s="3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</row>
    <row r="113" ht="15.75" customHeight="1">
      <c r="A113" s="4"/>
      <c r="B113" s="2"/>
      <c r="C113" s="3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</row>
    <row r="114" ht="15.75" customHeight="1">
      <c r="A114" s="4"/>
      <c r="B114" s="2"/>
      <c r="C114" s="3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</row>
    <row r="115" ht="15.75" customHeight="1">
      <c r="A115" s="4"/>
      <c r="B115" s="2"/>
      <c r="C115" s="3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</row>
    <row r="116" ht="15.75" customHeight="1">
      <c r="A116" s="4"/>
      <c r="B116" s="2"/>
      <c r="C116" s="3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</row>
    <row r="117" ht="15.75" customHeight="1">
      <c r="A117" s="4"/>
      <c r="B117" s="2"/>
      <c r="C117" s="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</row>
    <row r="118" ht="15.75" customHeight="1">
      <c r="A118" s="4"/>
      <c r="B118" s="2"/>
      <c r="C118" s="3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</row>
    <row r="119" ht="15.75" customHeight="1">
      <c r="A119" s="4"/>
      <c r="B119" s="2"/>
      <c r="C119" s="3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</row>
    <row r="120" ht="15.75" customHeight="1">
      <c r="A120" s="4"/>
      <c r="B120" s="2"/>
      <c r="C120" s="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</row>
    <row r="121" ht="15.75" customHeight="1">
      <c r="A121" s="4"/>
      <c r="B121" s="2"/>
      <c r="C121" s="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</row>
    <row r="122" ht="15.75" customHeight="1">
      <c r="A122" s="4"/>
      <c r="B122" s="2"/>
      <c r="C122" s="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</row>
    <row r="123" ht="15.75" customHeight="1">
      <c r="A123" s="4"/>
      <c r="B123" s="2"/>
      <c r="C123" s="3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</row>
    <row r="124" ht="15.75" customHeight="1">
      <c r="A124" s="4"/>
      <c r="B124" s="2"/>
      <c r="C124" s="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</row>
    <row r="125" ht="15.75" customHeight="1">
      <c r="A125" s="4"/>
      <c r="B125" s="2"/>
      <c r="C125" s="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</row>
    <row r="126" ht="15.75" customHeight="1">
      <c r="A126" s="4"/>
      <c r="B126" s="2"/>
      <c r="C126" s="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</row>
    <row r="127" ht="15.75" customHeight="1">
      <c r="A127" s="4"/>
      <c r="B127" s="2"/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</row>
    <row r="128" ht="15.75" customHeight="1">
      <c r="A128" s="4"/>
      <c r="B128" s="2"/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</row>
    <row r="129" ht="15.75" customHeight="1">
      <c r="A129" s="4"/>
      <c r="B129" s="2"/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</row>
    <row r="130" ht="15.75" customHeight="1">
      <c r="A130" s="4"/>
      <c r="B130" s="2"/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</row>
    <row r="131" ht="15.75" customHeight="1">
      <c r="A131" s="4"/>
      <c r="B131" s="2"/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</row>
    <row r="132" ht="15.75" customHeight="1">
      <c r="A132" s="4"/>
      <c r="B132" s="2"/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</row>
    <row r="133" ht="15.75" customHeight="1">
      <c r="A133" s="4"/>
      <c r="B133" s="2"/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</row>
    <row r="134" ht="15.75" customHeight="1">
      <c r="A134" s="4"/>
      <c r="B134" s="2"/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</row>
    <row r="135" ht="15.75" customHeight="1">
      <c r="A135" s="4"/>
      <c r="B135" s="2"/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</row>
    <row r="136" ht="15.75" customHeight="1">
      <c r="A136" s="4"/>
      <c r="B136" s="2"/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</row>
    <row r="137" ht="15.75" customHeight="1">
      <c r="A137" s="4"/>
      <c r="B137" s="2"/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</row>
    <row r="138" ht="15.75" customHeight="1">
      <c r="A138" s="4"/>
      <c r="B138" s="2"/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</row>
    <row r="139" ht="15.75" customHeight="1">
      <c r="A139" s="4"/>
      <c r="B139" s="2"/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</row>
    <row r="140" ht="15.75" customHeight="1">
      <c r="A140" s="4"/>
      <c r="B140" s="2"/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</row>
    <row r="141" ht="15.75" customHeight="1">
      <c r="A141" s="4"/>
      <c r="B141" s="2"/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</row>
    <row r="142" ht="15.75" customHeight="1">
      <c r="A142" s="4"/>
      <c r="B142" s="2"/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</row>
    <row r="143" ht="15.75" customHeight="1">
      <c r="A143" s="4"/>
      <c r="B143" s="2"/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</row>
    <row r="144" ht="15.75" customHeight="1">
      <c r="A144" s="4"/>
      <c r="B144" s="2"/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</row>
    <row r="145" ht="15.75" customHeight="1">
      <c r="A145" s="4"/>
      <c r="B145" s="2"/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</row>
    <row r="146" ht="15.75" customHeight="1">
      <c r="A146" s="4"/>
      <c r="B146" s="2"/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</row>
    <row r="147" ht="15.75" customHeight="1">
      <c r="A147" s="4"/>
      <c r="B147" s="2"/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</row>
    <row r="148" ht="15.75" customHeight="1">
      <c r="A148" s="4"/>
      <c r="B148" s="2"/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</row>
    <row r="149" ht="15.75" customHeight="1">
      <c r="A149" s="4"/>
      <c r="B149" s="2"/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</row>
    <row r="150" ht="15.75" customHeight="1">
      <c r="A150" s="4"/>
      <c r="B150" s="2"/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</row>
    <row r="151" ht="15.75" customHeight="1">
      <c r="A151" s="4"/>
      <c r="B151" s="2"/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</row>
    <row r="152" ht="15.75" customHeight="1">
      <c r="A152" s="4"/>
      <c r="B152" s="2"/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</row>
    <row r="153" ht="15.75" customHeight="1">
      <c r="A153" s="4"/>
      <c r="B153" s="2"/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</row>
    <row r="154" ht="15.75" customHeight="1">
      <c r="A154" s="4"/>
      <c r="B154" s="2"/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</row>
    <row r="155" ht="15.75" customHeight="1">
      <c r="A155" s="4"/>
      <c r="B155" s="2"/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</row>
    <row r="156" ht="15.75" customHeight="1">
      <c r="A156" s="4"/>
      <c r="B156" s="2"/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</row>
    <row r="157" ht="15.75" customHeight="1">
      <c r="A157" s="4"/>
      <c r="B157" s="2"/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</row>
    <row r="158" ht="15.75" customHeight="1">
      <c r="A158" s="4"/>
      <c r="B158" s="2"/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</row>
    <row r="159" ht="15.75" customHeight="1">
      <c r="A159" s="4"/>
      <c r="B159" s="2"/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</row>
    <row r="160" ht="15.75" customHeight="1">
      <c r="A160" s="4"/>
      <c r="B160" s="2"/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</row>
    <row r="161" ht="15.75" customHeight="1">
      <c r="A161" s="4"/>
      <c r="B161" s="2"/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</row>
    <row r="162" ht="15.75" customHeight="1">
      <c r="A162" s="4"/>
      <c r="B162" s="2"/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</row>
    <row r="163" ht="15.75" customHeight="1">
      <c r="A163" s="4"/>
      <c r="B163" s="2"/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</row>
    <row r="164" ht="15.75" customHeight="1">
      <c r="A164" s="4"/>
      <c r="B164" s="2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</row>
    <row r="165" ht="15.75" customHeight="1">
      <c r="A165" s="4"/>
      <c r="B165" s="2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</row>
    <row r="166" ht="15.75" customHeight="1">
      <c r="A166" s="4"/>
      <c r="B166" s="2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</row>
    <row r="167" ht="15.75" customHeight="1">
      <c r="A167" s="4"/>
      <c r="B167" s="2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</row>
    <row r="168" ht="15.75" customHeight="1">
      <c r="A168" s="4"/>
      <c r="B168" s="2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</row>
    <row r="169" ht="15.75" customHeight="1">
      <c r="A169" s="4"/>
      <c r="B169" s="2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</row>
    <row r="170" ht="15.75" customHeight="1">
      <c r="A170" s="4"/>
      <c r="B170" s="2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</row>
    <row r="171" ht="15.75" customHeight="1">
      <c r="A171" s="4"/>
      <c r="B171" s="2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</row>
    <row r="172" ht="15.75" customHeight="1">
      <c r="A172" s="4"/>
      <c r="B172" s="2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</row>
    <row r="173" ht="15.75" customHeight="1">
      <c r="A173" s="4"/>
      <c r="B173" s="2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</row>
    <row r="174" ht="15.75" customHeight="1">
      <c r="A174" s="4"/>
      <c r="B174" s="2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</row>
    <row r="175" ht="15.75" customHeight="1">
      <c r="A175" s="4"/>
      <c r="B175" s="2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</row>
    <row r="176" ht="15.75" customHeight="1">
      <c r="A176" s="4"/>
      <c r="B176" s="2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</row>
    <row r="177" ht="15.75" customHeight="1">
      <c r="A177" s="4"/>
      <c r="B177" s="2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</row>
    <row r="178" ht="15.75" customHeight="1">
      <c r="A178" s="4"/>
      <c r="B178" s="2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</row>
    <row r="179" ht="15.75" customHeight="1">
      <c r="A179" s="4"/>
      <c r="B179" s="2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</row>
    <row r="180" ht="15.75" customHeight="1">
      <c r="A180" s="4"/>
      <c r="B180" s="2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</row>
    <row r="181" ht="15.75" customHeight="1">
      <c r="A181" s="4"/>
      <c r="B181" s="2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</row>
    <row r="182" ht="15.75" customHeight="1">
      <c r="A182" s="4"/>
      <c r="B182" s="2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</row>
    <row r="183" ht="15.75" customHeight="1">
      <c r="A183" s="4"/>
      <c r="B183" s="2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</row>
    <row r="184" ht="15.75" customHeight="1">
      <c r="A184" s="4"/>
      <c r="B184" s="2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</row>
    <row r="185" ht="15.75" customHeight="1">
      <c r="A185" s="4"/>
      <c r="B185" s="2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</row>
    <row r="186" ht="15.75" customHeight="1">
      <c r="A186" s="4"/>
      <c r="B186" s="2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</row>
    <row r="187" ht="15.75" customHeight="1">
      <c r="A187" s="4"/>
      <c r="B187" s="2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</row>
    <row r="188" ht="15.75" customHeight="1">
      <c r="A188" s="4"/>
      <c r="B188" s="2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</row>
    <row r="189" ht="15.75" customHeight="1">
      <c r="A189" s="4"/>
      <c r="B189" s="2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</row>
    <row r="190" ht="15.75" customHeight="1">
      <c r="A190" s="4"/>
      <c r="B190" s="2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</row>
    <row r="191" ht="15.75" customHeight="1">
      <c r="A191" s="4"/>
      <c r="B191" s="2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</row>
    <row r="192" ht="15.75" customHeight="1">
      <c r="A192" s="4"/>
      <c r="B192" s="2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</row>
    <row r="193" ht="15.75" customHeight="1">
      <c r="A193" s="4"/>
      <c r="B193" s="2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</row>
    <row r="194" ht="15.75" customHeight="1">
      <c r="A194" s="4"/>
      <c r="B194" s="2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</row>
    <row r="195" ht="15.75" customHeight="1">
      <c r="A195" s="4"/>
      <c r="B195" s="2"/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</row>
    <row r="196" ht="15.75" customHeight="1">
      <c r="A196" s="4"/>
      <c r="B196" s="2"/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</row>
    <row r="197" ht="15.75" customHeight="1">
      <c r="A197" s="4"/>
      <c r="B197" s="2"/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</row>
    <row r="198" ht="15.75" customHeight="1">
      <c r="A198" s="4"/>
      <c r="B198" s="2"/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</row>
    <row r="199" ht="15.75" customHeight="1">
      <c r="A199" s="4"/>
      <c r="B199" s="2"/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</row>
    <row r="200" ht="15.75" customHeight="1">
      <c r="A200" s="4"/>
      <c r="B200" s="2"/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</row>
    <row r="201" ht="15.75" customHeight="1">
      <c r="A201" s="4"/>
      <c r="B201" s="2"/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</row>
    <row r="202" ht="15.75" customHeight="1">
      <c r="A202" s="4"/>
      <c r="B202" s="2"/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</row>
    <row r="203" ht="15.75" customHeight="1">
      <c r="A203" s="4"/>
      <c r="B203" s="2"/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</row>
    <row r="204" ht="15.75" customHeight="1">
      <c r="A204" s="4"/>
      <c r="B204" s="2"/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</row>
    <row r="205" ht="15.75" customHeight="1">
      <c r="A205" s="4"/>
      <c r="B205" s="2"/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</row>
    <row r="206" ht="15.75" customHeight="1">
      <c r="A206" s="4"/>
      <c r="B206" s="2"/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</row>
    <row r="207" ht="15.75" customHeight="1">
      <c r="A207" s="4"/>
      <c r="B207" s="2"/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</row>
    <row r="208" ht="15.75" customHeight="1">
      <c r="A208" s="4"/>
      <c r="B208" s="2"/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</row>
    <row r="209" ht="15.75" customHeight="1">
      <c r="A209" s="4"/>
      <c r="B209" s="2"/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</row>
    <row r="210" ht="15.75" customHeight="1">
      <c r="A210" s="4"/>
      <c r="B210" s="2"/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</row>
    <row r="211" ht="15.75" customHeight="1">
      <c r="A211" s="4"/>
      <c r="B211" s="2"/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</row>
    <row r="212" ht="15.75" customHeight="1">
      <c r="A212" s="4"/>
      <c r="B212" s="2"/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</row>
    <row r="213" ht="15.75" customHeight="1">
      <c r="A213" s="4"/>
      <c r="B213" s="2"/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</row>
    <row r="214" ht="15.75" customHeight="1">
      <c r="A214" s="4"/>
      <c r="B214" s="2"/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</row>
    <row r="215" ht="15.75" customHeight="1">
      <c r="A215" s="4"/>
      <c r="B215" s="2"/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</row>
    <row r="216" ht="15.75" customHeight="1">
      <c r="A216" s="4"/>
      <c r="B216" s="2"/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</row>
    <row r="217" ht="15.75" customHeight="1">
      <c r="A217" s="4"/>
      <c r="B217" s="2"/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</row>
    <row r="218" ht="15.75" customHeight="1">
      <c r="A218" s="4"/>
      <c r="B218" s="2"/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</row>
    <row r="219" ht="15.75" customHeight="1">
      <c r="A219" s="4"/>
      <c r="B219" s="2"/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</row>
    <row r="220" ht="15.75" customHeight="1">
      <c r="A220" s="4"/>
      <c r="B220" s="2"/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</row>
    <row r="221" ht="15.75" customHeight="1">
      <c r="A221" s="4"/>
      <c r="B221" s="2"/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</row>
    <row r="222" ht="15.75" customHeight="1">
      <c r="A222" s="4"/>
      <c r="B222" s="2"/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</row>
    <row r="223" ht="15.75" customHeight="1">
      <c r="A223" s="4"/>
      <c r="B223" s="2"/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</row>
    <row r="224" ht="15.75" customHeight="1">
      <c r="A224" s="4"/>
      <c r="B224" s="2"/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</row>
    <row r="225" ht="15.75" customHeight="1">
      <c r="A225" s="4"/>
      <c r="B225" s="2"/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</row>
    <row r="226" ht="15.75" customHeight="1">
      <c r="A226" s="4"/>
      <c r="B226" s="2"/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</row>
    <row r="227" ht="15.75" customHeight="1">
      <c r="A227" s="4"/>
      <c r="B227" s="2"/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</row>
    <row r="228" ht="15.75" customHeight="1">
      <c r="A228" s="4"/>
      <c r="B228" s="2"/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</row>
    <row r="229" ht="15.75" customHeight="1">
      <c r="A229" s="4"/>
      <c r="B229" s="2"/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</row>
    <row r="230" ht="15.75" customHeight="1">
      <c r="A230" s="4"/>
      <c r="B230" s="2"/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</row>
  </sheetData>
  <customSheetViews>
    <customSheetView guid="{BFAD3FC5-7D50-478A-A1C9-F01A1867A3B2}" filter="1" showAutoFilter="1">
      <autoFilter ref="$A$11:$DF$114">
        <filterColumn colId="0">
          <filters blank="1"/>
        </filterColumn>
      </autoFilter>
    </customSheetView>
  </customSheetView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1" width="49.13"/>
    <col customWidth="1" hidden="1" min="2" max="2" width="12.38"/>
    <col customWidth="1" hidden="1" min="3" max="3" width="13.63"/>
    <col customWidth="1" hidden="1" min="4" max="4" width="12.38"/>
    <col customWidth="1" hidden="1" min="5" max="5" width="11.75"/>
    <col customWidth="1" hidden="1" min="6" max="6" width="13.75"/>
    <col customWidth="1" hidden="1" min="7" max="7" width="14.38"/>
    <col customWidth="1" hidden="1" min="8" max="75" width="12.63"/>
    <col customWidth="1" hidden="1" min="109" max="109" width="20.13"/>
  </cols>
  <sheetData>
    <row r="1" ht="15.75" customHeight="1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7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7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</row>
    <row r="2" ht="15.75" customHeight="1">
      <c r="A2" s="1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20"/>
      <c r="U2" s="4"/>
      <c r="V2" s="21"/>
      <c r="W2" s="22"/>
      <c r="X2" s="20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20"/>
      <c r="AL2" s="4"/>
      <c r="AM2" s="21"/>
      <c r="AN2" s="22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</row>
    <row r="3" ht="15.75" customHeight="1">
      <c r="A3" s="40" t="s">
        <v>14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20"/>
      <c r="V3" s="20"/>
      <c r="W3" s="42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20"/>
      <c r="AM3" s="20"/>
      <c r="AN3" s="42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</row>
    <row r="4" ht="15.75" customHeight="1">
      <c r="A4" s="45" t="s">
        <v>18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2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2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55"/>
      <c r="Z5" s="4"/>
      <c r="AA5" s="4"/>
      <c r="AB5" s="4"/>
      <c r="AC5" s="4"/>
      <c r="AD5" s="4"/>
      <c r="AE5" s="4"/>
      <c r="AF5" s="4"/>
      <c r="AG5" s="4"/>
      <c r="AH5" s="4"/>
      <c r="AI5" s="22"/>
      <c r="AJ5" s="4"/>
      <c r="AK5" s="20"/>
      <c r="AL5" s="20"/>
      <c r="AM5" s="20"/>
      <c r="AN5" s="4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</row>
    <row r="6" ht="15.75" customHeight="1">
      <c r="A6" s="69" t="s">
        <v>25</v>
      </c>
      <c r="B6" s="70" t="s">
        <v>26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  <c r="CV6" s="72"/>
      <c r="CW6" s="72"/>
      <c r="CX6" s="72"/>
      <c r="CY6" s="72"/>
      <c r="CZ6" s="72"/>
      <c r="DA6" s="72"/>
      <c r="DB6" s="72"/>
      <c r="DC6" s="77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</row>
    <row r="7" ht="15.75" customHeight="1">
      <c r="A7" s="81"/>
      <c r="B7" s="85">
        <v>2020.0</v>
      </c>
      <c r="C7" s="86"/>
      <c r="D7" s="86"/>
      <c r="E7" s="86"/>
      <c r="F7" s="87"/>
      <c r="G7" s="88" t="s">
        <v>36</v>
      </c>
      <c r="H7" s="90">
        <v>2021.0</v>
      </c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7"/>
      <c r="X7" s="91">
        <v>2021.0</v>
      </c>
      <c r="Y7" s="92">
        <v>2022.0</v>
      </c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7"/>
      <c r="AO7" s="93">
        <v>2022.0</v>
      </c>
      <c r="AP7" s="94">
        <v>2023.0</v>
      </c>
      <c r="AQ7" s="86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7"/>
      <c r="BF7" s="95">
        <v>2023.0</v>
      </c>
      <c r="BG7" s="96">
        <v>2024.0</v>
      </c>
      <c r="BH7" s="86"/>
      <c r="BI7" s="86"/>
      <c r="BJ7" s="86"/>
      <c r="BK7" s="86"/>
      <c r="BL7" s="86"/>
      <c r="BM7" s="86"/>
      <c r="BN7" s="86"/>
      <c r="BO7" s="86"/>
      <c r="BP7" s="86"/>
      <c r="BQ7" s="86"/>
      <c r="BR7" s="86"/>
      <c r="BS7" s="86"/>
      <c r="BT7" s="86"/>
      <c r="BU7" s="86"/>
      <c r="BV7" s="87"/>
      <c r="BW7" s="97">
        <v>2024.0</v>
      </c>
      <c r="BX7" s="98">
        <v>2025.0</v>
      </c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7"/>
      <c r="DB7" s="99">
        <v>2025.0</v>
      </c>
      <c r="DC7" s="100" t="s">
        <v>46</v>
      </c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</row>
    <row r="8" ht="87.0" customHeight="1">
      <c r="A8" s="104"/>
      <c r="B8" s="105" t="s">
        <v>54</v>
      </c>
      <c r="C8" s="105" t="s">
        <v>56</v>
      </c>
      <c r="D8" s="105" t="s">
        <v>57</v>
      </c>
      <c r="E8" s="105" t="s">
        <v>58</v>
      </c>
      <c r="F8" s="105" t="s">
        <v>59</v>
      </c>
      <c r="G8" s="106"/>
      <c r="H8" s="107" t="s">
        <v>60</v>
      </c>
      <c r="I8" s="107" t="s">
        <v>61</v>
      </c>
      <c r="J8" s="107" t="s">
        <v>62</v>
      </c>
      <c r="K8" s="108" t="s">
        <v>34</v>
      </c>
      <c r="L8" s="107" t="s">
        <v>63</v>
      </c>
      <c r="M8" s="107" t="s">
        <v>64</v>
      </c>
      <c r="N8" s="107" t="s">
        <v>65</v>
      </c>
      <c r="O8" s="108" t="s">
        <v>40</v>
      </c>
      <c r="P8" s="107" t="s">
        <v>66</v>
      </c>
      <c r="Q8" s="107" t="s">
        <v>54</v>
      </c>
      <c r="R8" s="107" t="s">
        <v>56</v>
      </c>
      <c r="S8" s="108" t="s">
        <v>44</v>
      </c>
      <c r="T8" s="107" t="s">
        <v>57</v>
      </c>
      <c r="U8" s="107" t="s">
        <v>58</v>
      </c>
      <c r="V8" s="107" t="s">
        <v>59</v>
      </c>
      <c r="W8" s="108" t="s">
        <v>45</v>
      </c>
      <c r="X8" s="106"/>
      <c r="Y8" s="110" t="s">
        <v>60</v>
      </c>
      <c r="Z8" s="110" t="s">
        <v>61</v>
      </c>
      <c r="AA8" s="110" t="s">
        <v>62</v>
      </c>
      <c r="AB8" s="114" t="s">
        <v>34</v>
      </c>
      <c r="AC8" s="110" t="s">
        <v>63</v>
      </c>
      <c r="AD8" s="110" t="s">
        <v>64</v>
      </c>
      <c r="AE8" s="110" t="s">
        <v>65</v>
      </c>
      <c r="AF8" s="114" t="s">
        <v>40</v>
      </c>
      <c r="AG8" s="110" t="s">
        <v>66</v>
      </c>
      <c r="AH8" s="110" t="s">
        <v>54</v>
      </c>
      <c r="AI8" s="110" t="s">
        <v>56</v>
      </c>
      <c r="AJ8" s="114" t="s">
        <v>44</v>
      </c>
      <c r="AK8" s="110" t="s">
        <v>57</v>
      </c>
      <c r="AL8" s="110" t="s">
        <v>58</v>
      </c>
      <c r="AM8" s="110" t="s">
        <v>59</v>
      </c>
      <c r="AN8" s="114" t="s">
        <v>45</v>
      </c>
      <c r="AO8" s="106"/>
      <c r="AP8" s="116" t="s">
        <v>60</v>
      </c>
      <c r="AQ8" s="116" t="s">
        <v>61</v>
      </c>
      <c r="AR8" s="116" t="s">
        <v>62</v>
      </c>
      <c r="AS8" s="117" t="s">
        <v>34</v>
      </c>
      <c r="AT8" s="116" t="s">
        <v>63</v>
      </c>
      <c r="AU8" s="116" t="s">
        <v>64</v>
      </c>
      <c r="AV8" s="116" t="s">
        <v>65</v>
      </c>
      <c r="AW8" s="117" t="s">
        <v>40</v>
      </c>
      <c r="AX8" s="116" t="s">
        <v>66</v>
      </c>
      <c r="AY8" s="116" t="s">
        <v>54</v>
      </c>
      <c r="AZ8" s="116" t="s">
        <v>56</v>
      </c>
      <c r="BA8" s="117" t="s">
        <v>44</v>
      </c>
      <c r="BB8" s="116" t="s">
        <v>57</v>
      </c>
      <c r="BC8" s="116" t="s">
        <v>58</v>
      </c>
      <c r="BD8" s="116" t="s">
        <v>59</v>
      </c>
      <c r="BE8" s="117" t="s">
        <v>45</v>
      </c>
      <c r="BF8" s="106"/>
      <c r="BG8" s="118" t="s">
        <v>60</v>
      </c>
      <c r="BH8" s="118" t="s">
        <v>61</v>
      </c>
      <c r="BI8" s="118" t="s">
        <v>62</v>
      </c>
      <c r="BJ8" s="119" t="s">
        <v>34</v>
      </c>
      <c r="BK8" s="118" t="s">
        <v>63</v>
      </c>
      <c r="BL8" s="118" t="s">
        <v>64</v>
      </c>
      <c r="BM8" s="118" t="s">
        <v>65</v>
      </c>
      <c r="BN8" s="119" t="s">
        <v>40</v>
      </c>
      <c r="BO8" s="118" t="s">
        <v>66</v>
      </c>
      <c r="BP8" s="118" t="s">
        <v>54</v>
      </c>
      <c r="BQ8" s="118" t="s">
        <v>56</v>
      </c>
      <c r="BR8" s="119" t="s">
        <v>44</v>
      </c>
      <c r="BS8" s="118" t="s">
        <v>57</v>
      </c>
      <c r="BT8" s="118" t="s">
        <v>58</v>
      </c>
      <c r="BU8" s="118" t="s">
        <v>59</v>
      </c>
      <c r="BV8" s="119" t="s">
        <v>45</v>
      </c>
      <c r="BW8" s="106"/>
      <c r="BX8" s="120" t="s">
        <v>60</v>
      </c>
      <c r="BY8" s="121" t="s">
        <v>60</v>
      </c>
      <c r="BZ8" s="122" t="s">
        <v>60</v>
      </c>
      <c r="CA8" s="120" t="s">
        <v>61</v>
      </c>
      <c r="CB8" s="123" t="s">
        <v>61</v>
      </c>
      <c r="CC8" s="122" t="s">
        <v>61</v>
      </c>
      <c r="CD8" s="120" t="s">
        <v>62</v>
      </c>
      <c r="CE8" s="123" t="s">
        <v>62</v>
      </c>
      <c r="CF8" s="122" t="s">
        <v>62</v>
      </c>
      <c r="CG8" s="124" t="s">
        <v>34</v>
      </c>
      <c r="CH8" s="120" t="s">
        <v>63</v>
      </c>
      <c r="CI8" s="123" t="s">
        <v>63</v>
      </c>
      <c r="CJ8" s="122" t="s">
        <v>63</v>
      </c>
      <c r="CK8" s="120" t="s">
        <v>64</v>
      </c>
      <c r="CL8" s="123" t="s">
        <v>64</v>
      </c>
      <c r="CM8" s="122" t="s">
        <v>64</v>
      </c>
      <c r="CN8" s="120" t="s">
        <v>65</v>
      </c>
      <c r="CO8" s="123" t="s">
        <v>65</v>
      </c>
      <c r="CP8" s="122" t="s">
        <v>65</v>
      </c>
      <c r="CQ8" s="124" t="s">
        <v>40</v>
      </c>
      <c r="CR8" s="120" t="s">
        <v>66</v>
      </c>
      <c r="CS8" s="107" t="s">
        <v>66</v>
      </c>
      <c r="CT8" s="128" t="s">
        <v>66</v>
      </c>
      <c r="CU8" s="120" t="s">
        <v>54</v>
      </c>
      <c r="CV8" s="120" t="s">
        <v>56</v>
      </c>
      <c r="CW8" s="124" t="s">
        <v>44</v>
      </c>
      <c r="CX8" s="120" t="s">
        <v>57</v>
      </c>
      <c r="CY8" s="120" t="s">
        <v>58</v>
      </c>
      <c r="CZ8" s="120" t="s">
        <v>59</v>
      </c>
      <c r="DA8" s="124" t="s">
        <v>45</v>
      </c>
      <c r="DB8" s="106"/>
      <c r="DC8" s="10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</row>
    <row r="9" ht="15.75" customHeight="1">
      <c r="A9" s="130" t="s">
        <v>46</v>
      </c>
      <c r="B9" s="131">
        <f t="shared" ref="B9:BF9" si="1">SUM(B114)</f>
        <v>36456</v>
      </c>
      <c r="C9" s="131">
        <f t="shared" si="1"/>
        <v>68769</v>
      </c>
      <c r="D9" s="131">
        <f t="shared" si="1"/>
        <v>142467</v>
      </c>
      <c r="E9" s="131">
        <f t="shared" si="1"/>
        <v>262286</v>
      </c>
      <c r="F9" s="131">
        <f t="shared" si="1"/>
        <v>542088</v>
      </c>
      <c r="G9" s="133">
        <f t="shared" si="1"/>
        <v>1052066</v>
      </c>
      <c r="H9" s="115">
        <f t="shared" si="1"/>
        <v>337072</v>
      </c>
      <c r="I9" s="115">
        <f t="shared" si="1"/>
        <v>412874</v>
      </c>
      <c r="J9" s="115">
        <f t="shared" si="1"/>
        <v>390327</v>
      </c>
      <c r="K9" s="134">
        <f t="shared" si="1"/>
        <v>1140273</v>
      </c>
      <c r="L9" s="115">
        <f t="shared" si="1"/>
        <v>338049</v>
      </c>
      <c r="M9" s="115">
        <f t="shared" si="1"/>
        <v>311865</v>
      </c>
      <c r="N9" s="115">
        <f t="shared" si="1"/>
        <v>268951</v>
      </c>
      <c r="O9" s="134">
        <f t="shared" si="1"/>
        <v>918865</v>
      </c>
      <c r="P9" s="115">
        <f t="shared" si="1"/>
        <v>276570</v>
      </c>
      <c r="Q9" s="115">
        <f t="shared" si="1"/>
        <v>288671</v>
      </c>
      <c r="R9" s="115">
        <f t="shared" si="1"/>
        <v>445401</v>
      </c>
      <c r="S9" s="134">
        <f t="shared" si="1"/>
        <v>1010642</v>
      </c>
      <c r="T9" s="115">
        <f t="shared" si="1"/>
        <v>247710</v>
      </c>
      <c r="U9" s="115">
        <f t="shared" si="1"/>
        <v>249730</v>
      </c>
      <c r="V9" s="115">
        <f t="shared" si="1"/>
        <v>298752</v>
      </c>
      <c r="W9" s="134">
        <f t="shared" si="1"/>
        <v>796192</v>
      </c>
      <c r="X9" s="134">
        <f t="shared" si="1"/>
        <v>3865972</v>
      </c>
      <c r="Y9" s="135">
        <f t="shared" si="1"/>
        <v>133065</v>
      </c>
      <c r="Z9" s="135">
        <f t="shared" si="1"/>
        <v>105881</v>
      </c>
      <c r="AA9" s="135">
        <f t="shared" si="1"/>
        <v>151682</v>
      </c>
      <c r="AB9" s="136">
        <f t="shared" si="1"/>
        <v>390628</v>
      </c>
      <c r="AC9" s="135">
        <f t="shared" si="1"/>
        <v>124434</v>
      </c>
      <c r="AD9" s="135">
        <f t="shared" si="1"/>
        <v>81951</v>
      </c>
      <c r="AE9" s="135">
        <f t="shared" si="1"/>
        <v>142221</v>
      </c>
      <c r="AF9" s="136">
        <f t="shared" si="1"/>
        <v>348606</v>
      </c>
      <c r="AG9" s="135">
        <f t="shared" si="1"/>
        <v>128305</v>
      </c>
      <c r="AH9" s="135">
        <f t="shared" si="1"/>
        <v>95608</v>
      </c>
      <c r="AI9" s="135">
        <f t="shared" si="1"/>
        <v>109324</v>
      </c>
      <c r="AJ9" s="136">
        <f t="shared" si="1"/>
        <v>333237</v>
      </c>
      <c r="AK9" s="135">
        <f t="shared" si="1"/>
        <v>83491</v>
      </c>
      <c r="AL9" s="135">
        <f t="shared" si="1"/>
        <v>75286</v>
      </c>
      <c r="AM9" s="135">
        <f t="shared" si="1"/>
        <v>64183</v>
      </c>
      <c r="AN9" s="136">
        <f t="shared" si="1"/>
        <v>222960</v>
      </c>
      <c r="AO9" s="136">
        <f t="shared" si="1"/>
        <v>1295431</v>
      </c>
      <c r="AP9" s="143">
        <f t="shared" si="1"/>
        <v>55688</v>
      </c>
      <c r="AQ9" s="143">
        <f t="shared" si="1"/>
        <v>72434</v>
      </c>
      <c r="AR9" s="143">
        <f t="shared" si="1"/>
        <v>82672</v>
      </c>
      <c r="AS9" s="144">
        <f t="shared" si="1"/>
        <v>210794</v>
      </c>
      <c r="AT9" s="143">
        <f t="shared" si="1"/>
        <v>27930</v>
      </c>
      <c r="AU9" s="143">
        <f t="shared" si="1"/>
        <v>34644</v>
      </c>
      <c r="AV9" s="143">
        <f t="shared" si="1"/>
        <v>49355</v>
      </c>
      <c r="AW9" s="144">
        <f t="shared" si="1"/>
        <v>111929</v>
      </c>
      <c r="AX9" s="143">
        <f t="shared" si="1"/>
        <v>96242</v>
      </c>
      <c r="AY9" s="143">
        <f t="shared" si="1"/>
        <v>91631</v>
      </c>
      <c r="AZ9" s="143">
        <f t="shared" si="1"/>
        <v>87612</v>
      </c>
      <c r="BA9" s="144">
        <f t="shared" si="1"/>
        <v>275485</v>
      </c>
      <c r="BB9" s="143">
        <f t="shared" si="1"/>
        <v>63692</v>
      </c>
      <c r="BC9" s="143">
        <f t="shared" si="1"/>
        <v>79375</v>
      </c>
      <c r="BD9" s="143">
        <f t="shared" si="1"/>
        <v>58277</v>
      </c>
      <c r="BE9" s="144">
        <f t="shared" si="1"/>
        <v>201344</v>
      </c>
      <c r="BF9" s="144">
        <f t="shared" si="1"/>
        <v>799552</v>
      </c>
      <c r="BG9" s="145">
        <f t="shared" ref="BG9:BI9" si="2">BG114</f>
        <v>47093</v>
      </c>
      <c r="BH9" s="145">
        <f t="shared" si="2"/>
        <v>46497</v>
      </c>
      <c r="BI9" s="145">
        <f t="shared" si="2"/>
        <v>42974</v>
      </c>
      <c r="BJ9" s="147">
        <f>SUM(BJ114)</f>
        <v>138980</v>
      </c>
      <c r="BK9" s="145">
        <f t="shared" ref="BK9:BM9" si="3">BK114</f>
        <v>56713</v>
      </c>
      <c r="BL9" s="145">
        <f t="shared" si="3"/>
        <v>47947</v>
      </c>
      <c r="BM9" s="145">
        <f t="shared" si="3"/>
        <v>38945</v>
      </c>
      <c r="BN9" s="147">
        <f>SUM(BN114)</f>
        <v>142430</v>
      </c>
      <c r="BO9" s="145">
        <f t="shared" ref="BO9:BQ9" si="4">BO114</f>
        <v>46856</v>
      </c>
      <c r="BP9" s="145">
        <f t="shared" si="4"/>
        <v>35573</v>
      </c>
      <c r="BQ9" s="145">
        <f t="shared" si="4"/>
        <v>34826</v>
      </c>
      <c r="BR9" s="147">
        <f>SUM(BR114)</f>
        <v>117255</v>
      </c>
      <c r="BS9" s="145">
        <f t="shared" ref="BS9:BU9" si="5">BS114</f>
        <v>38228</v>
      </c>
      <c r="BT9" s="145">
        <f t="shared" si="5"/>
        <v>27732</v>
      </c>
      <c r="BU9" s="145">
        <f t="shared" si="5"/>
        <v>18173</v>
      </c>
      <c r="BV9" s="147">
        <f t="shared" ref="BV9:BW9" si="6">SUM(BV114)</f>
        <v>84133</v>
      </c>
      <c r="BW9" s="147">
        <f t="shared" si="6"/>
        <v>482798</v>
      </c>
      <c r="BX9" s="151">
        <f t="shared" ref="BX9:CF9" si="7">BX114</f>
        <v>12699</v>
      </c>
      <c r="BY9" s="151">
        <f t="shared" si="7"/>
        <v>23811</v>
      </c>
      <c r="BZ9" s="151">
        <f t="shared" si="7"/>
        <v>11666</v>
      </c>
      <c r="CA9" s="151">
        <f t="shared" si="7"/>
        <v>17994</v>
      </c>
      <c r="CB9" s="151">
        <f t="shared" si="7"/>
        <v>25466</v>
      </c>
      <c r="CC9" s="151">
        <f t="shared" si="7"/>
        <v>9800</v>
      </c>
      <c r="CD9" s="151">
        <f t="shared" si="7"/>
        <v>8492</v>
      </c>
      <c r="CE9" s="151">
        <f t="shared" si="7"/>
        <v>26176</v>
      </c>
      <c r="CF9" s="157">
        <f t="shared" si="7"/>
        <v>18450</v>
      </c>
      <c r="CG9" s="158">
        <f>SUM(CG114)</f>
        <v>130411</v>
      </c>
      <c r="CH9" s="151">
        <f t="shared" ref="CH9:CP9" si="8">CH114</f>
        <v>22601</v>
      </c>
      <c r="CI9" s="151">
        <f t="shared" si="8"/>
        <v>20080</v>
      </c>
      <c r="CJ9" s="157">
        <f t="shared" si="8"/>
        <v>-2521</v>
      </c>
      <c r="CK9" s="151">
        <f t="shared" si="8"/>
        <v>23922</v>
      </c>
      <c r="CL9" s="151">
        <f t="shared" si="8"/>
        <v>23822</v>
      </c>
      <c r="CM9" s="157">
        <f t="shared" si="8"/>
        <v>-100</v>
      </c>
      <c r="CN9" s="151">
        <f t="shared" si="8"/>
        <v>19112</v>
      </c>
      <c r="CO9" s="151">
        <f t="shared" si="8"/>
        <v>19417</v>
      </c>
      <c r="CP9" s="157">
        <f t="shared" si="8"/>
        <v>305</v>
      </c>
      <c r="CQ9" s="158">
        <f>SUM(CQ114)</f>
        <v>121581</v>
      </c>
      <c r="CR9" s="151">
        <f t="shared" ref="CR9:CV9" si="9">CR114</f>
        <v>20813</v>
      </c>
      <c r="CS9" s="151">
        <f t="shared" si="9"/>
        <v>37600</v>
      </c>
      <c r="CT9" s="151">
        <f t="shared" si="9"/>
        <v>58413</v>
      </c>
      <c r="CU9" s="151">
        <f t="shared" si="9"/>
        <v>0</v>
      </c>
      <c r="CV9" s="151">
        <f t="shared" si="9"/>
        <v>0</v>
      </c>
      <c r="CW9" s="158">
        <f>SUM(CW114)</f>
        <v>116826</v>
      </c>
      <c r="CX9" s="151">
        <f t="shared" ref="CX9:CZ9" si="10">CX114</f>
        <v>0</v>
      </c>
      <c r="CY9" s="151">
        <f t="shared" si="10"/>
        <v>0</v>
      </c>
      <c r="CZ9" s="151">
        <f t="shared" si="10"/>
        <v>0</v>
      </c>
      <c r="DA9" s="158">
        <f t="shared" ref="DA9:DC9" si="11">SUM(DA114)</f>
        <v>0</v>
      </c>
      <c r="DB9" s="159">
        <f t="shared" si="11"/>
        <v>368818</v>
      </c>
      <c r="DC9" s="161">
        <f t="shared" si="11"/>
        <v>7864637</v>
      </c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20"/>
      <c r="DR9" s="4"/>
      <c r="DS9" s="4"/>
    </row>
    <row r="10" ht="15.75" customHeight="1">
      <c r="A10" s="162"/>
      <c r="B10" s="162"/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2"/>
      <c r="AQ10" s="162"/>
      <c r="AR10" s="162"/>
      <c r="AS10" s="162"/>
      <c r="AT10" s="162"/>
      <c r="AU10" s="162"/>
      <c r="AV10" s="162"/>
      <c r="AW10" s="162"/>
      <c r="AX10" s="162"/>
      <c r="AY10" s="162"/>
      <c r="AZ10" s="162"/>
      <c r="BA10" s="162"/>
      <c r="BB10" s="162"/>
      <c r="BC10" s="162"/>
      <c r="BD10" s="162"/>
      <c r="BE10" s="162"/>
      <c r="BF10" s="162"/>
      <c r="BG10" s="162"/>
      <c r="BH10" s="162"/>
      <c r="BI10" s="162"/>
      <c r="BJ10" s="162"/>
      <c r="BK10" s="162"/>
      <c r="BL10" s="162"/>
      <c r="BM10" s="162"/>
      <c r="BN10" s="162"/>
      <c r="BO10" s="162"/>
      <c r="BP10" s="162"/>
      <c r="BQ10" s="162"/>
      <c r="BR10" s="162"/>
      <c r="BS10" s="162"/>
      <c r="BT10" s="162"/>
      <c r="BU10" s="162"/>
      <c r="BV10" s="162"/>
      <c r="BW10" s="162"/>
      <c r="BX10" s="162" t="s">
        <v>72</v>
      </c>
      <c r="BY10" s="162" t="s">
        <v>73</v>
      </c>
      <c r="BZ10" s="162" t="s">
        <v>74</v>
      </c>
      <c r="CA10" s="162" t="s">
        <v>72</v>
      </c>
      <c r="CB10" s="162" t="s">
        <v>73</v>
      </c>
      <c r="CC10" s="162" t="s">
        <v>74</v>
      </c>
      <c r="CD10" s="162" t="s">
        <v>72</v>
      </c>
      <c r="CE10" s="162" t="s">
        <v>73</v>
      </c>
      <c r="CF10" s="162" t="s">
        <v>74</v>
      </c>
      <c r="CG10" s="162"/>
      <c r="CH10" s="162" t="s">
        <v>72</v>
      </c>
      <c r="CI10" s="162" t="s">
        <v>73</v>
      </c>
      <c r="CJ10" s="162" t="s">
        <v>74</v>
      </c>
      <c r="CK10" s="162" t="s">
        <v>72</v>
      </c>
      <c r="CL10" s="162" t="s">
        <v>73</v>
      </c>
      <c r="CM10" s="162" t="s">
        <v>74</v>
      </c>
      <c r="CN10" s="162" t="s">
        <v>72</v>
      </c>
      <c r="CO10" s="162" t="s">
        <v>73</v>
      </c>
      <c r="CP10" s="162" t="s">
        <v>74</v>
      </c>
      <c r="CQ10" s="162"/>
      <c r="CR10" s="162"/>
      <c r="CS10" s="162" t="s">
        <v>75</v>
      </c>
      <c r="CT10" s="162" t="s">
        <v>72</v>
      </c>
      <c r="CU10" s="162"/>
      <c r="CV10" s="162"/>
      <c r="CW10" s="162"/>
      <c r="CX10" s="162"/>
      <c r="CY10" s="162"/>
      <c r="CZ10" s="162"/>
      <c r="DA10" s="162"/>
      <c r="DB10" s="162"/>
      <c r="DC10" s="162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</row>
    <row r="11" ht="15.75" customHeight="1">
      <c r="A11" s="137" t="s">
        <v>76</v>
      </c>
      <c r="B11" s="141">
        <f t="shared" ref="B11:F11" si="12">B12+B13+B14+B15+B16+B17</f>
        <v>2582</v>
      </c>
      <c r="C11" s="141">
        <f t="shared" si="12"/>
        <v>3828</v>
      </c>
      <c r="D11" s="141">
        <f t="shared" si="12"/>
        <v>3941</v>
      </c>
      <c r="E11" s="141">
        <f t="shared" si="12"/>
        <v>3658</v>
      </c>
      <c r="F11" s="141">
        <f t="shared" si="12"/>
        <v>19104</v>
      </c>
      <c r="G11" s="141">
        <f>SUM(G12:G17)</f>
        <v>33113</v>
      </c>
      <c r="H11" s="141">
        <f>H12+H13+H14+H15+H16+H17</f>
        <v>16070</v>
      </c>
      <c r="I11" s="141">
        <f t="shared" ref="I11:K11" si="13">SUM(I12:I17)</f>
        <v>18565</v>
      </c>
      <c r="J11" s="141">
        <f t="shared" si="13"/>
        <v>14769</v>
      </c>
      <c r="K11" s="142">
        <f t="shared" si="13"/>
        <v>49404</v>
      </c>
      <c r="L11" s="141">
        <f>L12+L13+L14+L15+L16+L17</f>
        <v>12813</v>
      </c>
      <c r="M11" s="141">
        <f t="shared" ref="M11:O11" si="14">SUM(M12:M17)</f>
        <v>12214</v>
      </c>
      <c r="N11" s="141">
        <f t="shared" si="14"/>
        <v>12091</v>
      </c>
      <c r="O11" s="142">
        <f t="shared" si="14"/>
        <v>37118</v>
      </c>
      <c r="P11" s="141">
        <f t="shared" ref="P11:Q11" si="15">P12+P13+P14+P15+P16+P17</f>
        <v>15225</v>
      </c>
      <c r="Q11" s="141">
        <f t="shared" si="15"/>
        <v>17354</v>
      </c>
      <c r="R11" s="141">
        <f t="shared" ref="R11:S11" si="16">SUM(R12:R17)</f>
        <v>28815</v>
      </c>
      <c r="S11" s="142">
        <f t="shared" si="16"/>
        <v>61394</v>
      </c>
      <c r="T11" s="141">
        <f>T12+T13+T14+T15+T16+T17</f>
        <v>14028</v>
      </c>
      <c r="U11" s="141">
        <f t="shared" ref="U11:X11" si="17">SUM(U12:U17)</f>
        <v>14752</v>
      </c>
      <c r="V11" s="141">
        <f t="shared" si="17"/>
        <v>9959</v>
      </c>
      <c r="W11" s="142">
        <f t="shared" si="17"/>
        <v>38739</v>
      </c>
      <c r="X11" s="142">
        <f t="shared" si="17"/>
        <v>186655</v>
      </c>
      <c r="Y11" s="141">
        <f>Y12+Y13+Y14+Y15+Y16+Y17</f>
        <v>8310</v>
      </c>
      <c r="Z11" s="141">
        <f t="shared" ref="Z11:CG11" si="18">SUM(Z12:Z17)</f>
        <v>3880</v>
      </c>
      <c r="AA11" s="141">
        <f t="shared" si="18"/>
        <v>3652</v>
      </c>
      <c r="AB11" s="142">
        <f t="shared" si="18"/>
        <v>15842</v>
      </c>
      <c r="AC11" s="141">
        <f t="shared" si="18"/>
        <v>5329</v>
      </c>
      <c r="AD11" s="141">
        <f t="shared" si="18"/>
        <v>3835</v>
      </c>
      <c r="AE11" s="141">
        <f t="shared" si="18"/>
        <v>5303</v>
      </c>
      <c r="AF11" s="142">
        <f t="shared" si="18"/>
        <v>14467</v>
      </c>
      <c r="AG11" s="141">
        <f t="shared" si="18"/>
        <v>4724</v>
      </c>
      <c r="AH11" s="141">
        <f t="shared" si="18"/>
        <v>4423</v>
      </c>
      <c r="AI11" s="141">
        <f t="shared" si="18"/>
        <v>2528</v>
      </c>
      <c r="AJ11" s="142">
        <f t="shared" si="18"/>
        <v>11675</v>
      </c>
      <c r="AK11" s="141">
        <f t="shared" si="18"/>
        <v>3089</v>
      </c>
      <c r="AL11" s="141">
        <f t="shared" si="18"/>
        <v>4769</v>
      </c>
      <c r="AM11" s="141">
        <f t="shared" si="18"/>
        <v>1502</v>
      </c>
      <c r="AN11" s="142">
        <f t="shared" si="18"/>
        <v>9360</v>
      </c>
      <c r="AO11" s="142">
        <f t="shared" si="18"/>
        <v>51344</v>
      </c>
      <c r="AP11" s="141">
        <f t="shared" si="18"/>
        <v>3335</v>
      </c>
      <c r="AQ11" s="141">
        <f t="shared" si="18"/>
        <v>5192</v>
      </c>
      <c r="AR11" s="142">
        <f t="shared" si="18"/>
        <v>3125</v>
      </c>
      <c r="AS11" s="141">
        <f t="shared" si="18"/>
        <v>11652</v>
      </c>
      <c r="AT11" s="141">
        <f t="shared" si="18"/>
        <v>967</v>
      </c>
      <c r="AU11" s="141">
        <f t="shared" si="18"/>
        <v>8</v>
      </c>
      <c r="AV11" s="141">
        <f t="shared" si="18"/>
        <v>1003</v>
      </c>
      <c r="AW11" s="142">
        <f t="shared" si="18"/>
        <v>1978</v>
      </c>
      <c r="AX11" s="141">
        <f t="shared" si="18"/>
        <v>970</v>
      </c>
      <c r="AY11" s="141">
        <f t="shared" si="18"/>
        <v>1797</v>
      </c>
      <c r="AZ11" s="141">
        <f t="shared" si="18"/>
        <v>1252</v>
      </c>
      <c r="BA11" s="142">
        <f t="shared" si="18"/>
        <v>4019</v>
      </c>
      <c r="BB11" s="141">
        <f t="shared" si="18"/>
        <v>643</v>
      </c>
      <c r="BC11" s="141">
        <f t="shared" si="18"/>
        <v>1263</v>
      </c>
      <c r="BD11" s="141">
        <f t="shared" si="18"/>
        <v>1290</v>
      </c>
      <c r="BE11" s="142">
        <f t="shared" si="18"/>
        <v>3196</v>
      </c>
      <c r="BF11" s="141">
        <f t="shared" si="18"/>
        <v>20845</v>
      </c>
      <c r="BG11" s="141">
        <f t="shared" si="18"/>
        <v>2688</v>
      </c>
      <c r="BH11" s="141">
        <f t="shared" si="18"/>
        <v>1043</v>
      </c>
      <c r="BI11" s="141">
        <f t="shared" si="18"/>
        <v>556</v>
      </c>
      <c r="BJ11" s="141">
        <f t="shared" si="18"/>
        <v>4287</v>
      </c>
      <c r="BK11" s="141">
        <f t="shared" si="18"/>
        <v>901</v>
      </c>
      <c r="BL11" s="141">
        <f t="shared" si="18"/>
        <v>1241</v>
      </c>
      <c r="BM11" s="141">
        <f t="shared" si="18"/>
        <v>793</v>
      </c>
      <c r="BN11" s="141">
        <f t="shared" si="18"/>
        <v>2935</v>
      </c>
      <c r="BO11" s="141">
        <f t="shared" si="18"/>
        <v>4457</v>
      </c>
      <c r="BP11" s="141">
        <f t="shared" si="18"/>
        <v>1596</v>
      </c>
      <c r="BQ11" s="141">
        <f t="shared" si="18"/>
        <v>1405</v>
      </c>
      <c r="BR11" s="141">
        <f t="shared" si="18"/>
        <v>7458</v>
      </c>
      <c r="BS11" s="141">
        <f t="shared" si="18"/>
        <v>2457</v>
      </c>
      <c r="BT11" s="141">
        <f t="shared" si="18"/>
        <v>1028</v>
      </c>
      <c r="BU11" s="141">
        <f t="shared" si="18"/>
        <v>500</v>
      </c>
      <c r="BV11" s="141">
        <f t="shared" si="18"/>
        <v>3985</v>
      </c>
      <c r="BW11" s="141">
        <f t="shared" si="18"/>
        <v>18665</v>
      </c>
      <c r="BX11" s="141">
        <f t="shared" si="18"/>
        <v>549</v>
      </c>
      <c r="BY11" s="141">
        <f t="shared" si="18"/>
        <v>1634</v>
      </c>
      <c r="BZ11" s="141">
        <f t="shared" si="18"/>
        <v>1085</v>
      </c>
      <c r="CA11" s="141">
        <f t="shared" si="18"/>
        <v>210</v>
      </c>
      <c r="CB11" s="141">
        <f t="shared" si="18"/>
        <v>978</v>
      </c>
      <c r="CC11" s="141">
        <f t="shared" si="18"/>
        <v>768</v>
      </c>
      <c r="CD11" s="141">
        <f t="shared" si="18"/>
        <v>362</v>
      </c>
      <c r="CE11" s="141">
        <f t="shared" si="18"/>
        <v>798</v>
      </c>
      <c r="CF11" s="141">
        <f t="shared" si="18"/>
        <v>436</v>
      </c>
      <c r="CG11" s="141">
        <f t="shared" si="18"/>
        <v>6384</v>
      </c>
      <c r="CH11" s="141">
        <f t="shared" ref="CH11:CI11" si="19">CH12+CH13+CH14+CH15+CH16+CH17</f>
        <v>2577</v>
      </c>
      <c r="CI11" s="141">
        <f t="shared" si="19"/>
        <v>684</v>
      </c>
      <c r="CJ11" s="141">
        <f t="shared" ref="CJ11:CQ11" si="20">SUM(CJ12:CJ17)</f>
        <v>-1893</v>
      </c>
      <c r="CK11" s="141">
        <f t="shared" si="20"/>
        <v>2509</v>
      </c>
      <c r="CL11" s="141">
        <f t="shared" si="20"/>
        <v>2409</v>
      </c>
      <c r="CM11" s="141">
        <f t="shared" si="20"/>
        <v>-100</v>
      </c>
      <c r="CN11" s="141">
        <f t="shared" si="20"/>
        <v>1027</v>
      </c>
      <c r="CO11" s="141">
        <f t="shared" si="20"/>
        <v>1028</v>
      </c>
      <c r="CP11" s="141">
        <f t="shared" si="20"/>
        <v>1</v>
      </c>
      <c r="CQ11" s="141">
        <f t="shared" si="20"/>
        <v>7854</v>
      </c>
      <c r="CR11" s="141">
        <f t="shared" ref="CR11:CT11" si="21">CR12+CR13+CR14+CR15+CR16+CR17</f>
        <v>382</v>
      </c>
      <c r="CS11" s="141">
        <f t="shared" si="21"/>
        <v>297</v>
      </c>
      <c r="CT11" s="141">
        <f t="shared" si="21"/>
        <v>679</v>
      </c>
      <c r="CU11" s="141">
        <f t="shared" ref="CU11:CW11" si="22">SUM(CU12:CU17)</f>
        <v>0</v>
      </c>
      <c r="CV11" s="141">
        <f t="shared" si="22"/>
        <v>0</v>
      </c>
      <c r="CW11" s="141">
        <f t="shared" si="22"/>
        <v>1358</v>
      </c>
      <c r="CX11" s="141">
        <f>CX12+CX13+CX14+CX15+CX16+CX17</f>
        <v>0</v>
      </c>
      <c r="CY11" s="141">
        <f t="shared" ref="CY11:DC11" si="23">SUM(CY12:CY17)</f>
        <v>0</v>
      </c>
      <c r="CZ11" s="141">
        <f t="shared" si="23"/>
        <v>0</v>
      </c>
      <c r="DA11" s="141">
        <f t="shared" si="23"/>
        <v>0</v>
      </c>
      <c r="DB11" s="141">
        <f t="shared" si="23"/>
        <v>15596</v>
      </c>
      <c r="DC11" s="141">
        <f t="shared" si="23"/>
        <v>326218</v>
      </c>
      <c r="DD11" s="4"/>
      <c r="DE11" s="20">
        <f>SUM(AJ11,AN11,BF11,BW11,DB11)</f>
        <v>76141</v>
      </c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1"/>
      <c r="DS11" s="148"/>
    </row>
    <row r="12" ht="15.75" customHeight="1">
      <c r="A12" s="167" t="s">
        <v>77</v>
      </c>
      <c r="B12" s="154">
        <v>1456.0</v>
      </c>
      <c r="C12" s="154">
        <v>2198.0</v>
      </c>
      <c r="D12" s="154">
        <v>1288.0</v>
      </c>
      <c r="E12" s="154">
        <v>630.0</v>
      </c>
      <c r="F12" s="154">
        <v>2938.0</v>
      </c>
      <c r="G12" s="154">
        <f t="shared" ref="G12:G17" si="24">SUM(B12:F12)</f>
        <v>8510</v>
      </c>
      <c r="H12" s="154">
        <v>2486.0</v>
      </c>
      <c r="I12" s="154">
        <v>4152.0</v>
      </c>
      <c r="J12" s="155">
        <v>1710.0</v>
      </c>
      <c r="K12" s="156">
        <f t="shared" ref="K12:K17" si="25">SUM(H12:J12)</f>
        <v>8348</v>
      </c>
      <c r="L12" s="154">
        <v>1198.0</v>
      </c>
      <c r="M12" s="154">
        <v>2886.0</v>
      </c>
      <c r="N12" s="154">
        <v>2071.0</v>
      </c>
      <c r="O12" s="156">
        <f t="shared" ref="O12:O17" si="26">SUM(L12:N12)</f>
        <v>6155</v>
      </c>
      <c r="P12" s="154">
        <v>5036.0</v>
      </c>
      <c r="Q12" s="154">
        <v>3065.0</v>
      </c>
      <c r="R12" s="154">
        <v>3087.0</v>
      </c>
      <c r="S12" s="156">
        <f t="shared" ref="S12:S17" si="27">SUM(P12:R12)</f>
        <v>11188</v>
      </c>
      <c r="T12" s="154">
        <v>1163.0</v>
      </c>
      <c r="U12" s="154">
        <v>1088.0</v>
      </c>
      <c r="V12" s="154">
        <v>1425.0</v>
      </c>
      <c r="W12" s="156">
        <f t="shared" ref="W12:W17" si="28">SUM(T12:V12)</f>
        <v>3676</v>
      </c>
      <c r="X12" s="156">
        <f t="shared" ref="X12:X17" si="29">SUM(K12,O12,S12,W12)</f>
        <v>29367</v>
      </c>
      <c r="Y12" s="154">
        <v>1132.0</v>
      </c>
      <c r="Z12" s="154">
        <v>844.0</v>
      </c>
      <c r="AA12" s="155">
        <v>303.0</v>
      </c>
      <c r="AB12" s="156">
        <f t="shared" ref="AB12:AB17" si="30">SUM(Y12:AA12)</f>
        <v>2279</v>
      </c>
      <c r="AC12" s="154">
        <v>344.0</v>
      </c>
      <c r="AD12" s="154">
        <v>293.0</v>
      </c>
      <c r="AE12" s="154">
        <v>544.0</v>
      </c>
      <c r="AF12" s="156">
        <f t="shared" ref="AF12:AF17" si="31">SUM(AC12:AE12)</f>
        <v>1181</v>
      </c>
      <c r="AG12" s="154">
        <v>187.0</v>
      </c>
      <c r="AH12" s="154">
        <v>723.0</v>
      </c>
      <c r="AI12" s="154">
        <v>0.0</v>
      </c>
      <c r="AJ12" s="156">
        <f t="shared" ref="AJ12:AJ17" si="32">SUM(AG12:AI12)</f>
        <v>910</v>
      </c>
      <c r="AK12" s="154">
        <v>621.0</v>
      </c>
      <c r="AL12" s="154">
        <v>769.0</v>
      </c>
      <c r="AM12" s="154">
        <v>245.0</v>
      </c>
      <c r="AN12" s="156">
        <f t="shared" ref="AN12:AN17" si="33">SUM(AK12:AM12)</f>
        <v>1635</v>
      </c>
      <c r="AO12" s="156">
        <f t="shared" ref="AO12:AO17" si="34">SUM(AB12,AF12,AJ12,AN12)</f>
        <v>6005</v>
      </c>
      <c r="AP12" s="154">
        <v>15.0</v>
      </c>
      <c r="AQ12" s="154">
        <v>799.0</v>
      </c>
      <c r="AR12" s="156">
        <v>0.0</v>
      </c>
      <c r="AS12" s="154">
        <f t="shared" ref="AS12:AS17" si="35">SUM(AP12:AR12)</f>
        <v>814</v>
      </c>
      <c r="AT12" s="154">
        <v>183.0</v>
      </c>
      <c r="AU12" s="154">
        <v>0.0</v>
      </c>
      <c r="AV12" s="154">
        <v>6.0</v>
      </c>
      <c r="AW12" s="154">
        <f t="shared" ref="AW12:AW17" si="36">SUM(AT12:AV12)</f>
        <v>189</v>
      </c>
      <c r="AX12" s="154">
        <v>47.0</v>
      </c>
      <c r="AY12" s="154">
        <v>284.0</v>
      </c>
      <c r="AZ12" s="154">
        <v>1.0</v>
      </c>
      <c r="BA12" s="154">
        <f t="shared" ref="BA12:BA17" si="37">SUM(AX12:AZ12)</f>
        <v>332</v>
      </c>
      <c r="BB12" s="154">
        <v>0.0</v>
      </c>
      <c r="BC12" s="154">
        <v>110.0</v>
      </c>
      <c r="BD12" s="154">
        <v>404.0</v>
      </c>
      <c r="BE12" s="154">
        <f t="shared" ref="BE12:BE17" si="38">SUM(BB12:BD12)</f>
        <v>514</v>
      </c>
      <c r="BF12" s="154">
        <f t="shared" ref="BF12:BF17" si="39">SUM(AS12,AW12,BA12,BE12)</f>
        <v>1849</v>
      </c>
      <c r="BG12" s="154">
        <v>278.0</v>
      </c>
      <c r="BH12" s="154">
        <v>0.0</v>
      </c>
      <c r="BI12" s="154">
        <v>168.0</v>
      </c>
      <c r="BJ12" s="154">
        <f t="shared" ref="BJ12:BJ17" si="40">SUM(BG12:BI12)</f>
        <v>446</v>
      </c>
      <c r="BK12" s="154">
        <v>25.0</v>
      </c>
      <c r="BL12" s="154">
        <v>100.0</v>
      </c>
      <c r="BM12" s="154">
        <v>39.0</v>
      </c>
      <c r="BN12" s="154">
        <f t="shared" ref="BN12:BN17" si="41">SUM(BK12:BM12)</f>
        <v>164</v>
      </c>
      <c r="BO12" s="154">
        <v>500.0</v>
      </c>
      <c r="BP12" s="154">
        <v>193.0</v>
      </c>
      <c r="BQ12" s="154">
        <v>166.0</v>
      </c>
      <c r="BR12" s="154">
        <f t="shared" ref="BR12:BR17" si="42">SUM(BO12:BQ12)</f>
        <v>859</v>
      </c>
      <c r="BS12" s="154">
        <v>313.0</v>
      </c>
      <c r="BT12" s="154">
        <v>210.0</v>
      </c>
      <c r="BU12" s="154">
        <v>29.0</v>
      </c>
      <c r="BV12" s="154">
        <f t="shared" ref="BV12:BV17" si="43">SUM(BS12:BU12)</f>
        <v>552</v>
      </c>
      <c r="BW12" s="154">
        <f t="shared" ref="BW12:BW17" si="44">SUM(BJ12,BN12,BR12,BV12)</f>
        <v>2021</v>
      </c>
      <c r="BX12" s="154">
        <v>0.0</v>
      </c>
      <c r="BY12" s="154">
        <v>126.0</v>
      </c>
      <c r="BZ12" s="154">
        <f t="shared" ref="BZ12:BZ17" si="45">BY12-BX12</f>
        <v>126</v>
      </c>
      <c r="CA12" s="154">
        <v>0.0</v>
      </c>
      <c r="CB12" s="154">
        <v>7.0</v>
      </c>
      <c r="CC12" s="154">
        <f t="shared" ref="CC12:CC17" si="46">CB12-CA12</f>
        <v>7</v>
      </c>
      <c r="CD12" s="154">
        <v>22.0</v>
      </c>
      <c r="CE12" s="154">
        <v>96.0</v>
      </c>
      <c r="CF12" s="154">
        <f t="shared" ref="CF12:CF17" si="47">CE12-CD12</f>
        <v>74</v>
      </c>
      <c r="CG12" s="154">
        <f t="shared" ref="CG12:CG17" si="48">SUM(BX12:CE12)</f>
        <v>384</v>
      </c>
      <c r="CH12" s="154">
        <v>201.0</v>
      </c>
      <c r="CI12" s="154">
        <v>9.0</v>
      </c>
      <c r="CJ12" s="154">
        <f t="shared" ref="CJ12:CJ17" si="49">CI12-CH12</f>
        <v>-192</v>
      </c>
      <c r="CK12" s="154">
        <v>204.0</v>
      </c>
      <c r="CL12" s="170">
        <v>204.0</v>
      </c>
      <c r="CM12" s="154">
        <f t="shared" ref="CM12:CM17" si="50">CL12-CK12</f>
        <v>0</v>
      </c>
      <c r="CN12" s="170">
        <v>17.0</v>
      </c>
      <c r="CO12" s="170">
        <v>17.0</v>
      </c>
      <c r="CP12" s="154">
        <f t="shared" ref="CP12:CP17" si="51">CO12-CN12</f>
        <v>0</v>
      </c>
      <c r="CQ12" s="154">
        <f t="shared" ref="CQ12:CQ13" si="52">SUM(CH12:CO12)</f>
        <v>460</v>
      </c>
      <c r="CR12" s="154">
        <v>8.0</v>
      </c>
      <c r="CS12" s="154">
        <f t="shared" ref="CS12:CS17" si="53">SUM(BZ12,CC12,CF12,CJ12,CM12,CP12)</f>
        <v>15</v>
      </c>
      <c r="CT12" s="154">
        <f t="shared" ref="CT12:CT17" si="54">CR12+CS12</f>
        <v>23</v>
      </c>
      <c r="CU12" s="154"/>
      <c r="CV12" s="155"/>
      <c r="CW12" s="154">
        <f t="shared" ref="CW12:CW17" si="55">SUM(CR12:CV12)</f>
        <v>46</v>
      </c>
      <c r="CX12" s="154"/>
      <c r="CY12" s="154"/>
      <c r="CZ12" s="155"/>
      <c r="DA12" s="154">
        <f t="shared" ref="DA12:DA17" si="56">SUM(CX12:CZ12)</f>
        <v>0</v>
      </c>
      <c r="DB12" s="154">
        <f t="shared" ref="DB12:DB17" si="57">SUM(CG12,CQ12,CW12,DA12)</f>
        <v>890</v>
      </c>
      <c r="DC12" s="171">
        <f t="shared" ref="DC12:DC17" si="58">SUM(A12,G12,X12,AO12,BF12,BW12,DB12)</f>
        <v>48642</v>
      </c>
      <c r="DD12" s="4"/>
      <c r="DE12" s="164"/>
      <c r="DF12" s="4"/>
      <c r="DG12" s="20"/>
      <c r="DH12" s="20"/>
      <c r="DI12" s="4"/>
      <c r="DJ12" s="4"/>
      <c r="DK12" s="20"/>
      <c r="DL12" s="20"/>
      <c r="DM12" s="4"/>
      <c r="DN12" s="4"/>
      <c r="DO12" s="4"/>
      <c r="DP12" s="4"/>
      <c r="DQ12" s="165"/>
      <c r="DR12" s="1"/>
      <c r="DS12" s="1"/>
    </row>
    <row r="13" ht="15.75" customHeight="1">
      <c r="A13" s="167" t="s">
        <v>78</v>
      </c>
      <c r="B13" s="154">
        <v>1.0</v>
      </c>
      <c r="C13" s="154">
        <v>1.0</v>
      </c>
      <c r="D13" s="154">
        <v>47.0</v>
      </c>
      <c r="E13" s="154">
        <v>37.0</v>
      </c>
      <c r="F13" s="154">
        <v>958.0</v>
      </c>
      <c r="G13" s="154">
        <f t="shared" si="24"/>
        <v>1044</v>
      </c>
      <c r="H13" s="154">
        <v>1204.0</v>
      </c>
      <c r="I13" s="154">
        <v>1470.0</v>
      </c>
      <c r="J13" s="155">
        <v>301.0</v>
      </c>
      <c r="K13" s="156">
        <f t="shared" si="25"/>
        <v>2975</v>
      </c>
      <c r="L13" s="154">
        <v>336.0</v>
      </c>
      <c r="M13" s="154">
        <v>119.0</v>
      </c>
      <c r="N13" s="154">
        <v>992.0</v>
      </c>
      <c r="O13" s="156">
        <f t="shared" si="26"/>
        <v>1447</v>
      </c>
      <c r="P13" s="154">
        <v>1819.0</v>
      </c>
      <c r="Q13" s="154">
        <v>1554.0</v>
      </c>
      <c r="R13" s="154">
        <v>5331.0</v>
      </c>
      <c r="S13" s="156">
        <f t="shared" si="27"/>
        <v>8704</v>
      </c>
      <c r="T13" s="154">
        <v>2644.0</v>
      </c>
      <c r="U13" s="154">
        <v>1006.0</v>
      </c>
      <c r="V13" s="154">
        <v>1714.0</v>
      </c>
      <c r="W13" s="156">
        <f t="shared" si="28"/>
        <v>5364</v>
      </c>
      <c r="X13" s="156">
        <f t="shared" si="29"/>
        <v>18490</v>
      </c>
      <c r="Y13" s="154">
        <v>817.0</v>
      </c>
      <c r="Z13" s="154">
        <v>212.0</v>
      </c>
      <c r="AA13" s="155">
        <v>423.0</v>
      </c>
      <c r="AB13" s="156">
        <f t="shared" si="30"/>
        <v>1452</v>
      </c>
      <c r="AC13" s="154">
        <v>83.0</v>
      </c>
      <c r="AD13" s="154">
        <v>642.0</v>
      </c>
      <c r="AE13" s="154">
        <v>239.0</v>
      </c>
      <c r="AF13" s="156">
        <f t="shared" si="31"/>
        <v>964</v>
      </c>
      <c r="AG13" s="154">
        <v>362.0</v>
      </c>
      <c r="AH13" s="154">
        <v>727.0</v>
      </c>
      <c r="AI13" s="154">
        <v>45.0</v>
      </c>
      <c r="AJ13" s="156">
        <f t="shared" si="32"/>
        <v>1134</v>
      </c>
      <c r="AK13" s="154">
        <v>42.0</v>
      </c>
      <c r="AL13" s="154">
        <v>351.0</v>
      </c>
      <c r="AM13" s="154">
        <v>285.0</v>
      </c>
      <c r="AN13" s="156">
        <f t="shared" si="33"/>
        <v>678</v>
      </c>
      <c r="AO13" s="156">
        <f t="shared" si="34"/>
        <v>4228</v>
      </c>
      <c r="AP13" s="154">
        <v>117.0</v>
      </c>
      <c r="AQ13" s="154">
        <v>168.0</v>
      </c>
      <c r="AR13" s="156">
        <v>358.0</v>
      </c>
      <c r="AS13" s="154">
        <f t="shared" si="35"/>
        <v>643</v>
      </c>
      <c r="AT13" s="154">
        <v>141.0</v>
      </c>
      <c r="AU13" s="154">
        <v>2.0</v>
      </c>
      <c r="AV13" s="154">
        <v>231.0</v>
      </c>
      <c r="AW13" s="154">
        <f t="shared" si="36"/>
        <v>374</v>
      </c>
      <c r="AX13" s="154">
        <v>142.0</v>
      </c>
      <c r="AY13" s="154">
        <v>117.0</v>
      </c>
      <c r="AZ13" s="154">
        <v>139.0</v>
      </c>
      <c r="BA13" s="154">
        <f t="shared" si="37"/>
        <v>398</v>
      </c>
      <c r="BB13" s="154">
        <v>78.0</v>
      </c>
      <c r="BC13" s="154">
        <v>356.0</v>
      </c>
      <c r="BD13" s="154">
        <v>99.0</v>
      </c>
      <c r="BE13" s="154">
        <f t="shared" si="38"/>
        <v>533</v>
      </c>
      <c r="BF13" s="154">
        <f t="shared" si="39"/>
        <v>1948</v>
      </c>
      <c r="BG13" s="154">
        <v>396.0</v>
      </c>
      <c r="BH13" s="154">
        <v>136.0</v>
      </c>
      <c r="BI13" s="154">
        <v>13.0</v>
      </c>
      <c r="BJ13" s="154">
        <f t="shared" si="40"/>
        <v>545</v>
      </c>
      <c r="BK13" s="154">
        <v>270.0</v>
      </c>
      <c r="BL13" s="154">
        <v>206.0</v>
      </c>
      <c r="BM13" s="154">
        <v>108.0</v>
      </c>
      <c r="BN13" s="154">
        <f t="shared" si="41"/>
        <v>584</v>
      </c>
      <c r="BO13" s="154">
        <v>227.0</v>
      </c>
      <c r="BP13" s="154">
        <v>104.0</v>
      </c>
      <c r="BQ13" s="154">
        <v>127.0</v>
      </c>
      <c r="BR13" s="154">
        <f t="shared" si="42"/>
        <v>458</v>
      </c>
      <c r="BS13" s="154">
        <v>279.0</v>
      </c>
      <c r="BT13" s="154">
        <v>77.0</v>
      </c>
      <c r="BU13" s="154">
        <v>106.0</v>
      </c>
      <c r="BV13" s="154">
        <f t="shared" si="43"/>
        <v>462</v>
      </c>
      <c r="BW13" s="154">
        <f t="shared" si="44"/>
        <v>2049</v>
      </c>
      <c r="BX13" s="154">
        <v>0.0</v>
      </c>
      <c r="BY13" s="154">
        <v>110.0</v>
      </c>
      <c r="BZ13" s="154">
        <f t="shared" si="45"/>
        <v>110</v>
      </c>
      <c r="CA13" s="154">
        <v>0.0</v>
      </c>
      <c r="CB13" s="154">
        <v>95.0</v>
      </c>
      <c r="CC13" s="154">
        <f t="shared" si="46"/>
        <v>95</v>
      </c>
      <c r="CD13" s="154">
        <v>73.0</v>
      </c>
      <c r="CE13" s="154">
        <v>145.0</v>
      </c>
      <c r="CF13" s="154">
        <f t="shared" si="47"/>
        <v>72</v>
      </c>
      <c r="CG13" s="154">
        <f t="shared" si="48"/>
        <v>628</v>
      </c>
      <c r="CH13" s="154">
        <v>345.0</v>
      </c>
      <c r="CI13" s="154">
        <v>95.0</v>
      </c>
      <c r="CJ13" s="154">
        <f t="shared" si="49"/>
        <v>-250</v>
      </c>
      <c r="CK13" s="154">
        <v>268.0</v>
      </c>
      <c r="CL13" s="170">
        <v>268.0</v>
      </c>
      <c r="CM13" s="154">
        <f t="shared" si="50"/>
        <v>0</v>
      </c>
      <c r="CN13" s="170">
        <v>65.0</v>
      </c>
      <c r="CO13" s="170">
        <v>65.0</v>
      </c>
      <c r="CP13" s="154">
        <f t="shared" si="51"/>
        <v>0</v>
      </c>
      <c r="CQ13" s="154">
        <f t="shared" si="52"/>
        <v>856</v>
      </c>
      <c r="CR13" s="154">
        <v>74.0</v>
      </c>
      <c r="CS13" s="154">
        <f t="shared" si="53"/>
        <v>27</v>
      </c>
      <c r="CT13" s="154">
        <f t="shared" si="54"/>
        <v>101</v>
      </c>
      <c r="CU13" s="154"/>
      <c r="CV13" s="155"/>
      <c r="CW13" s="154">
        <f t="shared" si="55"/>
        <v>202</v>
      </c>
      <c r="CX13" s="154"/>
      <c r="CY13" s="154"/>
      <c r="CZ13" s="155"/>
      <c r="DA13" s="154">
        <f t="shared" si="56"/>
        <v>0</v>
      </c>
      <c r="DB13" s="154">
        <f t="shared" si="57"/>
        <v>1686</v>
      </c>
      <c r="DC13" s="171">
        <f t="shared" si="58"/>
        <v>29445</v>
      </c>
      <c r="DD13" s="4"/>
      <c r="DE13" s="164"/>
      <c r="DF13" s="4"/>
      <c r="DG13" s="20"/>
      <c r="DH13" s="20"/>
      <c r="DI13" s="4"/>
      <c r="DJ13" s="4"/>
      <c r="DK13" s="20"/>
      <c r="DL13" s="20"/>
      <c r="DM13" s="4"/>
      <c r="DN13" s="4"/>
      <c r="DO13" s="4"/>
      <c r="DP13" s="4"/>
      <c r="DQ13" s="4"/>
      <c r="DR13" s="1"/>
      <c r="DS13" s="1"/>
    </row>
    <row r="14" ht="15.75" customHeight="1">
      <c r="A14" s="169" t="s">
        <v>79</v>
      </c>
      <c r="B14" s="154">
        <v>877.0</v>
      </c>
      <c r="C14" s="154">
        <v>736.0</v>
      </c>
      <c r="D14" s="154">
        <v>881.0</v>
      </c>
      <c r="E14" s="154">
        <v>2013.0</v>
      </c>
      <c r="F14" s="154">
        <v>6385.0</v>
      </c>
      <c r="G14" s="154">
        <f t="shared" si="24"/>
        <v>10892</v>
      </c>
      <c r="H14" s="154">
        <v>4264.0</v>
      </c>
      <c r="I14" s="154">
        <v>1236.0</v>
      </c>
      <c r="J14" s="154">
        <v>2772.0</v>
      </c>
      <c r="K14" s="156">
        <f t="shared" si="25"/>
        <v>8272</v>
      </c>
      <c r="L14" s="154">
        <v>3762.0</v>
      </c>
      <c r="M14" s="154">
        <v>2691.0</v>
      </c>
      <c r="N14" s="154">
        <v>4062.0</v>
      </c>
      <c r="O14" s="156">
        <f t="shared" si="26"/>
        <v>10515</v>
      </c>
      <c r="P14" s="154">
        <v>2441.0</v>
      </c>
      <c r="Q14" s="154">
        <v>2631.0</v>
      </c>
      <c r="R14" s="154">
        <v>8345.0</v>
      </c>
      <c r="S14" s="156">
        <f t="shared" si="27"/>
        <v>13417</v>
      </c>
      <c r="T14" s="154">
        <v>2249.0</v>
      </c>
      <c r="U14" s="154">
        <v>5211.0</v>
      </c>
      <c r="V14" s="154">
        <v>2899.0</v>
      </c>
      <c r="W14" s="156">
        <f t="shared" si="28"/>
        <v>10359</v>
      </c>
      <c r="X14" s="156">
        <f t="shared" si="29"/>
        <v>42563</v>
      </c>
      <c r="Y14" s="154">
        <v>2404.0</v>
      </c>
      <c r="Z14" s="154">
        <v>1076.0</v>
      </c>
      <c r="AA14" s="154">
        <v>1249.0</v>
      </c>
      <c r="AB14" s="156">
        <f t="shared" si="30"/>
        <v>4729</v>
      </c>
      <c r="AC14" s="154">
        <v>2506.0</v>
      </c>
      <c r="AD14" s="154">
        <v>1578.0</v>
      </c>
      <c r="AE14" s="154">
        <v>869.0</v>
      </c>
      <c r="AF14" s="156">
        <f t="shared" si="31"/>
        <v>4953</v>
      </c>
      <c r="AG14" s="154">
        <v>1451.0</v>
      </c>
      <c r="AH14" s="154">
        <v>2028.0</v>
      </c>
      <c r="AI14" s="154">
        <v>1105.0</v>
      </c>
      <c r="AJ14" s="156">
        <f t="shared" si="32"/>
        <v>4584</v>
      </c>
      <c r="AK14" s="154">
        <v>970.0</v>
      </c>
      <c r="AL14" s="154">
        <v>707.0</v>
      </c>
      <c r="AM14" s="154">
        <v>453.0</v>
      </c>
      <c r="AN14" s="156">
        <f t="shared" si="33"/>
        <v>2130</v>
      </c>
      <c r="AO14" s="156">
        <f t="shared" si="34"/>
        <v>16396</v>
      </c>
      <c r="AP14" s="154">
        <v>1696.0</v>
      </c>
      <c r="AQ14" s="154">
        <v>967.0</v>
      </c>
      <c r="AR14" s="156">
        <v>1486.0</v>
      </c>
      <c r="AS14" s="154">
        <f t="shared" si="35"/>
        <v>4149</v>
      </c>
      <c r="AT14" s="154">
        <v>367.0</v>
      </c>
      <c r="AU14" s="154">
        <v>3.0</v>
      </c>
      <c r="AV14" s="154">
        <v>476.0</v>
      </c>
      <c r="AW14" s="154">
        <f t="shared" si="36"/>
        <v>846</v>
      </c>
      <c r="AX14" s="154">
        <v>229.0</v>
      </c>
      <c r="AY14" s="154">
        <v>409.0</v>
      </c>
      <c r="AZ14" s="154">
        <v>622.0</v>
      </c>
      <c r="BA14" s="154">
        <f t="shared" si="37"/>
        <v>1260</v>
      </c>
      <c r="BB14" s="154">
        <v>160.0</v>
      </c>
      <c r="BC14" s="154">
        <v>60.0</v>
      </c>
      <c r="BD14" s="154">
        <v>569.0</v>
      </c>
      <c r="BE14" s="154">
        <f t="shared" si="38"/>
        <v>789</v>
      </c>
      <c r="BF14" s="154">
        <f t="shared" si="39"/>
        <v>7044</v>
      </c>
      <c r="BG14" s="154">
        <v>600.0</v>
      </c>
      <c r="BH14" s="154">
        <v>102.0</v>
      </c>
      <c r="BI14" s="154">
        <v>0.0</v>
      </c>
      <c r="BJ14" s="154">
        <f t="shared" si="40"/>
        <v>702</v>
      </c>
      <c r="BK14" s="154">
        <v>5.0</v>
      </c>
      <c r="BL14" s="154">
        <v>17.0</v>
      </c>
      <c r="BM14" s="154">
        <v>0.0</v>
      </c>
      <c r="BN14" s="154">
        <f t="shared" si="41"/>
        <v>22</v>
      </c>
      <c r="BO14" s="154">
        <v>234.0</v>
      </c>
      <c r="BP14" s="154">
        <v>413.0</v>
      </c>
      <c r="BQ14" s="154">
        <v>584.0</v>
      </c>
      <c r="BR14" s="154">
        <f t="shared" si="42"/>
        <v>1231</v>
      </c>
      <c r="BS14" s="154">
        <v>753.0</v>
      </c>
      <c r="BT14" s="154">
        <v>121.0</v>
      </c>
      <c r="BU14" s="154">
        <v>8.0</v>
      </c>
      <c r="BV14" s="154">
        <f t="shared" si="43"/>
        <v>882</v>
      </c>
      <c r="BW14" s="154">
        <f t="shared" si="44"/>
        <v>2837</v>
      </c>
      <c r="BX14" s="154">
        <v>0.0</v>
      </c>
      <c r="BY14" s="154">
        <v>642.0</v>
      </c>
      <c r="BZ14" s="154">
        <f t="shared" si="45"/>
        <v>642</v>
      </c>
      <c r="CA14" s="154">
        <v>0.0</v>
      </c>
      <c r="CB14" s="154">
        <v>498.0</v>
      </c>
      <c r="CC14" s="154">
        <f t="shared" si="46"/>
        <v>498</v>
      </c>
      <c r="CD14" s="154">
        <v>0.0</v>
      </c>
      <c r="CE14" s="154">
        <v>1.0</v>
      </c>
      <c r="CF14" s="154">
        <f t="shared" si="47"/>
        <v>1</v>
      </c>
      <c r="CG14" s="154">
        <f t="shared" si="48"/>
        <v>2281</v>
      </c>
      <c r="CH14" s="154">
        <v>1133.0</v>
      </c>
      <c r="CI14" s="154">
        <v>117.0</v>
      </c>
      <c r="CJ14" s="154">
        <f t="shared" si="49"/>
        <v>-1016</v>
      </c>
      <c r="CK14" s="154">
        <v>529.0</v>
      </c>
      <c r="CL14" s="176">
        <v>529.0</v>
      </c>
      <c r="CM14" s="154">
        <f t="shared" si="50"/>
        <v>0</v>
      </c>
      <c r="CN14" s="176">
        <f>342+44</f>
        <v>386</v>
      </c>
      <c r="CO14" s="176">
        <f>343+44</f>
        <v>387</v>
      </c>
      <c r="CP14" s="154">
        <f t="shared" si="51"/>
        <v>1</v>
      </c>
      <c r="CQ14" s="154">
        <f>SUM(CH14:CN14)</f>
        <v>1678</v>
      </c>
      <c r="CR14" s="154">
        <f>234+22</f>
        <v>256</v>
      </c>
      <c r="CS14" s="154">
        <f t="shared" si="53"/>
        <v>126</v>
      </c>
      <c r="CT14" s="154">
        <f t="shared" si="54"/>
        <v>382</v>
      </c>
      <c r="CU14" s="154"/>
      <c r="CV14" s="154"/>
      <c r="CW14" s="154">
        <f t="shared" si="55"/>
        <v>764</v>
      </c>
      <c r="CX14" s="154"/>
      <c r="CY14" s="154"/>
      <c r="CZ14" s="154"/>
      <c r="DA14" s="154">
        <f t="shared" si="56"/>
        <v>0</v>
      </c>
      <c r="DB14" s="154">
        <f t="shared" si="57"/>
        <v>4723</v>
      </c>
      <c r="DC14" s="171">
        <f t="shared" si="58"/>
        <v>84455</v>
      </c>
      <c r="DD14" s="4"/>
      <c r="DE14" s="164"/>
      <c r="DF14" s="4"/>
      <c r="DG14" s="20"/>
      <c r="DH14" s="20"/>
      <c r="DI14" s="4"/>
      <c r="DJ14" s="4"/>
      <c r="DK14" s="20"/>
      <c r="DL14" s="20"/>
      <c r="DM14" s="4"/>
      <c r="DN14" s="4"/>
      <c r="DO14" s="4"/>
      <c r="DP14" s="4"/>
      <c r="DQ14" s="4"/>
      <c r="DR14" s="1"/>
      <c r="DS14" s="1"/>
    </row>
    <row r="15" ht="15.75" customHeight="1">
      <c r="A15" s="167" t="s">
        <v>81</v>
      </c>
      <c r="B15" s="154">
        <v>1.0</v>
      </c>
      <c r="C15" s="154">
        <v>168.0</v>
      </c>
      <c r="D15" s="154">
        <v>345.0</v>
      </c>
      <c r="E15" s="154">
        <v>0.0</v>
      </c>
      <c r="F15" s="154">
        <v>3024.0</v>
      </c>
      <c r="G15" s="154">
        <f t="shared" si="24"/>
        <v>3538</v>
      </c>
      <c r="H15" s="154">
        <v>5549.0</v>
      </c>
      <c r="I15" s="154">
        <v>4571.0</v>
      </c>
      <c r="J15" s="154">
        <v>2711.0</v>
      </c>
      <c r="K15" s="156">
        <f t="shared" si="25"/>
        <v>12831</v>
      </c>
      <c r="L15" s="154">
        <v>1688.0</v>
      </c>
      <c r="M15" s="154">
        <v>1409.0</v>
      </c>
      <c r="N15" s="154">
        <v>442.0</v>
      </c>
      <c r="O15" s="156">
        <f t="shared" si="26"/>
        <v>3539</v>
      </c>
      <c r="P15" s="154">
        <v>1074.0</v>
      </c>
      <c r="Q15" s="154">
        <v>2808.0</v>
      </c>
      <c r="R15" s="154">
        <v>3293.0</v>
      </c>
      <c r="S15" s="156">
        <f t="shared" si="27"/>
        <v>7175</v>
      </c>
      <c r="T15" s="154">
        <v>1589.0</v>
      </c>
      <c r="U15" s="154">
        <v>3871.0</v>
      </c>
      <c r="V15" s="154">
        <v>1534.0</v>
      </c>
      <c r="W15" s="156">
        <f t="shared" si="28"/>
        <v>6994</v>
      </c>
      <c r="X15" s="156">
        <f t="shared" si="29"/>
        <v>30539</v>
      </c>
      <c r="Y15" s="154">
        <v>1234.0</v>
      </c>
      <c r="Z15" s="154">
        <v>1101.0</v>
      </c>
      <c r="AA15" s="154">
        <v>855.0</v>
      </c>
      <c r="AB15" s="156">
        <f t="shared" si="30"/>
        <v>3190</v>
      </c>
      <c r="AC15" s="154">
        <v>912.0</v>
      </c>
      <c r="AD15" s="154">
        <v>773.0</v>
      </c>
      <c r="AE15" s="154">
        <v>642.0</v>
      </c>
      <c r="AF15" s="156">
        <f t="shared" si="31"/>
        <v>2327</v>
      </c>
      <c r="AG15" s="154">
        <v>747.0</v>
      </c>
      <c r="AH15" s="154">
        <v>123.0</v>
      </c>
      <c r="AI15" s="154">
        <v>1089.0</v>
      </c>
      <c r="AJ15" s="156">
        <f t="shared" si="32"/>
        <v>1959</v>
      </c>
      <c r="AK15" s="154">
        <v>1.0</v>
      </c>
      <c r="AL15" s="154">
        <v>1686.0</v>
      </c>
      <c r="AM15" s="154">
        <v>207.0</v>
      </c>
      <c r="AN15" s="156">
        <f t="shared" si="33"/>
        <v>1894</v>
      </c>
      <c r="AO15" s="156">
        <f t="shared" si="34"/>
        <v>9370</v>
      </c>
      <c r="AP15" s="154">
        <v>3.0</v>
      </c>
      <c r="AQ15" s="154">
        <v>1148.0</v>
      </c>
      <c r="AR15" s="156">
        <v>261.0</v>
      </c>
      <c r="AS15" s="154">
        <f t="shared" si="35"/>
        <v>1412</v>
      </c>
      <c r="AT15" s="154">
        <v>0.0</v>
      </c>
      <c r="AU15" s="154">
        <v>2.0</v>
      </c>
      <c r="AV15" s="154">
        <v>189.0</v>
      </c>
      <c r="AW15" s="154">
        <f t="shared" si="36"/>
        <v>191</v>
      </c>
      <c r="AX15" s="154">
        <v>453.0</v>
      </c>
      <c r="AY15" s="154">
        <v>575.0</v>
      </c>
      <c r="AZ15" s="154">
        <v>410.0</v>
      </c>
      <c r="BA15" s="154">
        <f t="shared" si="37"/>
        <v>1438</v>
      </c>
      <c r="BB15" s="154">
        <v>199.0</v>
      </c>
      <c r="BC15" s="154">
        <v>110.0</v>
      </c>
      <c r="BD15" s="154">
        <v>39.0</v>
      </c>
      <c r="BE15" s="154">
        <f t="shared" si="38"/>
        <v>348</v>
      </c>
      <c r="BF15" s="154">
        <f t="shared" si="39"/>
        <v>3389</v>
      </c>
      <c r="BG15" s="154">
        <v>625.0</v>
      </c>
      <c r="BH15" s="154">
        <v>265.0</v>
      </c>
      <c r="BI15" s="154">
        <v>190.0</v>
      </c>
      <c r="BJ15" s="154">
        <f t="shared" si="40"/>
        <v>1080</v>
      </c>
      <c r="BK15" s="154">
        <v>173.0</v>
      </c>
      <c r="BL15" s="154">
        <v>14.0</v>
      </c>
      <c r="BM15" s="154">
        <v>0.0</v>
      </c>
      <c r="BN15" s="154">
        <f t="shared" si="41"/>
        <v>187</v>
      </c>
      <c r="BO15" s="154">
        <v>2641.0</v>
      </c>
      <c r="BP15" s="154">
        <v>534.0</v>
      </c>
      <c r="BQ15" s="154">
        <v>22.0</v>
      </c>
      <c r="BR15" s="154">
        <f t="shared" si="42"/>
        <v>3197</v>
      </c>
      <c r="BS15" s="154">
        <v>399.0</v>
      </c>
      <c r="BT15" s="154">
        <v>141.0</v>
      </c>
      <c r="BU15" s="154">
        <v>196.0</v>
      </c>
      <c r="BV15" s="154">
        <f t="shared" si="43"/>
        <v>736</v>
      </c>
      <c r="BW15" s="154">
        <f t="shared" si="44"/>
        <v>5200</v>
      </c>
      <c r="BX15" s="154">
        <v>290.0</v>
      </c>
      <c r="BY15" s="154">
        <v>266.0</v>
      </c>
      <c r="BZ15" s="154">
        <f t="shared" si="45"/>
        <v>-24</v>
      </c>
      <c r="CA15" s="154">
        <v>60.0</v>
      </c>
      <c r="CB15" s="154">
        <v>60.0</v>
      </c>
      <c r="CC15" s="154">
        <f t="shared" si="46"/>
        <v>0</v>
      </c>
      <c r="CD15" s="154">
        <v>157.0</v>
      </c>
      <c r="CE15" s="154">
        <v>341.0</v>
      </c>
      <c r="CF15" s="154">
        <f t="shared" si="47"/>
        <v>184</v>
      </c>
      <c r="CG15" s="154">
        <f t="shared" si="48"/>
        <v>1150</v>
      </c>
      <c r="CH15" s="154">
        <v>231.0</v>
      </c>
      <c r="CI15" s="154">
        <v>84.0</v>
      </c>
      <c r="CJ15" s="154">
        <f t="shared" si="49"/>
        <v>-147</v>
      </c>
      <c r="CK15" s="154">
        <v>841.0</v>
      </c>
      <c r="CL15" s="176">
        <f>841</f>
        <v>841</v>
      </c>
      <c r="CM15" s="154">
        <f t="shared" si="50"/>
        <v>0</v>
      </c>
      <c r="CN15" s="176">
        <v>138.0</v>
      </c>
      <c r="CO15" s="176">
        <v>138.0</v>
      </c>
      <c r="CP15" s="154">
        <f t="shared" si="51"/>
        <v>0</v>
      </c>
      <c r="CQ15" s="154">
        <f t="shared" ref="CQ15:CQ17" si="59">SUM(CH15:CO15)</f>
        <v>2126</v>
      </c>
      <c r="CR15" s="154">
        <v>0.0</v>
      </c>
      <c r="CS15" s="154">
        <f t="shared" si="53"/>
        <v>13</v>
      </c>
      <c r="CT15" s="154">
        <f t="shared" si="54"/>
        <v>13</v>
      </c>
      <c r="CU15" s="154"/>
      <c r="CV15" s="154"/>
      <c r="CW15" s="154">
        <f t="shared" si="55"/>
        <v>26</v>
      </c>
      <c r="CX15" s="154"/>
      <c r="CY15" s="154"/>
      <c r="CZ15" s="154"/>
      <c r="DA15" s="154">
        <f t="shared" si="56"/>
        <v>0</v>
      </c>
      <c r="DB15" s="154">
        <f t="shared" si="57"/>
        <v>3302</v>
      </c>
      <c r="DC15" s="171">
        <f t="shared" si="58"/>
        <v>55338</v>
      </c>
      <c r="DD15" s="4"/>
      <c r="DE15" s="164"/>
      <c r="DF15" s="4"/>
      <c r="DG15" s="20"/>
      <c r="DH15" s="20"/>
      <c r="DI15" s="4"/>
      <c r="DJ15" s="4"/>
      <c r="DK15" s="20"/>
      <c r="DL15" s="20"/>
      <c r="DM15" s="4"/>
      <c r="DN15" s="4"/>
      <c r="DO15" s="4"/>
      <c r="DP15" s="4"/>
      <c r="DQ15" s="4"/>
      <c r="DR15" s="1"/>
      <c r="DS15" s="1"/>
    </row>
    <row r="16" ht="15.75" customHeight="1">
      <c r="A16" s="167" t="s">
        <v>85</v>
      </c>
      <c r="B16" s="154">
        <v>13.0</v>
      </c>
      <c r="C16" s="154">
        <v>60.0</v>
      </c>
      <c r="D16" s="154">
        <v>374.0</v>
      </c>
      <c r="E16" s="154">
        <v>27.0</v>
      </c>
      <c r="F16" s="154">
        <v>607.0</v>
      </c>
      <c r="G16" s="154">
        <f t="shared" si="24"/>
        <v>1081</v>
      </c>
      <c r="H16" s="154">
        <v>385.0</v>
      </c>
      <c r="I16" s="154">
        <v>2153.0</v>
      </c>
      <c r="J16" s="154">
        <v>1048.0</v>
      </c>
      <c r="K16" s="156">
        <f t="shared" si="25"/>
        <v>3586</v>
      </c>
      <c r="L16" s="154">
        <v>1179.0</v>
      </c>
      <c r="M16" s="154">
        <v>2462.0</v>
      </c>
      <c r="N16" s="154">
        <v>3562.0</v>
      </c>
      <c r="O16" s="156">
        <f t="shared" si="26"/>
        <v>7203</v>
      </c>
      <c r="P16" s="154">
        <v>3066.0</v>
      </c>
      <c r="Q16" s="154">
        <v>4808.0</v>
      </c>
      <c r="R16" s="154">
        <v>6866.0</v>
      </c>
      <c r="S16" s="156">
        <f t="shared" si="27"/>
        <v>14740</v>
      </c>
      <c r="T16" s="154">
        <v>4147.0</v>
      </c>
      <c r="U16" s="154">
        <v>1547.0</v>
      </c>
      <c r="V16" s="154">
        <v>1215.0</v>
      </c>
      <c r="W16" s="156">
        <f t="shared" si="28"/>
        <v>6909</v>
      </c>
      <c r="X16" s="156">
        <f t="shared" si="29"/>
        <v>32438</v>
      </c>
      <c r="Y16" s="154">
        <v>992.0</v>
      </c>
      <c r="Z16" s="154">
        <v>198.0</v>
      </c>
      <c r="AA16" s="154">
        <v>363.0</v>
      </c>
      <c r="AB16" s="156">
        <f t="shared" si="30"/>
        <v>1553</v>
      </c>
      <c r="AC16" s="154">
        <v>319.0</v>
      </c>
      <c r="AD16" s="154">
        <v>300.0</v>
      </c>
      <c r="AE16" s="154">
        <v>2086.0</v>
      </c>
      <c r="AF16" s="156">
        <f t="shared" si="31"/>
        <v>2705</v>
      </c>
      <c r="AG16" s="154">
        <v>720.0</v>
      </c>
      <c r="AH16" s="154">
        <v>343.0</v>
      </c>
      <c r="AI16" s="154">
        <v>77.0</v>
      </c>
      <c r="AJ16" s="156">
        <f t="shared" si="32"/>
        <v>1140</v>
      </c>
      <c r="AK16" s="154">
        <v>496.0</v>
      </c>
      <c r="AL16" s="154">
        <v>755.0</v>
      </c>
      <c r="AM16" s="154">
        <v>150.0</v>
      </c>
      <c r="AN16" s="156">
        <f t="shared" si="33"/>
        <v>1401</v>
      </c>
      <c r="AO16" s="156">
        <f t="shared" si="34"/>
        <v>6799</v>
      </c>
      <c r="AP16" s="154">
        <v>243.0</v>
      </c>
      <c r="AQ16" s="154">
        <v>562.0</v>
      </c>
      <c r="AR16" s="156">
        <v>234.0</v>
      </c>
      <c r="AS16" s="154">
        <f t="shared" si="35"/>
        <v>1039</v>
      </c>
      <c r="AT16" s="154">
        <v>151.0</v>
      </c>
      <c r="AU16" s="154">
        <v>0.0</v>
      </c>
      <c r="AV16" s="154">
        <v>55.0</v>
      </c>
      <c r="AW16" s="154">
        <f t="shared" si="36"/>
        <v>206</v>
      </c>
      <c r="AX16" s="154">
        <v>85.0</v>
      </c>
      <c r="AY16" s="154">
        <v>229.0</v>
      </c>
      <c r="AZ16" s="154">
        <v>34.0</v>
      </c>
      <c r="BA16" s="154">
        <f t="shared" si="37"/>
        <v>348</v>
      </c>
      <c r="BB16" s="154">
        <v>186.0</v>
      </c>
      <c r="BC16" s="154">
        <v>600.0</v>
      </c>
      <c r="BD16" s="154">
        <v>153.0</v>
      </c>
      <c r="BE16" s="154">
        <f t="shared" si="38"/>
        <v>939</v>
      </c>
      <c r="BF16" s="154">
        <f t="shared" si="39"/>
        <v>2532</v>
      </c>
      <c r="BG16" s="154">
        <v>399.0</v>
      </c>
      <c r="BH16" s="154">
        <v>121.0</v>
      </c>
      <c r="BI16" s="154">
        <v>0.0</v>
      </c>
      <c r="BJ16" s="154">
        <f t="shared" si="40"/>
        <v>520</v>
      </c>
      <c r="BK16" s="154">
        <v>284.0</v>
      </c>
      <c r="BL16" s="154">
        <v>510.0</v>
      </c>
      <c r="BM16" s="154">
        <v>90.0</v>
      </c>
      <c r="BN16" s="154">
        <f t="shared" si="41"/>
        <v>884</v>
      </c>
      <c r="BO16" s="154">
        <v>483.0</v>
      </c>
      <c r="BP16" s="154">
        <v>134.0</v>
      </c>
      <c r="BQ16" s="154">
        <v>358.0</v>
      </c>
      <c r="BR16" s="154">
        <f t="shared" si="42"/>
        <v>975</v>
      </c>
      <c r="BS16" s="154">
        <v>479.0</v>
      </c>
      <c r="BT16" s="154">
        <v>212.0</v>
      </c>
      <c r="BU16" s="154">
        <v>57.0</v>
      </c>
      <c r="BV16" s="154">
        <f t="shared" si="43"/>
        <v>748</v>
      </c>
      <c r="BW16" s="154">
        <f t="shared" si="44"/>
        <v>3127</v>
      </c>
      <c r="BX16" s="154">
        <v>0.0</v>
      </c>
      <c r="BY16" s="154">
        <v>234.0</v>
      </c>
      <c r="BZ16" s="154">
        <f t="shared" si="45"/>
        <v>234</v>
      </c>
      <c r="CA16" s="154">
        <v>0.0</v>
      </c>
      <c r="CB16" s="154">
        <v>166.0</v>
      </c>
      <c r="CC16" s="154">
        <f t="shared" si="46"/>
        <v>166</v>
      </c>
      <c r="CD16" s="154">
        <v>110.0</v>
      </c>
      <c r="CE16" s="154">
        <v>173.0</v>
      </c>
      <c r="CF16" s="154">
        <f t="shared" si="47"/>
        <v>63</v>
      </c>
      <c r="CG16" s="154">
        <f t="shared" si="48"/>
        <v>1083</v>
      </c>
      <c r="CH16" s="154">
        <v>667.0</v>
      </c>
      <c r="CI16" s="154">
        <v>236.0</v>
      </c>
      <c r="CJ16" s="154">
        <f t="shared" si="49"/>
        <v>-431</v>
      </c>
      <c r="CK16" s="154">
        <v>251.0</v>
      </c>
      <c r="CL16" s="176">
        <v>251.0</v>
      </c>
      <c r="CM16" s="154">
        <f t="shared" si="50"/>
        <v>0</v>
      </c>
      <c r="CN16" s="176">
        <v>370.0</v>
      </c>
      <c r="CO16" s="176">
        <v>370.0</v>
      </c>
      <c r="CP16" s="154">
        <f t="shared" si="51"/>
        <v>0</v>
      </c>
      <c r="CQ16" s="154">
        <f t="shared" si="59"/>
        <v>1714</v>
      </c>
      <c r="CR16" s="154">
        <v>32.0</v>
      </c>
      <c r="CS16" s="154">
        <f t="shared" si="53"/>
        <v>32</v>
      </c>
      <c r="CT16" s="154">
        <f t="shared" si="54"/>
        <v>64</v>
      </c>
      <c r="CU16" s="154"/>
      <c r="CV16" s="154"/>
      <c r="CW16" s="154">
        <f t="shared" si="55"/>
        <v>128</v>
      </c>
      <c r="CX16" s="154"/>
      <c r="CY16" s="154"/>
      <c r="CZ16" s="154"/>
      <c r="DA16" s="154">
        <f t="shared" si="56"/>
        <v>0</v>
      </c>
      <c r="DB16" s="154">
        <f t="shared" si="57"/>
        <v>2925</v>
      </c>
      <c r="DC16" s="171">
        <f t="shared" si="58"/>
        <v>48902</v>
      </c>
      <c r="DD16" s="4"/>
      <c r="DE16" s="164"/>
      <c r="DF16" s="4"/>
      <c r="DG16" s="20"/>
      <c r="DH16" s="20"/>
      <c r="DI16" s="4"/>
      <c r="DJ16" s="4"/>
      <c r="DK16" s="20"/>
      <c r="DL16" s="20"/>
      <c r="DM16" s="4"/>
      <c r="DN16" s="4"/>
      <c r="DO16" s="4"/>
      <c r="DP16" s="4"/>
      <c r="DQ16" s="4"/>
      <c r="DR16" s="1"/>
      <c r="DS16" s="1"/>
    </row>
    <row r="17" ht="15.75" customHeight="1">
      <c r="A17" s="167" t="s">
        <v>86</v>
      </c>
      <c r="B17" s="154">
        <v>234.0</v>
      </c>
      <c r="C17" s="154">
        <v>665.0</v>
      </c>
      <c r="D17" s="154">
        <v>1006.0</v>
      </c>
      <c r="E17" s="154">
        <v>951.0</v>
      </c>
      <c r="F17" s="154">
        <v>5192.0</v>
      </c>
      <c r="G17" s="154">
        <f t="shared" si="24"/>
        <v>8048</v>
      </c>
      <c r="H17" s="154">
        <v>2182.0</v>
      </c>
      <c r="I17" s="154">
        <v>4983.0</v>
      </c>
      <c r="J17" s="154">
        <v>6227.0</v>
      </c>
      <c r="K17" s="156">
        <f t="shared" si="25"/>
        <v>13392</v>
      </c>
      <c r="L17" s="154">
        <v>4650.0</v>
      </c>
      <c r="M17" s="154">
        <v>2647.0</v>
      </c>
      <c r="N17" s="154">
        <v>962.0</v>
      </c>
      <c r="O17" s="156">
        <f t="shared" si="26"/>
        <v>8259</v>
      </c>
      <c r="P17" s="154">
        <v>1789.0</v>
      </c>
      <c r="Q17" s="154">
        <v>2488.0</v>
      </c>
      <c r="R17" s="154">
        <v>1893.0</v>
      </c>
      <c r="S17" s="156">
        <f t="shared" si="27"/>
        <v>6170</v>
      </c>
      <c r="T17" s="154">
        <v>2236.0</v>
      </c>
      <c r="U17" s="154">
        <v>2029.0</v>
      </c>
      <c r="V17" s="154">
        <v>1172.0</v>
      </c>
      <c r="W17" s="156">
        <f t="shared" si="28"/>
        <v>5437</v>
      </c>
      <c r="X17" s="156">
        <f t="shared" si="29"/>
        <v>33258</v>
      </c>
      <c r="Y17" s="154">
        <v>1731.0</v>
      </c>
      <c r="Z17" s="154">
        <v>449.0</v>
      </c>
      <c r="AA17" s="154">
        <v>459.0</v>
      </c>
      <c r="AB17" s="156">
        <f t="shared" si="30"/>
        <v>2639</v>
      </c>
      <c r="AC17" s="154">
        <v>1165.0</v>
      </c>
      <c r="AD17" s="154">
        <v>249.0</v>
      </c>
      <c r="AE17" s="154">
        <v>923.0</v>
      </c>
      <c r="AF17" s="156">
        <f t="shared" si="31"/>
        <v>2337</v>
      </c>
      <c r="AG17" s="154">
        <v>1257.0</v>
      </c>
      <c r="AH17" s="154">
        <v>479.0</v>
      </c>
      <c r="AI17" s="154">
        <v>212.0</v>
      </c>
      <c r="AJ17" s="156">
        <f t="shared" si="32"/>
        <v>1948</v>
      </c>
      <c r="AK17" s="154">
        <v>959.0</v>
      </c>
      <c r="AL17" s="154">
        <v>501.0</v>
      </c>
      <c r="AM17" s="154">
        <v>162.0</v>
      </c>
      <c r="AN17" s="156">
        <f t="shared" si="33"/>
        <v>1622</v>
      </c>
      <c r="AO17" s="156">
        <f t="shared" si="34"/>
        <v>8546</v>
      </c>
      <c r="AP17" s="154">
        <v>1261.0</v>
      </c>
      <c r="AQ17" s="154">
        <v>1548.0</v>
      </c>
      <c r="AR17" s="156">
        <v>786.0</v>
      </c>
      <c r="AS17" s="154">
        <f t="shared" si="35"/>
        <v>3595</v>
      </c>
      <c r="AT17" s="154">
        <v>125.0</v>
      </c>
      <c r="AU17" s="154">
        <v>1.0</v>
      </c>
      <c r="AV17" s="154">
        <v>46.0</v>
      </c>
      <c r="AW17" s="154">
        <f t="shared" si="36"/>
        <v>172</v>
      </c>
      <c r="AX17" s="154">
        <v>14.0</v>
      </c>
      <c r="AY17" s="154">
        <v>183.0</v>
      </c>
      <c r="AZ17" s="154">
        <v>46.0</v>
      </c>
      <c r="BA17" s="154">
        <f t="shared" si="37"/>
        <v>243</v>
      </c>
      <c r="BB17" s="154">
        <v>20.0</v>
      </c>
      <c r="BC17" s="154">
        <v>27.0</v>
      </c>
      <c r="BD17" s="154">
        <v>26.0</v>
      </c>
      <c r="BE17" s="154">
        <f t="shared" si="38"/>
        <v>73</v>
      </c>
      <c r="BF17" s="154">
        <f t="shared" si="39"/>
        <v>4083</v>
      </c>
      <c r="BG17" s="154">
        <v>390.0</v>
      </c>
      <c r="BH17" s="154">
        <v>419.0</v>
      </c>
      <c r="BI17" s="154">
        <v>185.0</v>
      </c>
      <c r="BJ17" s="154">
        <f t="shared" si="40"/>
        <v>994</v>
      </c>
      <c r="BK17" s="154">
        <v>144.0</v>
      </c>
      <c r="BL17" s="154">
        <v>394.0</v>
      </c>
      <c r="BM17" s="154">
        <v>556.0</v>
      </c>
      <c r="BN17" s="154">
        <f t="shared" si="41"/>
        <v>1094</v>
      </c>
      <c r="BO17" s="154">
        <v>372.0</v>
      </c>
      <c r="BP17" s="154">
        <v>218.0</v>
      </c>
      <c r="BQ17" s="154">
        <v>148.0</v>
      </c>
      <c r="BR17" s="154">
        <f t="shared" si="42"/>
        <v>738</v>
      </c>
      <c r="BS17" s="154">
        <v>234.0</v>
      </c>
      <c r="BT17" s="154">
        <v>267.0</v>
      </c>
      <c r="BU17" s="154">
        <v>104.0</v>
      </c>
      <c r="BV17" s="154">
        <f t="shared" si="43"/>
        <v>605</v>
      </c>
      <c r="BW17" s="154">
        <f t="shared" si="44"/>
        <v>3431</v>
      </c>
      <c r="BX17" s="154">
        <v>259.0</v>
      </c>
      <c r="BY17" s="154">
        <v>256.0</v>
      </c>
      <c r="BZ17" s="154">
        <f t="shared" si="45"/>
        <v>-3</v>
      </c>
      <c r="CA17" s="154">
        <v>150.0</v>
      </c>
      <c r="CB17" s="154">
        <v>152.0</v>
      </c>
      <c r="CC17" s="154">
        <f t="shared" si="46"/>
        <v>2</v>
      </c>
      <c r="CD17" s="154">
        <v>0.0</v>
      </c>
      <c r="CE17" s="154">
        <v>42.0</v>
      </c>
      <c r="CF17" s="154">
        <f t="shared" si="47"/>
        <v>42</v>
      </c>
      <c r="CG17" s="154">
        <f t="shared" si="48"/>
        <v>858</v>
      </c>
      <c r="CH17" s="154">
        <v>0.0</v>
      </c>
      <c r="CI17" s="154">
        <v>143.0</v>
      </c>
      <c r="CJ17" s="154">
        <f t="shared" si="49"/>
        <v>143</v>
      </c>
      <c r="CK17" s="154">
        <f>316+100</f>
        <v>416</v>
      </c>
      <c r="CL17" s="176">
        <v>316.0</v>
      </c>
      <c r="CM17" s="154">
        <f t="shared" si="50"/>
        <v>-100</v>
      </c>
      <c r="CN17" s="176">
        <v>51.0</v>
      </c>
      <c r="CO17" s="176">
        <v>51.0</v>
      </c>
      <c r="CP17" s="154">
        <f t="shared" si="51"/>
        <v>0</v>
      </c>
      <c r="CQ17" s="154">
        <f t="shared" si="59"/>
        <v>1020</v>
      </c>
      <c r="CR17" s="154">
        <v>12.0</v>
      </c>
      <c r="CS17" s="154">
        <f t="shared" si="53"/>
        <v>84</v>
      </c>
      <c r="CT17" s="154">
        <f t="shared" si="54"/>
        <v>96</v>
      </c>
      <c r="CU17" s="154"/>
      <c r="CV17" s="154"/>
      <c r="CW17" s="154">
        <f t="shared" si="55"/>
        <v>192</v>
      </c>
      <c r="CX17" s="154"/>
      <c r="CY17" s="154"/>
      <c r="CZ17" s="154"/>
      <c r="DA17" s="154">
        <f t="shared" si="56"/>
        <v>0</v>
      </c>
      <c r="DB17" s="154">
        <f t="shared" si="57"/>
        <v>2070</v>
      </c>
      <c r="DC17" s="171">
        <f t="shared" si="58"/>
        <v>59436</v>
      </c>
      <c r="DD17" s="4"/>
      <c r="DE17" s="164"/>
      <c r="DF17" s="4"/>
      <c r="DG17" s="20"/>
      <c r="DH17" s="20"/>
      <c r="DI17" s="4"/>
      <c r="DJ17" s="4"/>
      <c r="DK17" s="20"/>
      <c r="DL17" s="20"/>
      <c r="DM17" s="4"/>
      <c r="DN17" s="4"/>
      <c r="DO17" s="4"/>
      <c r="DP17" s="4"/>
      <c r="DQ17" s="4"/>
      <c r="DR17" s="1"/>
      <c r="DS17" s="1"/>
    </row>
    <row r="18" ht="15.75" customHeight="1">
      <c r="A18" s="137" t="s">
        <v>87</v>
      </c>
      <c r="B18" s="141">
        <f t="shared" ref="B18:K18" si="60">SUM(B19:B22)</f>
        <v>331</v>
      </c>
      <c r="C18" s="141">
        <f t="shared" si="60"/>
        <v>34</v>
      </c>
      <c r="D18" s="141">
        <f t="shared" si="60"/>
        <v>132</v>
      </c>
      <c r="E18" s="141">
        <f t="shared" si="60"/>
        <v>43637</v>
      </c>
      <c r="F18" s="141">
        <f t="shared" si="60"/>
        <v>97145</v>
      </c>
      <c r="G18" s="141">
        <f t="shared" si="60"/>
        <v>141279</v>
      </c>
      <c r="H18" s="141">
        <f t="shared" si="60"/>
        <v>35257</v>
      </c>
      <c r="I18" s="141">
        <f t="shared" si="60"/>
        <v>61710</v>
      </c>
      <c r="J18" s="141">
        <f t="shared" si="60"/>
        <v>64353</v>
      </c>
      <c r="K18" s="142">
        <f t="shared" si="60"/>
        <v>161320</v>
      </c>
      <c r="L18" s="141">
        <f>L19+L20+L21+L22</f>
        <v>38722</v>
      </c>
      <c r="M18" s="141">
        <f t="shared" ref="M18:O18" si="61">SUM(M19:M22)</f>
        <v>25148</v>
      </c>
      <c r="N18" s="141">
        <f t="shared" si="61"/>
        <v>17207</v>
      </c>
      <c r="O18" s="142">
        <f t="shared" si="61"/>
        <v>81077</v>
      </c>
      <c r="P18" s="141">
        <f t="shared" ref="P18:Q18" si="62">P19+P20+P21+P22</f>
        <v>14654</v>
      </c>
      <c r="Q18" s="141">
        <f t="shared" si="62"/>
        <v>15181</v>
      </c>
      <c r="R18" s="141">
        <f>SUM(R19,R20,R21,R22)</f>
        <v>11096</v>
      </c>
      <c r="S18" s="142">
        <f>SUM(S19:S22)</f>
        <v>40931</v>
      </c>
      <c r="T18" s="141">
        <f>T19+T20+T21+T22</f>
        <v>4399</v>
      </c>
      <c r="U18" s="141">
        <f>SUM(U19:U22)</f>
        <v>2703</v>
      </c>
      <c r="V18" s="141">
        <f>SUM(V19,V20,V21,V22)</f>
        <v>2793</v>
      </c>
      <c r="W18" s="142">
        <f t="shared" ref="W18:DC18" si="63">SUM(W19:W22)</f>
        <v>9895</v>
      </c>
      <c r="X18" s="142">
        <f t="shared" si="63"/>
        <v>293223</v>
      </c>
      <c r="Y18" s="141">
        <f t="shared" si="63"/>
        <v>2457</v>
      </c>
      <c r="Z18" s="141">
        <f t="shared" si="63"/>
        <v>3184</v>
      </c>
      <c r="AA18" s="141">
        <f t="shared" si="63"/>
        <v>4291</v>
      </c>
      <c r="AB18" s="142">
        <f t="shared" si="63"/>
        <v>9932</v>
      </c>
      <c r="AC18" s="141">
        <f t="shared" si="63"/>
        <v>2870</v>
      </c>
      <c r="AD18" s="141">
        <f t="shared" si="63"/>
        <v>1810</v>
      </c>
      <c r="AE18" s="141">
        <f t="shared" si="63"/>
        <v>5248</v>
      </c>
      <c r="AF18" s="142">
        <f t="shared" si="63"/>
        <v>9928</v>
      </c>
      <c r="AG18" s="141">
        <f t="shared" si="63"/>
        <v>4275</v>
      </c>
      <c r="AH18" s="141">
        <f t="shared" si="63"/>
        <v>3297</v>
      </c>
      <c r="AI18" s="141">
        <f t="shared" si="63"/>
        <v>3405</v>
      </c>
      <c r="AJ18" s="142">
        <f t="shared" si="63"/>
        <v>10977</v>
      </c>
      <c r="AK18" s="141">
        <f t="shared" si="63"/>
        <v>1679</v>
      </c>
      <c r="AL18" s="141">
        <f t="shared" si="63"/>
        <v>1542</v>
      </c>
      <c r="AM18" s="141">
        <f t="shared" si="63"/>
        <v>1353</v>
      </c>
      <c r="AN18" s="142">
        <f t="shared" si="63"/>
        <v>4574</v>
      </c>
      <c r="AO18" s="142">
        <f t="shared" si="63"/>
        <v>35411</v>
      </c>
      <c r="AP18" s="141">
        <f t="shared" si="63"/>
        <v>1109</v>
      </c>
      <c r="AQ18" s="141">
        <f t="shared" si="63"/>
        <v>1609</v>
      </c>
      <c r="AR18" s="142">
        <f t="shared" si="63"/>
        <v>2381</v>
      </c>
      <c r="AS18" s="141">
        <f t="shared" si="63"/>
        <v>5099</v>
      </c>
      <c r="AT18" s="141">
        <f t="shared" si="63"/>
        <v>572</v>
      </c>
      <c r="AU18" s="141">
        <f t="shared" si="63"/>
        <v>2775</v>
      </c>
      <c r="AV18" s="141">
        <f t="shared" si="63"/>
        <v>3925</v>
      </c>
      <c r="AW18" s="142">
        <f t="shared" si="63"/>
        <v>7272</v>
      </c>
      <c r="AX18" s="141">
        <f t="shared" si="63"/>
        <v>3201</v>
      </c>
      <c r="AY18" s="141">
        <f t="shared" si="63"/>
        <v>1693</v>
      </c>
      <c r="AZ18" s="141">
        <f t="shared" si="63"/>
        <v>1431</v>
      </c>
      <c r="BA18" s="142">
        <f t="shared" si="63"/>
        <v>6325</v>
      </c>
      <c r="BB18" s="141">
        <f t="shared" si="63"/>
        <v>1011</v>
      </c>
      <c r="BC18" s="141">
        <f t="shared" si="63"/>
        <v>982</v>
      </c>
      <c r="BD18" s="141">
        <f t="shared" si="63"/>
        <v>1462</v>
      </c>
      <c r="BE18" s="142">
        <f t="shared" si="63"/>
        <v>3455</v>
      </c>
      <c r="BF18" s="141">
        <f t="shared" si="63"/>
        <v>22151</v>
      </c>
      <c r="BG18" s="141">
        <f t="shared" si="63"/>
        <v>708</v>
      </c>
      <c r="BH18" s="141">
        <f t="shared" si="63"/>
        <v>1084</v>
      </c>
      <c r="BI18" s="141">
        <f t="shared" si="63"/>
        <v>1854</v>
      </c>
      <c r="BJ18" s="141">
        <f t="shared" si="63"/>
        <v>3646</v>
      </c>
      <c r="BK18" s="141">
        <f t="shared" si="63"/>
        <v>4244</v>
      </c>
      <c r="BL18" s="141">
        <f t="shared" si="63"/>
        <v>4442</v>
      </c>
      <c r="BM18" s="141">
        <f t="shared" si="63"/>
        <v>3029</v>
      </c>
      <c r="BN18" s="141">
        <f t="shared" si="63"/>
        <v>11715</v>
      </c>
      <c r="BO18" s="141">
        <f t="shared" si="63"/>
        <v>1691</v>
      </c>
      <c r="BP18" s="141">
        <f t="shared" si="63"/>
        <v>2163</v>
      </c>
      <c r="BQ18" s="141">
        <f t="shared" si="63"/>
        <v>2385</v>
      </c>
      <c r="BR18" s="141">
        <f t="shared" si="63"/>
        <v>6239</v>
      </c>
      <c r="BS18" s="141">
        <f t="shared" si="63"/>
        <v>1335</v>
      </c>
      <c r="BT18" s="141">
        <f t="shared" si="63"/>
        <v>1402</v>
      </c>
      <c r="BU18" s="141">
        <f t="shared" si="63"/>
        <v>1972</v>
      </c>
      <c r="BV18" s="141">
        <f t="shared" si="63"/>
        <v>4709</v>
      </c>
      <c r="BW18" s="141">
        <f t="shared" si="63"/>
        <v>26309</v>
      </c>
      <c r="BX18" s="141">
        <f t="shared" si="63"/>
        <v>1066</v>
      </c>
      <c r="BY18" s="141">
        <f t="shared" si="63"/>
        <v>1354</v>
      </c>
      <c r="BZ18" s="141">
        <f t="shared" si="63"/>
        <v>288</v>
      </c>
      <c r="CA18" s="141">
        <f t="shared" si="63"/>
        <v>1602</v>
      </c>
      <c r="CB18" s="141">
        <f t="shared" si="63"/>
        <v>1602</v>
      </c>
      <c r="CC18" s="141">
        <f t="shared" si="63"/>
        <v>0</v>
      </c>
      <c r="CD18" s="141">
        <f t="shared" si="63"/>
        <v>298</v>
      </c>
      <c r="CE18" s="141">
        <f t="shared" si="63"/>
        <v>1003</v>
      </c>
      <c r="CF18" s="141">
        <f t="shared" si="63"/>
        <v>705</v>
      </c>
      <c r="CG18" s="141">
        <f t="shared" si="63"/>
        <v>7213</v>
      </c>
      <c r="CH18" s="141">
        <f t="shared" si="63"/>
        <v>1158</v>
      </c>
      <c r="CI18" s="141">
        <f t="shared" si="63"/>
        <v>1158</v>
      </c>
      <c r="CJ18" s="141">
        <f t="shared" si="63"/>
        <v>0</v>
      </c>
      <c r="CK18" s="141">
        <f t="shared" si="63"/>
        <v>663</v>
      </c>
      <c r="CL18" s="141">
        <f t="shared" si="63"/>
        <v>663</v>
      </c>
      <c r="CM18" s="141">
        <f t="shared" si="63"/>
        <v>0</v>
      </c>
      <c r="CN18" s="141">
        <f t="shared" si="63"/>
        <v>646</v>
      </c>
      <c r="CO18" s="141">
        <f t="shared" si="63"/>
        <v>648</v>
      </c>
      <c r="CP18" s="141">
        <f t="shared" si="63"/>
        <v>2</v>
      </c>
      <c r="CQ18" s="141">
        <f t="shared" si="63"/>
        <v>4936</v>
      </c>
      <c r="CR18" s="141">
        <f t="shared" si="63"/>
        <v>1703</v>
      </c>
      <c r="CS18" s="141">
        <f t="shared" si="63"/>
        <v>995</v>
      </c>
      <c r="CT18" s="141">
        <f t="shared" si="63"/>
        <v>2698</v>
      </c>
      <c r="CU18" s="141">
        <f t="shared" si="63"/>
        <v>0</v>
      </c>
      <c r="CV18" s="141">
        <f t="shared" si="63"/>
        <v>0</v>
      </c>
      <c r="CW18" s="141">
        <f t="shared" si="63"/>
        <v>5396</v>
      </c>
      <c r="CX18" s="141">
        <f t="shared" si="63"/>
        <v>0</v>
      </c>
      <c r="CY18" s="141">
        <f t="shared" si="63"/>
        <v>0</v>
      </c>
      <c r="CZ18" s="141">
        <f t="shared" si="63"/>
        <v>0</v>
      </c>
      <c r="DA18" s="141">
        <f t="shared" si="63"/>
        <v>0</v>
      </c>
      <c r="DB18" s="141">
        <f t="shared" si="63"/>
        <v>17545</v>
      </c>
      <c r="DC18" s="141">
        <f t="shared" si="63"/>
        <v>535918</v>
      </c>
      <c r="DD18" s="4"/>
      <c r="DE18" s="20">
        <f>SUM(AJ18,AN18,BF18,BW18,DB18)</f>
        <v>81556</v>
      </c>
      <c r="DF18" s="4"/>
      <c r="DG18" s="20"/>
      <c r="DH18" s="20"/>
      <c r="DI18" s="4"/>
      <c r="DJ18" s="4"/>
      <c r="DK18" s="20"/>
      <c r="DL18" s="20"/>
      <c r="DM18" s="4"/>
      <c r="DN18" s="4"/>
      <c r="DO18" s="4"/>
      <c r="DP18" s="4"/>
      <c r="DQ18" s="4"/>
      <c r="DR18" s="4"/>
      <c r="DS18" s="4"/>
    </row>
    <row r="19" ht="15.75" customHeight="1">
      <c r="A19" s="167" t="s">
        <v>88</v>
      </c>
      <c r="B19" s="154">
        <v>13.0</v>
      </c>
      <c r="C19" s="154">
        <v>13.0</v>
      </c>
      <c r="D19" s="154">
        <v>10.0</v>
      </c>
      <c r="E19" s="154">
        <v>8791.0</v>
      </c>
      <c r="F19" s="154">
        <v>16750.0</v>
      </c>
      <c r="G19" s="154">
        <f t="shared" ref="G19:G22" si="64">SUM(B19:F19)</f>
        <v>25577</v>
      </c>
      <c r="H19" s="154">
        <v>4983.0</v>
      </c>
      <c r="I19" s="154">
        <v>14937.0</v>
      </c>
      <c r="J19" s="154">
        <v>12136.0</v>
      </c>
      <c r="K19" s="156">
        <f t="shared" ref="K19:K22" si="65">SUM(H19:J19)</f>
        <v>32056</v>
      </c>
      <c r="L19" s="154">
        <v>7820.0</v>
      </c>
      <c r="M19" s="154">
        <v>5048.0</v>
      </c>
      <c r="N19" s="154">
        <v>5209.0</v>
      </c>
      <c r="O19" s="156">
        <f t="shared" ref="O19:O22" si="66">SUM(L19:N19)</f>
        <v>18077</v>
      </c>
      <c r="P19" s="154">
        <v>3171.0</v>
      </c>
      <c r="Q19" s="154">
        <v>1101.0</v>
      </c>
      <c r="R19" s="154">
        <v>1809.0</v>
      </c>
      <c r="S19" s="156">
        <f t="shared" ref="S19:S22" si="67">SUM(P19:R19)</f>
        <v>6081</v>
      </c>
      <c r="T19" s="154">
        <v>1112.0</v>
      </c>
      <c r="U19" s="154">
        <v>749.0</v>
      </c>
      <c r="V19" s="154">
        <v>589.0</v>
      </c>
      <c r="W19" s="156">
        <f t="shared" ref="W19:W22" si="68">SUM(T19:V19)</f>
        <v>2450</v>
      </c>
      <c r="X19" s="156">
        <f t="shared" ref="X19:X22" si="69">SUM(W19,S19,O19,K19)</f>
        <v>58664</v>
      </c>
      <c r="Y19" s="154">
        <v>733.0</v>
      </c>
      <c r="Z19" s="154">
        <v>407.0</v>
      </c>
      <c r="AA19" s="154">
        <v>660.0</v>
      </c>
      <c r="AB19" s="156">
        <f t="shared" ref="AB19:AB22" si="70">SUM(Y19:AA19)</f>
        <v>1800</v>
      </c>
      <c r="AC19" s="154">
        <v>227.0</v>
      </c>
      <c r="AD19" s="154">
        <v>239.0</v>
      </c>
      <c r="AE19" s="154">
        <v>803.0</v>
      </c>
      <c r="AF19" s="156">
        <f t="shared" ref="AF19:AF22" si="71">SUM(AC19:AE19)</f>
        <v>1269</v>
      </c>
      <c r="AG19" s="154">
        <v>652.0</v>
      </c>
      <c r="AH19" s="154">
        <v>415.0</v>
      </c>
      <c r="AI19" s="154">
        <v>239.0</v>
      </c>
      <c r="AJ19" s="156">
        <f t="shared" ref="AJ19:AJ22" si="72">SUM(AG19:AI19)</f>
        <v>1306</v>
      </c>
      <c r="AK19" s="154">
        <v>59.0</v>
      </c>
      <c r="AL19" s="154">
        <v>38.0</v>
      </c>
      <c r="AM19" s="154">
        <v>70.0</v>
      </c>
      <c r="AN19" s="156">
        <f t="shared" ref="AN19:AN22" si="73">SUM(AK19:AM19)</f>
        <v>167</v>
      </c>
      <c r="AO19" s="156">
        <f t="shared" ref="AO19:AO22" si="74">SUM(AB19,AF19,AJ19,AN19)</f>
        <v>4542</v>
      </c>
      <c r="AP19" s="154">
        <v>20.0</v>
      </c>
      <c r="AQ19" s="154">
        <v>101.0</v>
      </c>
      <c r="AR19" s="156">
        <v>314.0</v>
      </c>
      <c r="AS19" s="154">
        <f t="shared" ref="AS19:AS22" si="75">SUM(AP19:AR19)</f>
        <v>435</v>
      </c>
      <c r="AT19" s="154">
        <v>63.0</v>
      </c>
      <c r="AU19" s="154">
        <v>274.0</v>
      </c>
      <c r="AV19" s="154">
        <v>430.0</v>
      </c>
      <c r="AW19" s="154">
        <f t="shared" ref="AW19:AW22" si="76">SUM(AT19:AV19)</f>
        <v>767</v>
      </c>
      <c r="AX19" s="154">
        <v>120.0</v>
      </c>
      <c r="AY19" s="154">
        <v>92.0</v>
      </c>
      <c r="AZ19" s="154">
        <v>262.0</v>
      </c>
      <c r="BA19" s="154">
        <f t="shared" ref="BA19:BA22" si="77">SUM(AX19:AZ19)</f>
        <v>474</v>
      </c>
      <c r="BB19" s="154">
        <v>27.0</v>
      </c>
      <c r="BC19" s="154">
        <v>256.0</v>
      </c>
      <c r="BD19" s="154">
        <v>105.0</v>
      </c>
      <c r="BE19" s="154">
        <f t="shared" ref="BE19:BE22" si="78">SUM(BB19:BD19)</f>
        <v>388</v>
      </c>
      <c r="BF19" s="154">
        <f t="shared" ref="BF19:BF22" si="79">SUM(AS19,AW19,BA19,BE19)</f>
        <v>2064</v>
      </c>
      <c r="BG19" s="154">
        <v>11.0</v>
      </c>
      <c r="BH19" s="154">
        <v>7.0</v>
      </c>
      <c r="BI19" s="154">
        <v>195.0</v>
      </c>
      <c r="BJ19" s="154">
        <f t="shared" ref="BJ19:BJ22" si="80">SUM(BG19:BI19)</f>
        <v>213</v>
      </c>
      <c r="BK19" s="154">
        <v>876.0</v>
      </c>
      <c r="BL19" s="154">
        <v>731.0</v>
      </c>
      <c r="BM19" s="154">
        <v>435.0</v>
      </c>
      <c r="BN19" s="154">
        <f t="shared" ref="BN19:BN22" si="81">SUM(BK19:BM19)</f>
        <v>2042</v>
      </c>
      <c r="BO19" s="154">
        <v>261.0</v>
      </c>
      <c r="BP19" s="154">
        <v>353.0</v>
      </c>
      <c r="BQ19" s="154">
        <v>223.0</v>
      </c>
      <c r="BR19" s="154">
        <f t="shared" ref="BR19:BR22" si="82">SUM(BO19:BQ19)</f>
        <v>837</v>
      </c>
      <c r="BS19" s="154">
        <v>319.0</v>
      </c>
      <c r="BT19" s="154">
        <v>526.0</v>
      </c>
      <c r="BU19" s="154">
        <v>517.0</v>
      </c>
      <c r="BV19" s="154">
        <f t="shared" ref="BV19:BV22" si="83">SUM(BS19:BU19)</f>
        <v>1362</v>
      </c>
      <c r="BW19" s="154">
        <f t="shared" ref="BW19:BW22" si="84">SUM(BJ19,BN19,BR19,BV19)</f>
        <v>4454</v>
      </c>
      <c r="BX19" s="154">
        <v>107.0</v>
      </c>
      <c r="BY19" s="154">
        <v>105.0</v>
      </c>
      <c r="BZ19" s="154">
        <f t="shared" ref="BZ19:BZ22" si="85">BY19-BX19</f>
        <v>-2</v>
      </c>
      <c r="CA19" s="154">
        <v>202.0</v>
      </c>
      <c r="CB19" s="154">
        <v>202.0</v>
      </c>
      <c r="CC19" s="154">
        <f t="shared" ref="CC19:CC22" si="86">CB19-CA19</f>
        <v>0</v>
      </c>
      <c r="CD19" s="154">
        <v>38.0</v>
      </c>
      <c r="CE19" s="154">
        <v>178.0</v>
      </c>
      <c r="CF19" s="154">
        <f t="shared" ref="CF19:CF22" si="87">CE19-CD19</f>
        <v>140</v>
      </c>
      <c r="CG19" s="154">
        <f t="shared" ref="CG19:CG22" si="88">SUM(BX19:CE19)</f>
        <v>830</v>
      </c>
      <c r="CH19" s="154">
        <v>143.0</v>
      </c>
      <c r="CI19" s="154">
        <v>143.0</v>
      </c>
      <c r="CJ19" s="154">
        <f t="shared" ref="CJ19:CJ22" si="89">CI19-CH19</f>
        <v>0</v>
      </c>
      <c r="CK19" s="154">
        <v>59.0</v>
      </c>
      <c r="CL19" s="176">
        <v>59.0</v>
      </c>
      <c r="CM19" s="154">
        <f t="shared" ref="CM19:CM22" si="90">CL19-CK19</f>
        <v>0</v>
      </c>
      <c r="CN19" s="176">
        <v>75.0</v>
      </c>
      <c r="CO19" s="176">
        <v>75.0</v>
      </c>
      <c r="CP19" s="154">
        <f t="shared" ref="CP19:CP22" si="91">CO19-CN19</f>
        <v>0</v>
      </c>
      <c r="CQ19" s="154">
        <f t="shared" ref="CQ19:CQ22" si="92">SUM(CH19:CO19)</f>
        <v>554</v>
      </c>
      <c r="CR19" s="154">
        <v>45.0</v>
      </c>
      <c r="CS19" s="154">
        <f t="shared" ref="CS19:CS22" si="93">SUM(BZ19,CC19,CF19,CJ19,CM19,CP19)</f>
        <v>138</v>
      </c>
      <c r="CT19" s="154">
        <f t="shared" ref="CT19:CT22" si="94">CR19+CS19</f>
        <v>183</v>
      </c>
      <c r="CU19" s="154"/>
      <c r="CV19" s="154"/>
      <c r="CW19" s="154">
        <f t="shared" ref="CW19:CW22" si="95">SUM(CR19:CV19)</f>
        <v>366</v>
      </c>
      <c r="CX19" s="154"/>
      <c r="CY19" s="154"/>
      <c r="CZ19" s="154"/>
      <c r="DA19" s="154">
        <f t="shared" ref="DA19:DA22" si="96">SUM(CX19:CZ19)</f>
        <v>0</v>
      </c>
      <c r="DB19" s="154">
        <f t="shared" ref="DB19:DB22" si="97">SUM(CG19,CQ19,CW19,DA19)</f>
        <v>1750</v>
      </c>
      <c r="DC19" s="171">
        <f t="shared" ref="DC19:DC22" si="98">SUM(A19,G19,X19,AO19,BF19,BW19,DB19)</f>
        <v>97051</v>
      </c>
      <c r="DD19" s="4"/>
      <c r="DE19" s="164"/>
      <c r="DF19" s="4"/>
      <c r="DG19" s="20"/>
      <c r="DH19" s="20"/>
      <c r="DI19" s="4"/>
      <c r="DJ19" s="4"/>
      <c r="DK19" s="20"/>
      <c r="DL19" s="20"/>
      <c r="DM19" s="4"/>
      <c r="DN19" s="4"/>
      <c r="DO19" s="4"/>
      <c r="DP19" s="4"/>
      <c r="DQ19" s="4"/>
      <c r="DR19" s="4"/>
      <c r="DS19" s="4"/>
    </row>
    <row r="20" ht="15.75" customHeight="1">
      <c r="A20" s="167" t="s">
        <v>89</v>
      </c>
      <c r="B20" s="154">
        <v>0.0</v>
      </c>
      <c r="C20" s="154">
        <v>0.0</v>
      </c>
      <c r="D20" s="154">
        <v>89.0</v>
      </c>
      <c r="E20" s="154">
        <v>11225.0</v>
      </c>
      <c r="F20" s="154">
        <v>23446.0</v>
      </c>
      <c r="G20" s="154">
        <f t="shared" si="64"/>
        <v>34760</v>
      </c>
      <c r="H20" s="154">
        <v>4547.0</v>
      </c>
      <c r="I20" s="154">
        <v>14037.0</v>
      </c>
      <c r="J20" s="154">
        <v>12206.0</v>
      </c>
      <c r="K20" s="156">
        <f t="shared" si="65"/>
        <v>30790</v>
      </c>
      <c r="L20" s="154">
        <v>6246.0</v>
      </c>
      <c r="M20" s="154">
        <v>4188.0</v>
      </c>
      <c r="N20" s="154">
        <v>1965.0</v>
      </c>
      <c r="O20" s="156">
        <f t="shared" si="66"/>
        <v>12399</v>
      </c>
      <c r="P20" s="154">
        <v>1222.0</v>
      </c>
      <c r="Q20" s="154">
        <v>1995.0</v>
      </c>
      <c r="R20" s="154">
        <v>2291.0</v>
      </c>
      <c r="S20" s="156">
        <f t="shared" si="67"/>
        <v>5508</v>
      </c>
      <c r="T20" s="154">
        <v>445.0</v>
      </c>
      <c r="U20" s="154">
        <v>469.0</v>
      </c>
      <c r="V20" s="154">
        <v>536.0</v>
      </c>
      <c r="W20" s="156">
        <f t="shared" si="68"/>
        <v>1450</v>
      </c>
      <c r="X20" s="156">
        <f t="shared" si="69"/>
        <v>50147</v>
      </c>
      <c r="Y20" s="154">
        <v>537.0</v>
      </c>
      <c r="Z20" s="154">
        <v>772.0</v>
      </c>
      <c r="AA20" s="154">
        <v>1014.0</v>
      </c>
      <c r="AB20" s="156">
        <f t="shared" si="70"/>
        <v>2323</v>
      </c>
      <c r="AC20" s="154">
        <v>671.0</v>
      </c>
      <c r="AD20" s="154">
        <v>541.0</v>
      </c>
      <c r="AE20" s="154">
        <v>902.0</v>
      </c>
      <c r="AF20" s="156">
        <f t="shared" si="71"/>
        <v>2114</v>
      </c>
      <c r="AG20" s="154">
        <v>473.0</v>
      </c>
      <c r="AH20" s="154">
        <v>571.0</v>
      </c>
      <c r="AI20" s="154">
        <v>467.0</v>
      </c>
      <c r="AJ20" s="156">
        <f t="shared" si="72"/>
        <v>1511</v>
      </c>
      <c r="AK20" s="154">
        <v>129.0</v>
      </c>
      <c r="AL20" s="154">
        <v>220.0</v>
      </c>
      <c r="AM20" s="154">
        <v>233.0</v>
      </c>
      <c r="AN20" s="156">
        <f t="shared" si="73"/>
        <v>582</v>
      </c>
      <c r="AO20" s="156">
        <f t="shared" si="74"/>
        <v>6530</v>
      </c>
      <c r="AP20" s="154">
        <v>185.0</v>
      </c>
      <c r="AQ20" s="154">
        <v>220.0</v>
      </c>
      <c r="AR20" s="156">
        <v>181.0</v>
      </c>
      <c r="AS20" s="154">
        <f t="shared" si="75"/>
        <v>586</v>
      </c>
      <c r="AT20" s="154">
        <v>82.0</v>
      </c>
      <c r="AU20" s="154">
        <v>139.0</v>
      </c>
      <c r="AV20" s="154">
        <v>443.0</v>
      </c>
      <c r="AW20" s="154">
        <f t="shared" si="76"/>
        <v>664</v>
      </c>
      <c r="AX20" s="154">
        <v>235.0</v>
      </c>
      <c r="AY20" s="154">
        <v>173.0</v>
      </c>
      <c r="AZ20" s="154">
        <v>128.0</v>
      </c>
      <c r="BA20" s="154">
        <f t="shared" si="77"/>
        <v>536</v>
      </c>
      <c r="BB20" s="154">
        <v>109.0</v>
      </c>
      <c r="BC20" s="154">
        <v>28.0</v>
      </c>
      <c r="BD20" s="154">
        <v>189.0</v>
      </c>
      <c r="BE20" s="154">
        <f t="shared" si="78"/>
        <v>326</v>
      </c>
      <c r="BF20" s="154">
        <f t="shared" si="79"/>
        <v>2112</v>
      </c>
      <c r="BG20" s="154">
        <v>80.0</v>
      </c>
      <c r="BH20" s="154">
        <v>191.0</v>
      </c>
      <c r="BI20" s="154">
        <v>297.0</v>
      </c>
      <c r="BJ20" s="154">
        <f t="shared" si="80"/>
        <v>568</v>
      </c>
      <c r="BK20" s="154">
        <v>1079.0</v>
      </c>
      <c r="BL20" s="154">
        <v>1006.0</v>
      </c>
      <c r="BM20" s="154">
        <v>899.0</v>
      </c>
      <c r="BN20" s="154">
        <f t="shared" si="81"/>
        <v>2984</v>
      </c>
      <c r="BO20" s="154">
        <v>60.0</v>
      </c>
      <c r="BP20" s="154">
        <v>376.0</v>
      </c>
      <c r="BQ20" s="154">
        <v>832.0</v>
      </c>
      <c r="BR20" s="154">
        <f t="shared" si="82"/>
        <v>1268</v>
      </c>
      <c r="BS20" s="154">
        <v>91.0</v>
      </c>
      <c r="BT20" s="154">
        <v>2.0</v>
      </c>
      <c r="BU20" s="154">
        <v>371.0</v>
      </c>
      <c r="BV20" s="154">
        <f t="shared" si="83"/>
        <v>464</v>
      </c>
      <c r="BW20" s="154">
        <f t="shared" si="84"/>
        <v>5284</v>
      </c>
      <c r="BX20" s="154">
        <v>741.0</v>
      </c>
      <c r="BY20" s="154">
        <v>743.0</v>
      </c>
      <c r="BZ20" s="154">
        <f t="shared" si="85"/>
        <v>2</v>
      </c>
      <c r="CA20" s="154">
        <v>737.0</v>
      </c>
      <c r="CB20" s="154">
        <v>737.0</v>
      </c>
      <c r="CC20" s="154">
        <f t="shared" si="86"/>
        <v>0</v>
      </c>
      <c r="CD20" s="154">
        <v>103.0</v>
      </c>
      <c r="CE20" s="154">
        <v>156.0</v>
      </c>
      <c r="CF20" s="154">
        <f t="shared" si="87"/>
        <v>53</v>
      </c>
      <c r="CG20" s="154">
        <f t="shared" si="88"/>
        <v>3219</v>
      </c>
      <c r="CH20" s="154">
        <v>402.0</v>
      </c>
      <c r="CI20" s="154">
        <v>402.0</v>
      </c>
      <c r="CJ20" s="154">
        <f t="shared" si="89"/>
        <v>0</v>
      </c>
      <c r="CK20" s="154">
        <v>36.0</v>
      </c>
      <c r="CL20" s="176">
        <v>36.0</v>
      </c>
      <c r="CM20" s="154">
        <f t="shared" si="90"/>
        <v>0</v>
      </c>
      <c r="CN20" s="176">
        <v>9.0</v>
      </c>
      <c r="CO20" s="176">
        <v>9.0</v>
      </c>
      <c r="CP20" s="154">
        <f t="shared" si="91"/>
        <v>0</v>
      </c>
      <c r="CQ20" s="154">
        <f t="shared" si="92"/>
        <v>894</v>
      </c>
      <c r="CR20" s="154">
        <v>921.0</v>
      </c>
      <c r="CS20" s="154">
        <f t="shared" si="93"/>
        <v>55</v>
      </c>
      <c r="CT20" s="154">
        <f t="shared" si="94"/>
        <v>976</v>
      </c>
      <c r="CU20" s="154"/>
      <c r="CV20" s="154"/>
      <c r="CW20" s="154">
        <f t="shared" si="95"/>
        <v>1952</v>
      </c>
      <c r="CX20" s="154"/>
      <c r="CY20" s="154"/>
      <c r="CZ20" s="154"/>
      <c r="DA20" s="154">
        <f t="shared" si="96"/>
        <v>0</v>
      </c>
      <c r="DB20" s="154">
        <f t="shared" si="97"/>
        <v>6065</v>
      </c>
      <c r="DC20" s="171">
        <f t="shared" si="98"/>
        <v>104898</v>
      </c>
      <c r="DD20" s="4"/>
      <c r="DE20" s="164"/>
      <c r="DF20" s="4"/>
      <c r="DG20" s="20"/>
      <c r="DH20" s="20"/>
      <c r="DI20" s="4"/>
      <c r="DJ20" s="4"/>
      <c r="DK20" s="20"/>
      <c r="DL20" s="20"/>
      <c r="DM20" s="4"/>
      <c r="DN20" s="4"/>
      <c r="DO20" s="4"/>
      <c r="DP20" s="4"/>
      <c r="DQ20" s="4"/>
      <c r="DR20" s="4"/>
      <c r="DS20" s="4"/>
    </row>
    <row r="21" ht="15.75" customHeight="1">
      <c r="A21" s="167" t="s">
        <v>90</v>
      </c>
      <c r="B21" s="154">
        <v>269.0</v>
      </c>
      <c r="C21" s="154">
        <v>12.0</v>
      </c>
      <c r="D21" s="154">
        <v>1.0</v>
      </c>
      <c r="E21" s="154">
        <v>7159.0</v>
      </c>
      <c r="F21" s="154">
        <v>16696.0</v>
      </c>
      <c r="G21" s="154">
        <f t="shared" si="64"/>
        <v>24137</v>
      </c>
      <c r="H21" s="154">
        <v>8860.0</v>
      </c>
      <c r="I21" s="154">
        <v>8366.0</v>
      </c>
      <c r="J21" s="154">
        <v>10121.0</v>
      </c>
      <c r="K21" s="156">
        <f t="shared" si="65"/>
        <v>27347</v>
      </c>
      <c r="L21" s="154">
        <v>5902.0</v>
      </c>
      <c r="M21" s="154">
        <v>2817.0</v>
      </c>
      <c r="N21" s="154">
        <v>1492.0</v>
      </c>
      <c r="O21" s="156">
        <f t="shared" si="66"/>
        <v>10211</v>
      </c>
      <c r="P21" s="154">
        <v>1450.0</v>
      </c>
      <c r="Q21" s="154">
        <v>1677.0</v>
      </c>
      <c r="R21" s="154">
        <v>2147.0</v>
      </c>
      <c r="S21" s="156">
        <f t="shared" si="67"/>
        <v>5274</v>
      </c>
      <c r="T21" s="154">
        <v>412.0</v>
      </c>
      <c r="U21" s="154">
        <v>393.0</v>
      </c>
      <c r="V21" s="154">
        <v>379.0</v>
      </c>
      <c r="W21" s="156">
        <f t="shared" si="68"/>
        <v>1184</v>
      </c>
      <c r="X21" s="156">
        <f t="shared" si="69"/>
        <v>44016</v>
      </c>
      <c r="Y21" s="154">
        <v>264.0</v>
      </c>
      <c r="Z21" s="154">
        <v>693.0</v>
      </c>
      <c r="AA21" s="154">
        <v>971.0</v>
      </c>
      <c r="AB21" s="156">
        <f t="shared" si="70"/>
        <v>1928</v>
      </c>
      <c r="AC21" s="154">
        <v>737.0</v>
      </c>
      <c r="AD21" s="154">
        <v>403.0</v>
      </c>
      <c r="AE21" s="154">
        <v>1588.0</v>
      </c>
      <c r="AF21" s="156">
        <f t="shared" si="71"/>
        <v>2728</v>
      </c>
      <c r="AG21" s="154">
        <v>967.0</v>
      </c>
      <c r="AH21" s="154">
        <v>701.0</v>
      </c>
      <c r="AI21" s="154">
        <v>1112.0</v>
      </c>
      <c r="AJ21" s="156">
        <f t="shared" si="72"/>
        <v>2780</v>
      </c>
      <c r="AK21" s="154">
        <v>774.0</v>
      </c>
      <c r="AL21" s="154">
        <v>614.0</v>
      </c>
      <c r="AM21" s="154">
        <v>251.0</v>
      </c>
      <c r="AN21" s="156">
        <f t="shared" si="73"/>
        <v>1639</v>
      </c>
      <c r="AO21" s="156">
        <f t="shared" si="74"/>
        <v>9075</v>
      </c>
      <c r="AP21" s="154">
        <v>121.0</v>
      </c>
      <c r="AQ21" s="154">
        <v>334.0</v>
      </c>
      <c r="AR21" s="156">
        <v>252.0</v>
      </c>
      <c r="AS21" s="154">
        <f t="shared" si="75"/>
        <v>707</v>
      </c>
      <c r="AT21" s="154">
        <v>87.0</v>
      </c>
      <c r="AU21" s="154">
        <v>845.0</v>
      </c>
      <c r="AV21" s="154">
        <v>690.0</v>
      </c>
      <c r="AW21" s="154">
        <f t="shared" si="76"/>
        <v>1622</v>
      </c>
      <c r="AX21" s="154">
        <v>919.0</v>
      </c>
      <c r="AY21" s="154">
        <v>285.0</v>
      </c>
      <c r="AZ21" s="154">
        <v>515.0</v>
      </c>
      <c r="BA21" s="154">
        <f t="shared" si="77"/>
        <v>1719</v>
      </c>
      <c r="BB21" s="154">
        <v>269.0</v>
      </c>
      <c r="BC21" s="154">
        <v>183.0</v>
      </c>
      <c r="BD21" s="154">
        <v>232.0</v>
      </c>
      <c r="BE21" s="154">
        <f t="shared" si="78"/>
        <v>684</v>
      </c>
      <c r="BF21" s="154">
        <f t="shared" si="79"/>
        <v>4732</v>
      </c>
      <c r="BG21" s="154">
        <v>159.0</v>
      </c>
      <c r="BH21" s="154">
        <v>259.0</v>
      </c>
      <c r="BI21" s="154">
        <v>361.0</v>
      </c>
      <c r="BJ21" s="154">
        <f t="shared" si="80"/>
        <v>779</v>
      </c>
      <c r="BK21" s="154">
        <v>491.0</v>
      </c>
      <c r="BL21" s="154">
        <v>597.0</v>
      </c>
      <c r="BM21" s="154">
        <v>570.0</v>
      </c>
      <c r="BN21" s="154">
        <f t="shared" si="81"/>
        <v>1658</v>
      </c>
      <c r="BO21" s="154">
        <v>518.0</v>
      </c>
      <c r="BP21" s="154">
        <v>379.0</v>
      </c>
      <c r="BQ21" s="154">
        <v>429.0</v>
      </c>
      <c r="BR21" s="154">
        <f t="shared" si="82"/>
        <v>1326</v>
      </c>
      <c r="BS21" s="154">
        <v>247.0</v>
      </c>
      <c r="BT21" s="154">
        <v>266.0</v>
      </c>
      <c r="BU21" s="154">
        <v>395.0</v>
      </c>
      <c r="BV21" s="154">
        <f t="shared" si="83"/>
        <v>908</v>
      </c>
      <c r="BW21" s="154">
        <f t="shared" si="84"/>
        <v>4671</v>
      </c>
      <c r="BX21" s="154">
        <v>132.0</v>
      </c>
      <c r="BY21" s="154">
        <v>146.0</v>
      </c>
      <c r="BZ21" s="154">
        <f t="shared" si="85"/>
        <v>14</v>
      </c>
      <c r="CA21" s="154">
        <v>163.0</v>
      </c>
      <c r="CB21" s="154">
        <v>163.0</v>
      </c>
      <c r="CC21" s="154">
        <f t="shared" si="86"/>
        <v>0</v>
      </c>
      <c r="CD21" s="154">
        <v>46.0</v>
      </c>
      <c r="CE21" s="154">
        <v>163.0</v>
      </c>
      <c r="CF21" s="154">
        <f t="shared" si="87"/>
        <v>117</v>
      </c>
      <c r="CG21" s="154">
        <f t="shared" si="88"/>
        <v>827</v>
      </c>
      <c r="CH21" s="154">
        <v>104.0</v>
      </c>
      <c r="CI21" s="154">
        <v>104.0</v>
      </c>
      <c r="CJ21" s="154">
        <f t="shared" si="89"/>
        <v>0</v>
      </c>
      <c r="CK21" s="154">
        <v>93.0</v>
      </c>
      <c r="CL21" s="176">
        <v>93.0</v>
      </c>
      <c r="CM21" s="154">
        <f t="shared" si="90"/>
        <v>0</v>
      </c>
      <c r="CN21" s="176">
        <v>139.0</v>
      </c>
      <c r="CO21" s="176">
        <v>140.0</v>
      </c>
      <c r="CP21" s="154">
        <f t="shared" si="91"/>
        <v>1</v>
      </c>
      <c r="CQ21" s="154">
        <f t="shared" si="92"/>
        <v>673</v>
      </c>
      <c r="CR21" s="154">
        <v>380.0</v>
      </c>
      <c r="CS21" s="154">
        <f t="shared" si="93"/>
        <v>132</v>
      </c>
      <c r="CT21" s="154">
        <f t="shared" si="94"/>
        <v>512</v>
      </c>
      <c r="CU21" s="154"/>
      <c r="CV21" s="154"/>
      <c r="CW21" s="154">
        <f t="shared" si="95"/>
        <v>1024</v>
      </c>
      <c r="CX21" s="154"/>
      <c r="CY21" s="154"/>
      <c r="CZ21" s="154"/>
      <c r="DA21" s="154">
        <f t="shared" si="96"/>
        <v>0</v>
      </c>
      <c r="DB21" s="154">
        <f t="shared" si="97"/>
        <v>2524</v>
      </c>
      <c r="DC21" s="171">
        <f t="shared" si="98"/>
        <v>89155</v>
      </c>
      <c r="DD21" s="4"/>
      <c r="DE21" s="164"/>
      <c r="DF21" s="4"/>
      <c r="DG21" s="20"/>
      <c r="DH21" s="20"/>
      <c r="DI21" s="4"/>
      <c r="DJ21" s="4"/>
      <c r="DK21" s="20"/>
      <c r="DL21" s="20"/>
      <c r="DM21" s="4"/>
      <c r="DN21" s="4"/>
      <c r="DO21" s="4"/>
      <c r="DP21" s="4"/>
      <c r="DQ21" s="4"/>
      <c r="DR21" s="4"/>
      <c r="DS21" s="4"/>
    </row>
    <row r="22" ht="15.75" customHeight="1">
      <c r="A22" s="167" t="s">
        <v>92</v>
      </c>
      <c r="B22" s="154">
        <v>49.0</v>
      </c>
      <c r="C22" s="154">
        <v>9.0</v>
      </c>
      <c r="D22" s="154">
        <v>32.0</v>
      </c>
      <c r="E22" s="154">
        <v>16462.0</v>
      </c>
      <c r="F22" s="154">
        <v>40253.0</v>
      </c>
      <c r="G22" s="154">
        <f t="shared" si="64"/>
        <v>56805</v>
      </c>
      <c r="H22" s="154">
        <v>16867.0</v>
      </c>
      <c r="I22" s="154">
        <v>24370.0</v>
      </c>
      <c r="J22" s="154">
        <v>29890.0</v>
      </c>
      <c r="K22" s="156">
        <f t="shared" si="65"/>
        <v>71127</v>
      </c>
      <c r="L22" s="154">
        <v>18754.0</v>
      </c>
      <c r="M22" s="154">
        <v>13095.0</v>
      </c>
      <c r="N22" s="154">
        <v>8541.0</v>
      </c>
      <c r="O22" s="156">
        <f t="shared" si="66"/>
        <v>40390</v>
      </c>
      <c r="P22" s="154">
        <v>8811.0</v>
      </c>
      <c r="Q22" s="154">
        <v>10408.0</v>
      </c>
      <c r="R22" s="154">
        <v>4849.0</v>
      </c>
      <c r="S22" s="156">
        <f t="shared" si="67"/>
        <v>24068</v>
      </c>
      <c r="T22" s="154">
        <v>2430.0</v>
      </c>
      <c r="U22" s="154">
        <v>1092.0</v>
      </c>
      <c r="V22" s="154">
        <v>1289.0</v>
      </c>
      <c r="W22" s="156">
        <f t="shared" si="68"/>
        <v>4811</v>
      </c>
      <c r="X22" s="156">
        <f t="shared" si="69"/>
        <v>140396</v>
      </c>
      <c r="Y22" s="154">
        <v>923.0</v>
      </c>
      <c r="Z22" s="154">
        <v>1312.0</v>
      </c>
      <c r="AA22" s="154">
        <v>1646.0</v>
      </c>
      <c r="AB22" s="156">
        <f t="shared" si="70"/>
        <v>3881</v>
      </c>
      <c r="AC22" s="154">
        <v>1235.0</v>
      </c>
      <c r="AD22" s="154">
        <v>627.0</v>
      </c>
      <c r="AE22" s="154">
        <v>1955.0</v>
      </c>
      <c r="AF22" s="156">
        <f t="shared" si="71"/>
        <v>3817</v>
      </c>
      <c r="AG22" s="154">
        <v>2183.0</v>
      </c>
      <c r="AH22" s="154">
        <v>1610.0</v>
      </c>
      <c r="AI22" s="154">
        <v>1587.0</v>
      </c>
      <c r="AJ22" s="156">
        <f t="shared" si="72"/>
        <v>5380</v>
      </c>
      <c r="AK22" s="154">
        <v>717.0</v>
      </c>
      <c r="AL22" s="154">
        <v>670.0</v>
      </c>
      <c r="AM22" s="154">
        <v>799.0</v>
      </c>
      <c r="AN22" s="156">
        <f t="shared" si="73"/>
        <v>2186</v>
      </c>
      <c r="AO22" s="156">
        <f t="shared" si="74"/>
        <v>15264</v>
      </c>
      <c r="AP22" s="154">
        <v>783.0</v>
      </c>
      <c r="AQ22" s="154">
        <v>954.0</v>
      </c>
      <c r="AR22" s="156">
        <v>1634.0</v>
      </c>
      <c r="AS22" s="154">
        <f t="shared" si="75"/>
        <v>3371</v>
      </c>
      <c r="AT22" s="154">
        <v>340.0</v>
      </c>
      <c r="AU22" s="154">
        <v>1517.0</v>
      </c>
      <c r="AV22" s="154">
        <v>2362.0</v>
      </c>
      <c r="AW22" s="154">
        <f t="shared" si="76"/>
        <v>4219</v>
      </c>
      <c r="AX22" s="154">
        <v>1927.0</v>
      </c>
      <c r="AY22" s="154">
        <v>1143.0</v>
      </c>
      <c r="AZ22" s="154">
        <v>526.0</v>
      </c>
      <c r="BA22" s="154">
        <f t="shared" si="77"/>
        <v>3596</v>
      </c>
      <c r="BB22" s="154">
        <v>606.0</v>
      </c>
      <c r="BC22" s="154">
        <v>515.0</v>
      </c>
      <c r="BD22" s="154">
        <v>936.0</v>
      </c>
      <c r="BE22" s="154">
        <f t="shared" si="78"/>
        <v>2057</v>
      </c>
      <c r="BF22" s="154">
        <f t="shared" si="79"/>
        <v>13243</v>
      </c>
      <c r="BG22" s="154">
        <v>458.0</v>
      </c>
      <c r="BH22" s="154">
        <v>627.0</v>
      </c>
      <c r="BI22" s="154">
        <v>1001.0</v>
      </c>
      <c r="BJ22" s="154">
        <f t="shared" si="80"/>
        <v>2086</v>
      </c>
      <c r="BK22" s="154">
        <v>1798.0</v>
      </c>
      <c r="BL22" s="154">
        <v>2108.0</v>
      </c>
      <c r="BM22" s="154">
        <v>1125.0</v>
      </c>
      <c r="BN22" s="154">
        <f t="shared" si="81"/>
        <v>5031</v>
      </c>
      <c r="BO22" s="154">
        <v>852.0</v>
      </c>
      <c r="BP22" s="154">
        <v>1055.0</v>
      </c>
      <c r="BQ22" s="154">
        <v>901.0</v>
      </c>
      <c r="BR22" s="154">
        <f t="shared" si="82"/>
        <v>2808</v>
      </c>
      <c r="BS22" s="154">
        <v>678.0</v>
      </c>
      <c r="BT22" s="154">
        <v>608.0</v>
      </c>
      <c r="BU22" s="154">
        <v>689.0</v>
      </c>
      <c r="BV22" s="154">
        <f t="shared" si="83"/>
        <v>1975</v>
      </c>
      <c r="BW22" s="154">
        <f t="shared" si="84"/>
        <v>11900</v>
      </c>
      <c r="BX22" s="154">
        <v>86.0</v>
      </c>
      <c r="BY22" s="154">
        <v>360.0</v>
      </c>
      <c r="BZ22" s="154">
        <f t="shared" si="85"/>
        <v>274</v>
      </c>
      <c r="CA22" s="154">
        <v>500.0</v>
      </c>
      <c r="CB22" s="154">
        <v>500.0</v>
      </c>
      <c r="CC22" s="154">
        <f t="shared" si="86"/>
        <v>0</v>
      </c>
      <c r="CD22" s="154">
        <v>111.0</v>
      </c>
      <c r="CE22" s="154">
        <v>506.0</v>
      </c>
      <c r="CF22" s="154">
        <f t="shared" si="87"/>
        <v>395</v>
      </c>
      <c r="CG22" s="154">
        <f t="shared" si="88"/>
        <v>2337</v>
      </c>
      <c r="CH22" s="154">
        <v>509.0</v>
      </c>
      <c r="CI22" s="154">
        <v>509.0</v>
      </c>
      <c r="CJ22" s="154">
        <f t="shared" si="89"/>
        <v>0</v>
      </c>
      <c r="CK22" s="154">
        <v>475.0</v>
      </c>
      <c r="CL22" s="176">
        <v>475.0</v>
      </c>
      <c r="CM22" s="154">
        <f t="shared" si="90"/>
        <v>0</v>
      </c>
      <c r="CN22" s="176">
        <v>423.0</v>
      </c>
      <c r="CO22" s="176">
        <v>424.0</v>
      </c>
      <c r="CP22" s="154">
        <f t="shared" si="91"/>
        <v>1</v>
      </c>
      <c r="CQ22" s="154">
        <f t="shared" si="92"/>
        <v>2815</v>
      </c>
      <c r="CR22" s="154">
        <v>357.0</v>
      </c>
      <c r="CS22" s="154">
        <f t="shared" si="93"/>
        <v>670</v>
      </c>
      <c r="CT22" s="154">
        <f t="shared" si="94"/>
        <v>1027</v>
      </c>
      <c r="CU22" s="154"/>
      <c r="CV22" s="154"/>
      <c r="CW22" s="154">
        <f t="shared" si="95"/>
        <v>2054</v>
      </c>
      <c r="CX22" s="154"/>
      <c r="CY22" s="154"/>
      <c r="CZ22" s="154"/>
      <c r="DA22" s="154">
        <f t="shared" si="96"/>
        <v>0</v>
      </c>
      <c r="DB22" s="154">
        <f t="shared" si="97"/>
        <v>7206</v>
      </c>
      <c r="DC22" s="171">
        <f t="shared" si="98"/>
        <v>244814</v>
      </c>
      <c r="DD22" s="4"/>
      <c r="DE22" s="164"/>
      <c r="DF22" s="4"/>
      <c r="DG22" s="20"/>
      <c r="DH22" s="20"/>
      <c r="DI22" s="4"/>
      <c r="DJ22" s="4"/>
      <c r="DK22" s="20"/>
      <c r="DL22" s="20"/>
      <c r="DM22" s="4"/>
      <c r="DN22" s="4"/>
      <c r="DO22" s="4"/>
      <c r="DP22" s="4"/>
      <c r="DQ22" s="4"/>
      <c r="DR22" s="4"/>
      <c r="DS22" s="4"/>
    </row>
    <row r="23" ht="15.75" customHeight="1">
      <c r="A23" s="137" t="s">
        <v>93</v>
      </c>
      <c r="B23" s="141">
        <f t="shared" ref="B23:DC23" si="99">SUM(B24:B28)</f>
        <v>18738</v>
      </c>
      <c r="C23" s="141">
        <f t="shared" si="99"/>
        <v>22079</v>
      </c>
      <c r="D23" s="141">
        <f t="shared" si="99"/>
        <v>20017</v>
      </c>
      <c r="E23" s="141">
        <f t="shared" si="99"/>
        <v>20117</v>
      </c>
      <c r="F23" s="141">
        <f t="shared" si="99"/>
        <v>43123</v>
      </c>
      <c r="G23" s="141">
        <f t="shared" si="99"/>
        <v>124074</v>
      </c>
      <c r="H23" s="141">
        <f t="shared" si="99"/>
        <v>45307</v>
      </c>
      <c r="I23" s="141">
        <f t="shared" si="99"/>
        <v>40411</v>
      </c>
      <c r="J23" s="141">
        <f t="shared" si="99"/>
        <v>24806</v>
      </c>
      <c r="K23" s="142">
        <f t="shared" si="99"/>
        <v>110524</v>
      </c>
      <c r="L23" s="141">
        <f t="shared" si="99"/>
        <v>22146</v>
      </c>
      <c r="M23" s="141">
        <f t="shared" si="99"/>
        <v>23227</v>
      </c>
      <c r="N23" s="141">
        <f t="shared" si="99"/>
        <v>28425</v>
      </c>
      <c r="O23" s="142">
        <f t="shared" si="99"/>
        <v>73798</v>
      </c>
      <c r="P23" s="141">
        <f t="shared" si="99"/>
        <v>23793</v>
      </c>
      <c r="Q23" s="141">
        <f t="shared" si="99"/>
        <v>14364</v>
      </c>
      <c r="R23" s="141">
        <f t="shared" si="99"/>
        <v>63097</v>
      </c>
      <c r="S23" s="142">
        <f t="shared" si="99"/>
        <v>101254</v>
      </c>
      <c r="T23" s="141">
        <f t="shared" si="99"/>
        <v>471</v>
      </c>
      <c r="U23" s="141">
        <f t="shared" si="99"/>
        <v>19618</v>
      </c>
      <c r="V23" s="141">
        <f t="shared" si="99"/>
        <v>14182</v>
      </c>
      <c r="W23" s="142">
        <f t="shared" si="99"/>
        <v>34271</v>
      </c>
      <c r="X23" s="142">
        <f t="shared" si="99"/>
        <v>319847</v>
      </c>
      <c r="Y23" s="141">
        <f t="shared" si="99"/>
        <v>7071</v>
      </c>
      <c r="Z23" s="141">
        <f t="shared" si="99"/>
        <v>4264</v>
      </c>
      <c r="AA23" s="141">
        <f t="shared" si="99"/>
        <v>20142</v>
      </c>
      <c r="AB23" s="142">
        <f t="shared" si="99"/>
        <v>31477</v>
      </c>
      <c r="AC23" s="141">
        <f t="shared" si="99"/>
        <v>9555</v>
      </c>
      <c r="AD23" s="141">
        <f t="shared" si="99"/>
        <v>8290</v>
      </c>
      <c r="AE23" s="141">
        <f t="shared" si="99"/>
        <v>10131</v>
      </c>
      <c r="AF23" s="142">
        <f t="shared" si="99"/>
        <v>27976</v>
      </c>
      <c r="AG23" s="141">
        <f t="shared" si="99"/>
        <v>11699</v>
      </c>
      <c r="AH23" s="141">
        <f t="shared" si="99"/>
        <v>14938</v>
      </c>
      <c r="AI23" s="141">
        <f t="shared" si="99"/>
        <v>9546</v>
      </c>
      <c r="AJ23" s="142">
        <f t="shared" si="99"/>
        <v>36183</v>
      </c>
      <c r="AK23" s="141">
        <f t="shared" si="99"/>
        <v>2635</v>
      </c>
      <c r="AL23" s="141">
        <f t="shared" si="99"/>
        <v>1715</v>
      </c>
      <c r="AM23" s="141">
        <f t="shared" si="99"/>
        <v>6259</v>
      </c>
      <c r="AN23" s="142">
        <f t="shared" si="99"/>
        <v>10609</v>
      </c>
      <c r="AO23" s="142">
        <f t="shared" si="99"/>
        <v>106245</v>
      </c>
      <c r="AP23" s="141">
        <f t="shared" si="99"/>
        <v>7828</v>
      </c>
      <c r="AQ23" s="141">
        <f t="shared" si="99"/>
        <v>4343</v>
      </c>
      <c r="AR23" s="142">
        <f t="shared" si="99"/>
        <v>4169</v>
      </c>
      <c r="AS23" s="141">
        <f t="shared" si="99"/>
        <v>16340</v>
      </c>
      <c r="AT23" s="141">
        <f t="shared" si="99"/>
        <v>580</v>
      </c>
      <c r="AU23" s="141">
        <f t="shared" si="99"/>
        <v>49</v>
      </c>
      <c r="AV23" s="141">
        <f t="shared" si="99"/>
        <v>2588</v>
      </c>
      <c r="AW23" s="142">
        <f t="shared" si="99"/>
        <v>3217</v>
      </c>
      <c r="AX23" s="141">
        <f t="shared" si="99"/>
        <v>6426</v>
      </c>
      <c r="AY23" s="141">
        <f t="shared" si="99"/>
        <v>6629</v>
      </c>
      <c r="AZ23" s="141">
        <f t="shared" si="99"/>
        <v>3197</v>
      </c>
      <c r="BA23" s="142">
        <f t="shared" si="99"/>
        <v>16252</v>
      </c>
      <c r="BB23" s="141">
        <f t="shared" si="99"/>
        <v>1446</v>
      </c>
      <c r="BC23" s="141">
        <f t="shared" si="99"/>
        <v>2584</v>
      </c>
      <c r="BD23" s="141">
        <f t="shared" si="99"/>
        <v>1653</v>
      </c>
      <c r="BE23" s="142">
        <f t="shared" si="99"/>
        <v>5683</v>
      </c>
      <c r="BF23" s="141">
        <f t="shared" si="99"/>
        <v>41492</v>
      </c>
      <c r="BG23" s="141">
        <f t="shared" si="99"/>
        <v>4148</v>
      </c>
      <c r="BH23" s="141">
        <f t="shared" si="99"/>
        <v>4408</v>
      </c>
      <c r="BI23" s="141">
        <f t="shared" si="99"/>
        <v>3150</v>
      </c>
      <c r="BJ23" s="141">
        <f t="shared" si="99"/>
        <v>11706</v>
      </c>
      <c r="BK23" s="141">
        <f t="shared" si="99"/>
        <v>1809</v>
      </c>
      <c r="BL23" s="141">
        <f t="shared" si="99"/>
        <v>1922</v>
      </c>
      <c r="BM23" s="141">
        <f t="shared" si="99"/>
        <v>1124</v>
      </c>
      <c r="BN23" s="141">
        <f t="shared" si="99"/>
        <v>4855</v>
      </c>
      <c r="BO23" s="141">
        <f t="shared" si="99"/>
        <v>1292</v>
      </c>
      <c r="BP23" s="141">
        <f t="shared" si="99"/>
        <v>1408</v>
      </c>
      <c r="BQ23" s="141">
        <f t="shared" si="99"/>
        <v>2127</v>
      </c>
      <c r="BR23" s="141">
        <f t="shared" si="99"/>
        <v>4827</v>
      </c>
      <c r="BS23" s="141">
        <f t="shared" si="99"/>
        <v>1771</v>
      </c>
      <c r="BT23" s="141">
        <f t="shared" si="99"/>
        <v>1136</v>
      </c>
      <c r="BU23" s="141">
        <f t="shared" si="99"/>
        <v>579</v>
      </c>
      <c r="BV23" s="141">
        <f t="shared" si="99"/>
        <v>3486</v>
      </c>
      <c r="BW23" s="141">
        <f t="shared" si="99"/>
        <v>24874</v>
      </c>
      <c r="BX23" s="141">
        <f t="shared" si="99"/>
        <v>2</v>
      </c>
      <c r="BY23" s="141">
        <f t="shared" si="99"/>
        <v>413</v>
      </c>
      <c r="BZ23" s="141">
        <f t="shared" si="99"/>
        <v>411</v>
      </c>
      <c r="CA23" s="141">
        <f t="shared" si="99"/>
        <v>0</v>
      </c>
      <c r="CB23" s="141">
        <f t="shared" si="99"/>
        <v>891</v>
      </c>
      <c r="CC23" s="141">
        <f t="shared" si="99"/>
        <v>891</v>
      </c>
      <c r="CD23" s="141">
        <f t="shared" si="99"/>
        <v>382</v>
      </c>
      <c r="CE23" s="141">
        <f t="shared" si="99"/>
        <v>1201</v>
      </c>
      <c r="CF23" s="141">
        <f t="shared" si="99"/>
        <v>819</v>
      </c>
      <c r="CG23" s="141">
        <f t="shared" si="99"/>
        <v>4191</v>
      </c>
      <c r="CH23" s="141">
        <f t="shared" si="99"/>
        <v>1077</v>
      </c>
      <c r="CI23" s="141">
        <f t="shared" si="99"/>
        <v>1077</v>
      </c>
      <c r="CJ23" s="141">
        <f t="shared" si="99"/>
        <v>0</v>
      </c>
      <c r="CK23" s="141">
        <f t="shared" si="99"/>
        <v>879</v>
      </c>
      <c r="CL23" s="141">
        <f t="shared" si="99"/>
        <v>879</v>
      </c>
      <c r="CM23" s="141">
        <f t="shared" si="99"/>
        <v>0</v>
      </c>
      <c r="CN23" s="141">
        <f t="shared" si="99"/>
        <v>921</v>
      </c>
      <c r="CO23" s="141">
        <f t="shared" si="99"/>
        <v>923</v>
      </c>
      <c r="CP23" s="141">
        <f t="shared" si="99"/>
        <v>2</v>
      </c>
      <c r="CQ23" s="141">
        <f t="shared" si="99"/>
        <v>5756</v>
      </c>
      <c r="CR23" s="141">
        <f t="shared" si="99"/>
        <v>1146</v>
      </c>
      <c r="CS23" s="141">
        <f t="shared" si="99"/>
        <v>2123</v>
      </c>
      <c r="CT23" s="141">
        <f t="shared" si="99"/>
        <v>3269</v>
      </c>
      <c r="CU23" s="141">
        <f t="shared" si="99"/>
        <v>0</v>
      </c>
      <c r="CV23" s="141">
        <f t="shared" si="99"/>
        <v>0</v>
      </c>
      <c r="CW23" s="141">
        <f t="shared" si="99"/>
        <v>6538</v>
      </c>
      <c r="CX23" s="141">
        <f t="shared" si="99"/>
        <v>0</v>
      </c>
      <c r="CY23" s="141">
        <f t="shared" si="99"/>
        <v>0</v>
      </c>
      <c r="CZ23" s="141">
        <f t="shared" si="99"/>
        <v>0</v>
      </c>
      <c r="DA23" s="141">
        <f t="shared" si="99"/>
        <v>0</v>
      </c>
      <c r="DB23" s="141">
        <f t="shared" si="99"/>
        <v>16485</v>
      </c>
      <c r="DC23" s="141">
        <f t="shared" si="99"/>
        <v>633017</v>
      </c>
      <c r="DD23" s="4"/>
      <c r="DE23" s="20">
        <f>SUM(AJ23,AN23,BF23,BW23,DB23)</f>
        <v>129643</v>
      </c>
      <c r="DF23" s="4"/>
      <c r="DG23" s="20"/>
      <c r="DH23" s="20"/>
      <c r="DI23" s="4"/>
      <c r="DJ23" s="4"/>
      <c r="DK23" s="20"/>
      <c r="DL23" s="20"/>
      <c r="DM23" s="4"/>
      <c r="DN23" s="4"/>
      <c r="DO23" s="4"/>
      <c r="DP23" s="4"/>
      <c r="DQ23" s="4"/>
      <c r="DR23" s="4"/>
      <c r="DS23" s="4"/>
    </row>
    <row r="24" ht="15.75" customHeight="1">
      <c r="A24" s="167" t="s">
        <v>94</v>
      </c>
      <c r="B24" s="154">
        <v>0.0</v>
      </c>
      <c r="C24" s="154">
        <v>0.0</v>
      </c>
      <c r="D24" s="154">
        <v>0.0</v>
      </c>
      <c r="E24" s="154">
        <v>160.0</v>
      </c>
      <c r="F24" s="154">
        <v>397.0</v>
      </c>
      <c r="G24" s="154">
        <f t="shared" ref="G24:G28" si="100">SUM(B24:F24)</f>
        <v>557</v>
      </c>
      <c r="H24" s="154">
        <v>1.0</v>
      </c>
      <c r="I24" s="154">
        <v>0.0</v>
      </c>
      <c r="J24" s="154">
        <v>0.0</v>
      </c>
      <c r="K24" s="156">
        <f t="shared" ref="K24:K28" si="101">SUM(H24:J24)</f>
        <v>1</v>
      </c>
      <c r="L24" s="154">
        <v>0.0</v>
      </c>
      <c r="M24" s="154">
        <v>3.0</v>
      </c>
      <c r="N24" s="154">
        <v>0.0</v>
      </c>
      <c r="O24" s="156">
        <f t="shared" ref="O24:O28" si="102">SUM(L24:N24)</f>
        <v>3</v>
      </c>
      <c r="P24" s="154">
        <v>1.0</v>
      </c>
      <c r="Q24" s="154">
        <v>0.0</v>
      </c>
      <c r="R24" s="154">
        <v>0.0</v>
      </c>
      <c r="S24" s="156">
        <f t="shared" ref="S24:S28" si="103">SUM(P24:R24)</f>
        <v>1</v>
      </c>
      <c r="T24" s="154">
        <v>0.0</v>
      </c>
      <c r="U24" s="154">
        <v>207.0</v>
      </c>
      <c r="V24" s="154">
        <v>146.0</v>
      </c>
      <c r="W24" s="156">
        <f t="shared" ref="W24:W28" si="104">SUM(T24:V24)</f>
        <v>353</v>
      </c>
      <c r="X24" s="156">
        <f t="shared" ref="X24:X28" si="105">SUM(W24,S24,O24,K24)</f>
        <v>358</v>
      </c>
      <c r="Y24" s="154">
        <v>0.0</v>
      </c>
      <c r="Z24" s="154">
        <v>0.0</v>
      </c>
      <c r="AA24" s="154">
        <v>0.0</v>
      </c>
      <c r="AB24" s="156">
        <f t="shared" ref="AB24:AB28" si="106">SUM(Y24:AA24)</f>
        <v>0</v>
      </c>
      <c r="AC24" s="154">
        <v>0.0</v>
      </c>
      <c r="AD24" s="154">
        <v>38.0</v>
      </c>
      <c r="AE24" s="154">
        <v>11.0</v>
      </c>
      <c r="AF24" s="156">
        <f t="shared" ref="AF24:AF28" si="107">SUM(AC24:AE24)</f>
        <v>49</v>
      </c>
      <c r="AG24" s="154">
        <v>428.0</v>
      </c>
      <c r="AH24" s="154">
        <v>0.0</v>
      </c>
      <c r="AI24" s="154">
        <v>0.0</v>
      </c>
      <c r="AJ24" s="156">
        <f t="shared" ref="AJ24:AJ28" si="108">SUM(AG24:AI24)</f>
        <v>428</v>
      </c>
      <c r="AK24" s="154">
        <v>1.0</v>
      </c>
      <c r="AL24" s="154">
        <v>0.0</v>
      </c>
      <c r="AM24" s="154">
        <v>0.0</v>
      </c>
      <c r="AN24" s="156">
        <f t="shared" ref="AN24:AN28" si="109">SUM(AK24:AM24)</f>
        <v>1</v>
      </c>
      <c r="AO24" s="156">
        <f t="shared" ref="AO24:AO28" si="110">SUM(AB24,AF24,AJ24,AN24)</f>
        <v>478</v>
      </c>
      <c r="AP24" s="154">
        <v>0.0</v>
      </c>
      <c r="AQ24" s="154">
        <v>0.0</v>
      </c>
      <c r="AR24" s="156">
        <v>1.0</v>
      </c>
      <c r="AS24" s="154">
        <f t="shared" ref="AS24:AS28" si="111">SUM(AP24:AR24)</f>
        <v>1</v>
      </c>
      <c r="AT24" s="154">
        <v>0.0</v>
      </c>
      <c r="AU24" s="154">
        <v>0.0</v>
      </c>
      <c r="AV24" s="154">
        <v>0.0</v>
      </c>
      <c r="AW24" s="154">
        <f t="shared" ref="AW24:AW28" si="112">SUM(AT24:AV24)</f>
        <v>0</v>
      </c>
      <c r="AX24" s="154">
        <v>0.0</v>
      </c>
      <c r="AY24" s="154">
        <v>68.0</v>
      </c>
      <c r="AZ24" s="154">
        <v>417.0</v>
      </c>
      <c r="BA24" s="154">
        <f t="shared" ref="BA24:BA28" si="113">SUM(AX24:AZ24)</f>
        <v>485</v>
      </c>
      <c r="BB24" s="154">
        <v>6.0</v>
      </c>
      <c r="BC24" s="154">
        <v>30.0</v>
      </c>
      <c r="BD24" s="154">
        <v>65.0</v>
      </c>
      <c r="BE24" s="154">
        <f t="shared" ref="BE24:BE28" si="114">SUM(BB24:BD24)</f>
        <v>101</v>
      </c>
      <c r="BF24" s="154">
        <f t="shared" ref="BF24:BF28" si="115">SUM(AS24,AW24,BA24,BE24)</f>
        <v>587</v>
      </c>
      <c r="BG24" s="154">
        <v>11.0</v>
      </c>
      <c r="BH24" s="154">
        <v>71.0</v>
      </c>
      <c r="BI24" s="154">
        <v>0.0</v>
      </c>
      <c r="BJ24" s="154">
        <f t="shared" ref="BJ24:BJ28" si="116">SUM(BG24:BI24)</f>
        <v>82</v>
      </c>
      <c r="BK24" s="154">
        <v>3.0</v>
      </c>
      <c r="BL24" s="154">
        <v>0.0</v>
      </c>
      <c r="BM24" s="154">
        <v>0.0</v>
      </c>
      <c r="BN24" s="154">
        <f t="shared" ref="BN24:BN28" si="117">SUM(BK24:BM24)</f>
        <v>3</v>
      </c>
      <c r="BO24" s="154">
        <v>56.0</v>
      </c>
      <c r="BP24" s="154">
        <v>275.0</v>
      </c>
      <c r="BQ24" s="154">
        <v>63.0</v>
      </c>
      <c r="BR24" s="154">
        <f t="shared" ref="BR24:BR28" si="118">SUM(BO24:BQ24)</f>
        <v>394</v>
      </c>
      <c r="BS24" s="154">
        <v>181.0</v>
      </c>
      <c r="BT24" s="154">
        <v>234.0</v>
      </c>
      <c r="BU24" s="154">
        <v>165.0</v>
      </c>
      <c r="BV24" s="154">
        <f t="shared" ref="BV24:BV28" si="119">SUM(BS24:BU24)</f>
        <v>580</v>
      </c>
      <c r="BW24" s="154">
        <f t="shared" ref="BW24:BW28" si="120">SUM(BJ24,BN24,BR24,BV24)</f>
        <v>1059</v>
      </c>
      <c r="BX24" s="154">
        <v>2.0</v>
      </c>
      <c r="BY24" s="154">
        <v>0.0</v>
      </c>
      <c r="BZ24" s="154">
        <f t="shared" ref="BZ24:BZ28" si="121">BY24-BX24</f>
        <v>-2</v>
      </c>
      <c r="CA24" s="154">
        <v>0.0</v>
      </c>
      <c r="CB24" s="154">
        <v>0.0</v>
      </c>
      <c r="CC24" s="154">
        <f t="shared" ref="CC24:CC28" si="122">CB24-CA24</f>
        <v>0</v>
      </c>
      <c r="CD24" s="154">
        <v>0.0</v>
      </c>
      <c r="CE24" s="154">
        <v>58.0</v>
      </c>
      <c r="CF24" s="154">
        <f t="shared" ref="CF24:CF28" si="123">CE24-CD24</f>
        <v>58</v>
      </c>
      <c r="CG24" s="154">
        <f t="shared" ref="CG24:CG28" si="124">SUM(BX24:CE24)</f>
        <v>58</v>
      </c>
      <c r="CH24" s="154">
        <v>17.0</v>
      </c>
      <c r="CI24" s="154">
        <v>17.0</v>
      </c>
      <c r="CJ24" s="154">
        <f t="shared" ref="CJ24:CJ28" si="125">CI24-CH24</f>
        <v>0</v>
      </c>
      <c r="CK24" s="154">
        <v>39.0</v>
      </c>
      <c r="CL24" s="125">
        <v>39.0</v>
      </c>
      <c r="CM24" s="154">
        <f t="shared" ref="CM24:CM28" si="126">CL24-CK24</f>
        <v>0</v>
      </c>
      <c r="CN24" s="125">
        <v>35.0</v>
      </c>
      <c r="CO24" s="125">
        <v>35.0</v>
      </c>
      <c r="CP24" s="154">
        <f t="shared" ref="CP24:CP28" si="127">CO24-CN24</f>
        <v>0</v>
      </c>
      <c r="CQ24" s="154">
        <f t="shared" ref="CQ24:CQ28" si="128">SUM(CH24:CO24)</f>
        <v>182</v>
      </c>
      <c r="CR24" s="154">
        <v>76.0</v>
      </c>
      <c r="CS24" s="154">
        <f t="shared" ref="CS24:CS28" si="129">SUM(BZ24,CC24,CF24,CJ24,CM24,CP24)</f>
        <v>56</v>
      </c>
      <c r="CT24" s="154">
        <f t="shared" ref="CT24:CT28" si="130">CR24+CS24</f>
        <v>132</v>
      </c>
      <c r="CU24" s="154"/>
      <c r="CV24" s="125"/>
      <c r="CW24" s="154">
        <f t="shared" ref="CW24:CW28" si="131">SUM(CR24:CV24)</f>
        <v>264</v>
      </c>
      <c r="CX24" s="154"/>
      <c r="CY24" s="154"/>
      <c r="CZ24" s="125"/>
      <c r="DA24" s="154">
        <f t="shared" ref="DA24:DA28" si="132">SUM(CX24:CZ24)</f>
        <v>0</v>
      </c>
      <c r="DB24" s="154">
        <f t="shared" ref="DB24:DB28" si="133">SUM(CG24,CQ24,CW24,DA24)</f>
        <v>504</v>
      </c>
      <c r="DC24" s="171">
        <f t="shared" ref="DC24:DC28" si="134">SUM(A24,G24,X24,AO24,BF24,BW24,DB24)</f>
        <v>3543</v>
      </c>
      <c r="DD24" s="4"/>
      <c r="DE24" s="164"/>
      <c r="DF24" s="4"/>
      <c r="DG24" s="20"/>
      <c r="DH24" s="20"/>
      <c r="DI24" s="4"/>
      <c r="DJ24" s="4"/>
      <c r="DK24" s="20"/>
      <c r="DL24" s="20"/>
      <c r="DM24" s="4"/>
      <c r="DN24" s="4"/>
      <c r="DO24" s="4"/>
      <c r="DP24" s="4"/>
      <c r="DQ24" s="4"/>
      <c r="DR24" s="4"/>
      <c r="DS24" s="4"/>
    </row>
    <row r="25" ht="15.75" customHeight="1">
      <c r="A25" s="167" t="s">
        <v>95</v>
      </c>
      <c r="B25" s="154">
        <v>6367.0</v>
      </c>
      <c r="C25" s="154">
        <v>7932.0</v>
      </c>
      <c r="D25" s="154">
        <v>6920.0</v>
      </c>
      <c r="E25" s="154">
        <v>6968.0</v>
      </c>
      <c r="F25" s="154">
        <v>31055.0</v>
      </c>
      <c r="G25" s="154">
        <f t="shared" si="100"/>
        <v>59242</v>
      </c>
      <c r="H25" s="154">
        <v>10968.0</v>
      </c>
      <c r="I25" s="154">
        <v>11831.0</v>
      </c>
      <c r="J25" s="154">
        <v>8104.0</v>
      </c>
      <c r="K25" s="156">
        <f t="shared" si="101"/>
        <v>30903</v>
      </c>
      <c r="L25" s="154">
        <v>10610.0</v>
      </c>
      <c r="M25" s="154">
        <v>5691.0</v>
      </c>
      <c r="N25" s="154">
        <v>9733.0</v>
      </c>
      <c r="O25" s="156">
        <f t="shared" si="102"/>
        <v>26034</v>
      </c>
      <c r="P25" s="154">
        <v>7122.0</v>
      </c>
      <c r="Q25" s="154">
        <v>5274.0</v>
      </c>
      <c r="R25" s="154">
        <v>24712.0</v>
      </c>
      <c r="S25" s="156">
        <f t="shared" si="103"/>
        <v>37108</v>
      </c>
      <c r="T25" s="154">
        <v>208.0</v>
      </c>
      <c r="U25" s="154">
        <v>5683.0</v>
      </c>
      <c r="V25" s="154">
        <v>6734.0</v>
      </c>
      <c r="W25" s="156">
        <f t="shared" si="104"/>
        <v>12625</v>
      </c>
      <c r="X25" s="156">
        <f t="shared" si="105"/>
        <v>106670</v>
      </c>
      <c r="Y25" s="154">
        <v>1893.0</v>
      </c>
      <c r="Z25" s="154">
        <v>1150.0</v>
      </c>
      <c r="AA25" s="154">
        <v>7275.0</v>
      </c>
      <c r="AB25" s="156">
        <f t="shared" si="106"/>
        <v>10318</v>
      </c>
      <c r="AC25" s="154">
        <v>4017.0</v>
      </c>
      <c r="AD25" s="154">
        <v>314.0</v>
      </c>
      <c r="AE25" s="154">
        <v>2588.0</v>
      </c>
      <c r="AF25" s="156">
        <f t="shared" si="107"/>
        <v>6919</v>
      </c>
      <c r="AG25" s="154">
        <v>2078.0</v>
      </c>
      <c r="AH25" s="154">
        <v>3961.0</v>
      </c>
      <c r="AI25" s="154">
        <v>2694.0</v>
      </c>
      <c r="AJ25" s="156">
        <f t="shared" si="108"/>
        <v>8733</v>
      </c>
      <c r="AK25" s="154">
        <v>1302.0</v>
      </c>
      <c r="AL25" s="154">
        <v>20.0</v>
      </c>
      <c r="AM25" s="154">
        <v>2061.0</v>
      </c>
      <c r="AN25" s="156">
        <f t="shared" si="109"/>
        <v>3383</v>
      </c>
      <c r="AO25" s="156">
        <f t="shared" si="110"/>
        <v>29353</v>
      </c>
      <c r="AP25" s="154">
        <v>1711.0</v>
      </c>
      <c r="AQ25" s="154">
        <v>1136.0</v>
      </c>
      <c r="AR25" s="156">
        <v>726.0</v>
      </c>
      <c r="AS25" s="154">
        <f t="shared" si="111"/>
        <v>3573</v>
      </c>
      <c r="AT25" s="154">
        <v>223.0</v>
      </c>
      <c r="AU25" s="154">
        <v>22.0</v>
      </c>
      <c r="AV25" s="154">
        <v>468.0</v>
      </c>
      <c r="AW25" s="154">
        <f t="shared" si="112"/>
        <v>713</v>
      </c>
      <c r="AX25" s="154">
        <v>1421.0</v>
      </c>
      <c r="AY25" s="154">
        <v>2546.0</v>
      </c>
      <c r="AZ25" s="154">
        <v>1127.0</v>
      </c>
      <c r="BA25" s="154">
        <f t="shared" si="113"/>
        <v>5094</v>
      </c>
      <c r="BB25" s="154">
        <v>865.0</v>
      </c>
      <c r="BC25" s="154">
        <v>894.0</v>
      </c>
      <c r="BD25" s="154">
        <v>771.0</v>
      </c>
      <c r="BE25" s="154">
        <f t="shared" si="114"/>
        <v>2530</v>
      </c>
      <c r="BF25" s="154">
        <f t="shared" si="115"/>
        <v>11910</v>
      </c>
      <c r="BG25" s="154">
        <v>1407.0</v>
      </c>
      <c r="BH25" s="154">
        <v>1531.0</v>
      </c>
      <c r="BI25" s="154">
        <v>870.0</v>
      </c>
      <c r="BJ25" s="154">
        <f t="shared" si="116"/>
        <v>3808</v>
      </c>
      <c r="BK25" s="154">
        <v>856.0</v>
      </c>
      <c r="BL25" s="154">
        <v>985.0</v>
      </c>
      <c r="BM25" s="154">
        <v>498.0</v>
      </c>
      <c r="BN25" s="154">
        <f t="shared" si="117"/>
        <v>2339</v>
      </c>
      <c r="BO25" s="154">
        <v>602.0</v>
      </c>
      <c r="BP25" s="154">
        <v>102.0</v>
      </c>
      <c r="BQ25" s="154">
        <v>1058.0</v>
      </c>
      <c r="BR25" s="154">
        <f t="shared" si="118"/>
        <v>1762</v>
      </c>
      <c r="BS25" s="154">
        <v>753.0</v>
      </c>
      <c r="BT25" s="154">
        <v>310.0</v>
      </c>
      <c r="BU25" s="154">
        <v>156.0</v>
      </c>
      <c r="BV25" s="154">
        <f t="shared" si="119"/>
        <v>1219</v>
      </c>
      <c r="BW25" s="154">
        <f t="shared" si="120"/>
        <v>9128</v>
      </c>
      <c r="BX25" s="154">
        <v>0.0</v>
      </c>
      <c r="BY25" s="154">
        <v>322.0</v>
      </c>
      <c r="BZ25" s="154">
        <f t="shared" si="121"/>
        <v>322</v>
      </c>
      <c r="CA25" s="154">
        <v>0.0</v>
      </c>
      <c r="CB25" s="154">
        <v>483.0</v>
      </c>
      <c r="CC25" s="154">
        <f t="shared" si="122"/>
        <v>483</v>
      </c>
      <c r="CD25" s="154">
        <v>142.0</v>
      </c>
      <c r="CE25" s="154">
        <v>573.0</v>
      </c>
      <c r="CF25" s="154">
        <f t="shared" si="123"/>
        <v>431</v>
      </c>
      <c r="CG25" s="154">
        <f t="shared" si="124"/>
        <v>2325</v>
      </c>
      <c r="CH25" s="154">
        <v>581.0</v>
      </c>
      <c r="CI25" s="154">
        <v>581.0</v>
      </c>
      <c r="CJ25" s="154">
        <f t="shared" si="125"/>
        <v>0</v>
      </c>
      <c r="CK25" s="154">
        <v>348.0</v>
      </c>
      <c r="CL25" s="154">
        <v>348.0</v>
      </c>
      <c r="CM25" s="154">
        <f t="shared" si="126"/>
        <v>0</v>
      </c>
      <c r="CN25" s="154">
        <v>449.0</v>
      </c>
      <c r="CO25" s="154">
        <v>449.0</v>
      </c>
      <c r="CP25" s="154">
        <f t="shared" si="127"/>
        <v>0</v>
      </c>
      <c r="CQ25" s="154">
        <f t="shared" si="128"/>
        <v>2756</v>
      </c>
      <c r="CR25" s="154">
        <v>455.0</v>
      </c>
      <c r="CS25" s="154">
        <f t="shared" si="129"/>
        <v>1236</v>
      </c>
      <c r="CT25" s="154">
        <f t="shared" si="130"/>
        <v>1691</v>
      </c>
      <c r="CU25" s="154"/>
      <c r="CV25" s="154"/>
      <c r="CW25" s="154">
        <f t="shared" si="131"/>
        <v>3382</v>
      </c>
      <c r="CX25" s="154"/>
      <c r="CY25" s="154"/>
      <c r="CZ25" s="154"/>
      <c r="DA25" s="154">
        <f t="shared" si="132"/>
        <v>0</v>
      </c>
      <c r="DB25" s="154">
        <f t="shared" si="133"/>
        <v>8463</v>
      </c>
      <c r="DC25" s="171">
        <f t="shared" si="134"/>
        <v>224766</v>
      </c>
      <c r="DD25" s="4"/>
      <c r="DE25" s="164"/>
      <c r="DF25" s="4"/>
      <c r="DG25" s="20"/>
      <c r="DH25" s="20"/>
      <c r="DI25" s="4"/>
      <c r="DJ25" s="4"/>
      <c r="DK25" s="20"/>
      <c r="DL25" s="20"/>
      <c r="DM25" s="4"/>
      <c r="DN25" s="4"/>
      <c r="DO25" s="4"/>
      <c r="DP25" s="4"/>
      <c r="DQ25" s="4"/>
      <c r="DR25" s="4"/>
      <c r="DS25" s="4"/>
    </row>
    <row r="26" ht="15.75" customHeight="1">
      <c r="A26" s="167" t="s">
        <v>96</v>
      </c>
      <c r="B26" s="154">
        <v>8628.0</v>
      </c>
      <c r="C26" s="154">
        <v>9495.0</v>
      </c>
      <c r="D26" s="154">
        <v>9002.0</v>
      </c>
      <c r="E26" s="154">
        <v>9314.0</v>
      </c>
      <c r="F26" s="154">
        <v>7990.0</v>
      </c>
      <c r="G26" s="154">
        <f t="shared" si="100"/>
        <v>44429</v>
      </c>
      <c r="H26" s="154">
        <v>21313.0</v>
      </c>
      <c r="I26" s="154">
        <v>22061.0</v>
      </c>
      <c r="J26" s="154">
        <v>10925.0</v>
      </c>
      <c r="K26" s="156">
        <f t="shared" si="101"/>
        <v>54299</v>
      </c>
      <c r="L26" s="154">
        <v>6999.0</v>
      </c>
      <c r="M26" s="154">
        <v>13372.0</v>
      </c>
      <c r="N26" s="154">
        <v>17269.0</v>
      </c>
      <c r="O26" s="156">
        <f t="shared" si="102"/>
        <v>37640</v>
      </c>
      <c r="P26" s="154">
        <v>9367.0</v>
      </c>
      <c r="Q26" s="154">
        <v>4324.0</v>
      </c>
      <c r="R26" s="154">
        <v>25016.0</v>
      </c>
      <c r="S26" s="156">
        <f t="shared" si="103"/>
        <v>38707</v>
      </c>
      <c r="T26" s="154">
        <v>144.0</v>
      </c>
      <c r="U26" s="154">
        <v>5291.0</v>
      </c>
      <c r="V26" s="154">
        <v>5375.0</v>
      </c>
      <c r="W26" s="156">
        <f t="shared" si="104"/>
        <v>10810</v>
      </c>
      <c r="X26" s="156">
        <f t="shared" si="105"/>
        <v>141456</v>
      </c>
      <c r="Y26" s="154">
        <v>1685.0</v>
      </c>
      <c r="Z26" s="154">
        <v>1954.0</v>
      </c>
      <c r="AA26" s="154">
        <v>11944.0</v>
      </c>
      <c r="AB26" s="156">
        <f t="shared" si="106"/>
        <v>15583</v>
      </c>
      <c r="AC26" s="154">
        <v>5182.0</v>
      </c>
      <c r="AD26" s="154">
        <v>7659.0</v>
      </c>
      <c r="AE26" s="154">
        <v>4062.0</v>
      </c>
      <c r="AF26" s="156">
        <f t="shared" si="107"/>
        <v>16903</v>
      </c>
      <c r="AG26" s="154">
        <v>6338.0</v>
      </c>
      <c r="AH26" s="154">
        <v>8178.0</v>
      </c>
      <c r="AI26" s="154">
        <v>4475.0</v>
      </c>
      <c r="AJ26" s="156">
        <f t="shared" si="108"/>
        <v>18991</v>
      </c>
      <c r="AK26" s="154">
        <v>946.0</v>
      </c>
      <c r="AL26" s="154">
        <v>1236.0</v>
      </c>
      <c r="AM26" s="154">
        <v>3889.0</v>
      </c>
      <c r="AN26" s="156">
        <f t="shared" si="109"/>
        <v>6071</v>
      </c>
      <c r="AO26" s="156">
        <f t="shared" si="110"/>
        <v>57548</v>
      </c>
      <c r="AP26" s="154">
        <v>5409.0</v>
      </c>
      <c r="AQ26" s="154">
        <v>2051.0</v>
      </c>
      <c r="AR26" s="156">
        <v>1990.0</v>
      </c>
      <c r="AS26" s="154">
        <f t="shared" si="111"/>
        <v>9450</v>
      </c>
      <c r="AT26" s="154">
        <v>260.0</v>
      </c>
      <c r="AU26" s="154">
        <v>15.0</v>
      </c>
      <c r="AV26" s="154">
        <v>1440.0</v>
      </c>
      <c r="AW26" s="154">
        <f t="shared" si="112"/>
        <v>1715</v>
      </c>
      <c r="AX26" s="154">
        <v>3671.0</v>
      </c>
      <c r="AY26" s="154">
        <v>2802.0</v>
      </c>
      <c r="AZ26" s="154">
        <v>1338.0</v>
      </c>
      <c r="BA26" s="154">
        <f t="shared" si="113"/>
        <v>7811</v>
      </c>
      <c r="BB26" s="154">
        <v>382.0</v>
      </c>
      <c r="BC26" s="154">
        <v>1286.0</v>
      </c>
      <c r="BD26" s="154">
        <v>656.0</v>
      </c>
      <c r="BE26" s="154">
        <f t="shared" si="114"/>
        <v>2324</v>
      </c>
      <c r="BF26" s="154">
        <f t="shared" si="115"/>
        <v>21300</v>
      </c>
      <c r="BG26" s="154">
        <v>2266.0</v>
      </c>
      <c r="BH26" s="154">
        <v>1962.0</v>
      </c>
      <c r="BI26" s="154">
        <v>1687.0</v>
      </c>
      <c r="BJ26" s="154">
        <f t="shared" si="116"/>
        <v>5915</v>
      </c>
      <c r="BK26" s="154">
        <v>638.0</v>
      </c>
      <c r="BL26" s="154">
        <v>514.0</v>
      </c>
      <c r="BM26" s="154">
        <v>463.0</v>
      </c>
      <c r="BN26" s="154">
        <f t="shared" si="117"/>
        <v>1615</v>
      </c>
      <c r="BO26" s="154">
        <v>499.0</v>
      </c>
      <c r="BP26" s="154">
        <v>744.0</v>
      </c>
      <c r="BQ26" s="154">
        <v>765.0</v>
      </c>
      <c r="BR26" s="154">
        <f t="shared" si="118"/>
        <v>2008</v>
      </c>
      <c r="BS26" s="154">
        <v>432.0</v>
      </c>
      <c r="BT26" s="154">
        <v>354.0</v>
      </c>
      <c r="BU26" s="154">
        <v>94.0</v>
      </c>
      <c r="BV26" s="154">
        <f t="shared" si="119"/>
        <v>880</v>
      </c>
      <c r="BW26" s="154">
        <f t="shared" si="120"/>
        <v>10418</v>
      </c>
      <c r="BX26" s="154">
        <v>0.0</v>
      </c>
      <c r="BY26" s="154">
        <v>76.0</v>
      </c>
      <c r="BZ26" s="154">
        <f t="shared" si="121"/>
        <v>76</v>
      </c>
      <c r="CA26" s="154">
        <v>0.0</v>
      </c>
      <c r="CB26" s="154">
        <v>339.0</v>
      </c>
      <c r="CC26" s="154">
        <f t="shared" si="122"/>
        <v>339</v>
      </c>
      <c r="CD26" s="154">
        <v>134.0</v>
      </c>
      <c r="CE26" s="154">
        <v>343.0</v>
      </c>
      <c r="CF26" s="154">
        <f t="shared" si="123"/>
        <v>209</v>
      </c>
      <c r="CG26" s="154">
        <f t="shared" si="124"/>
        <v>1307</v>
      </c>
      <c r="CH26" s="154">
        <v>357.0</v>
      </c>
      <c r="CI26" s="154">
        <v>357.0</v>
      </c>
      <c r="CJ26" s="154">
        <f t="shared" si="125"/>
        <v>0</v>
      </c>
      <c r="CK26" s="154">
        <v>277.0</v>
      </c>
      <c r="CL26" s="154">
        <v>277.0</v>
      </c>
      <c r="CM26" s="154">
        <f t="shared" si="126"/>
        <v>0</v>
      </c>
      <c r="CN26" s="154">
        <v>283.0</v>
      </c>
      <c r="CO26" s="154">
        <v>283.0</v>
      </c>
      <c r="CP26" s="154">
        <f t="shared" si="127"/>
        <v>0</v>
      </c>
      <c r="CQ26" s="154">
        <f t="shared" si="128"/>
        <v>1834</v>
      </c>
      <c r="CR26" s="154">
        <v>445.0</v>
      </c>
      <c r="CS26" s="154">
        <f t="shared" si="129"/>
        <v>624</v>
      </c>
      <c r="CT26" s="154">
        <f t="shared" si="130"/>
        <v>1069</v>
      </c>
      <c r="CU26" s="154"/>
      <c r="CV26" s="154"/>
      <c r="CW26" s="154">
        <f t="shared" si="131"/>
        <v>2138</v>
      </c>
      <c r="CX26" s="154"/>
      <c r="CY26" s="154"/>
      <c r="CZ26" s="154"/>
      <c r="DA26" s="154">
        <f t="shared" si="132"/>
        <v>0</v>
      </c>
      <c r="DB26" s="154">
        <f t="shared" si="133"/>
        <v>5279</v>
      </c>
      <c r="DC26" s="171">
        <f t="shared" si="134"/>
        <v>280430</v>
      </c>
      <c r="DD26" s="4"/>
      <c r="DE26" s="164"/>
      <c r="DF26" s="4"/>
      <c r="DG26" s="20"/>
      <c r="DH26" s="20"/>
      <c r="DI26" s="4"/>
      <c r="DJ26" s="4"/>
      <c r="DK26" s="20"/>
      <c r="DL26" s="20"/>
      <c r="DM26" s="4"/>
      <c r="DN26" s="4"/>
      <c r="DO26" s="4"/>
      <c r="DP26" s="4"/>
      <c r="DQ26" s="4"/>
      <c r="DR26" s="4"/>
      <c r="DS26" s="4"/>
    </row>
    <row r="27" ht="15.75" customHeight="1">
      <c r="A27" s="167" t="s">
        <v>97</v>
      </c>
      <c r="B27" s="154">
        <v>1420.0</v>
      </c>
      <c r="C27" s="154">
        <v>2338.0</v>
      </c>
      <c r="D27" s="154">
        <v>2499.0</v>
      </c>
      <c r="E27" s="154">
        <v>2161.0</v>
      </c>
      <c r="F27" s="154">
        <v>2075.0</v>
      </c>
      <c r="G27" s="154">
        <f t="shared" si="100"/>
        <v>10493</v>
      </c>
      <c r="H27" s="154">
        <v>8327.0</v>
      </c>
      <c r="I27" s="154">
        <v>3007.0</v>
      </c>
      <c r="J27" s="154">
        <v>4454.0</v>
      </c>
      <c r="K27" s="156">
        <f t="shared" si="101"/>
        <v>15788</v>
      </c>
      <c r="L27" s="154">
        <v>4210.0</v>
      </c>
      <c r="M27" s="154">
        <v>4086.0</v>
      </c>
      <c r="N27" s="154">
        <v>138.0</v>
      </c>
      <c r="O27" s="156">
        <f t="shared" si="102"/>
        <v>8434</v>
      </c>
      <c r="P27" s="154">
        <v>6112.0</v>
      </c>
      <c r="Q27" s="154">
        <v>2524.0</v>
      </c>
      <c r="R27" s="154">
        <v>7804.0</v>
      </c>
      <c r="S27" s="156">
        <f t="shared" si="103"/>
        <v>16440</v>
      </c>
      <c r="T27" s="154">
        <v>105.0</v>
      </c>
      <c r="U27" s="154">
        <v>7689.0</v>
      </c>
      <c r="V27" s="154">
        <v>1160.0</v>
      </c>
      <c r="W27" s="156">
        <f t="shared" si="104"/>
        <v>8954</v>
      </c>
      <c r="X27" s="156">
        <f t="shared" si="105"/>
        <v>49616</v>
      </c>
      <c r="Y27" s="154">
        <v>2906.0</v>
      </c>
      <c r="Z27" s="154">
        <v>50.0</v>
      </c>
      <c r="AA27" s="154">
        <v>758.0</v>
      </c>
      <c r="AB27" s="156">
        <f t="shared" si="106"/>
        <v>3714</v>
      </c>
      <c r="AC27" s="154">
        <v>355.0</v>
      </c>
      <c r="AD27" s="154">
        <v>63.0</v>
      </c>
      <c r="AE27" s="154">
        <v>2073.0</v>
      </c>
      <c r="AF27" s="156">
        <f t="shared" si="107"/>
        <v>2491</v>
      </c>
      <c r="AG27" s="154">
        <v>2566.0</v>
      </c>
      <c r="AH27" s="154">
        <v>2222.0</v>
      </c>
      <c r="AI27" s="154">
        <v>2286.0</v>
      </c>
      <c r="AJ27" s="156">
        <f t="shared" si="108"/>
        <v>7074</v>
      </c>
      <c r="AK27" s="154">
        <v>216.0</v>
      </c>
      <c r="AL27" s="154">
        <v>330.0</v>
      </c>
      <c r="AM27" s="154">
        <v>205.0</v>
      </c>
      <c r="AN27" s="156">
        <f t="shared" si="109"/>
        <v>751</v>
      </c>
      <c r="AO27" s="156">
        <f t="shared" si="110"/>
        <v>14030</v>
      </c>
      <c r="AP27" s="154">
        <v>532.0</v>
      </c>
      <c r="AQ27" s="154">
        <v>826.0</v>
      </c>
      <c r="AR27" s="156">
        <v>1246.0</v>
      </c>
      <c r="AS27" s="154">
        <f t="shared" si="111"/>
        <v>2604</v>
      </c>
      <c r="AT27" s="154">
        <v>30.0</v>
      </c>
      <c r="AU27" s="154">
        <v>2.0</v>
      </c>
      <c r="AV27" s="154">
        <v>658.0</v>
      </c>
      <c r="AW27" s="154">
        <f t="shared" si="112"/>
        <v>690</v>
      </c>
      <c r="AX27" s="154">
        <v>1334.0</v>
      </c>
      <c r="AY27" s="154">
        <v>941.0</v>
      </c>
      <c r="AZ27" s="154">
        <v>196.0</v>
      </c>
      <c r="BA27" s="154">
        <f t="shared" si="113"/>
        <v>2471</v>
      </c>
      <c r="BB27" s="154">
        <v>104.0</v>
      </c>
      <c r="BC27" s="154">
        <v>372.0</v>
      </c>
      <c r="BD27" s="154">
        <v>103.0</v>
      </c>
      <c r="BE27" s="154">
        <f t="shared" si="114"/>
        <v>579</v>
      </c>
      <c r="BF27" s="154">
        <f t="shared" si="115"/>
        <v>6344</v>
      </c>
      <c r="BG27" s="154">
        <v>316.0</v>
      </c>
      <c r="BH27" s="154">
        <v>679.0</v>
      </c>
      <c r="BI27" s="154">
        <v>492.0</v>
      </c>
      <c r="BJ27" s="154">
        <f t="shared" si="116"/>
        <v>1487</v>
      </c>
      <c r="BK27" s="154">
        <v>127.0</v>
      </c>
      <c r="BL27" s="154">
        <v>341.0</v>
      </c>
      <c r="BM27" s="154">
        <v>107.0</v>
      </c>
      <c r="BN27" s="154">
        <f t="shared" si="117"/>
        <v>575</v>
      </c>
      <c r="BO27" s="154">
        <v>116.0</v>
      </c>
      <c r="BP27" s="154">
        <v>240.0</v>
      </c>
      <c r="BQ27" s="154">
        <v>200.0</v>
      </c>
      <c r="BR27" s="154">
        <f t="shared" si="118"/>
        <v>556</v>
      </c>
      <c r="BS27" s="154">
        <v>321.0</v>
      </c>
      <c r="BT27" s="154">
        <v>218.0</v>
      </c>
      <c r="BU27" s="154">
        <v>76.0</v>
      </c>
      <c r="BV27" s="154">
        <f t="shared" si="119"/>
        <v>615</v>
      </c>
      <c r="BW27" s="154">
        <f t="shared" si="120"/>
        <v>3233</v>
      </c>
      <c r="BX27" s="154">
        <v>0.0</v>
      </c>
      <c r="BY27" s="154">
        <v>15.0</v>
      </c>
      <c r="BZ27" s="154">
        <f t="shared" si="121"/>
        <v>15</v>
      </c>
      <c r="CA27" s="154">
        <v>0.0</v>
      </c>
      <c r="CB27" s="154">
        <v>43.0</v>
      </c>
      <c r="CC27" s="154">
        <f t="shared" si="122"/>
        <v>43</v>
      </c>
      <c r="CD27" s="154">
        <v>85.0</v>
      </c>
      <c r="CE27" s="154">
        <v>179.0</v>
      </c>
      <c r="CF27" s="154">
        <f t="shared" si="123"/>
        <v>94</v>
      </c>
      <c r="CG27" s="154">
        <f t="shared" si="124"/>
        <v>380</v>
      </c>
      <c r="CH27" s="154">
        <v>91.0</v>
      </c>
      <c r="CI27" s="154">
        <v>91.0</v>
      </c>
      <c r="CJ27" s="154">
        <f t="shared" si="125"/>
        <v>0</v>
      </c>
      <c r="CK27" s="154">
        <v>186.0</v>
      </c>
      <c r="CL27" s="154">
        <v>186.0</v>
      </c>
      <c r="CM27" s="154">
        <f t="shared" si="126"/>
        <v>0</v>
      </c>
      <c r="CN27" s="154">
        <v>144.0</v>
      </c>
      <c r="CO27" s="154">
        <v>146.0</v>
      </c>
      <c r="CP27" s="154">
        <f t="shared" si="127"/>
        <v>2</v>
      </c>
      <c r="CQ27" s="154">
        <f t="shared" si="128"/>
        <v>844</v>
      </c>
      <c r="CR27" s="154">
        <v>170.0</v>
      </c>
      <c r="CS27" s="154">
        <f t="shared" si="129"/>
        <v>154</v>
      </c>
      <c r="CT27" s="154">
        <f t="shared" si="130"/>
        <v>324</v>
      </c>
      <c r="CU27" s="154"/>
      <c r="CV27" s="154"/>
      <c r="CW27" s="154">
        <f t="shared" si="131"/>
        <v>648</v>
      </c>
      <c r="CX27" s="154"/>
      <c r="CY27" s="154"/>
      <c r="CZ27" s="154"/>
      <c r="DA27" s="154">
        <f t="shared" si="132"/>
        <v>0</v>
      </c>
      <c r="DB27" s="154">
        <f t="shared" si="133"/>
        <v>1872</v>
      </c>
      <c r="DC27" s="171">
        <f t="shared" si="134"/>
        <v>85588</v>
      </c>
      <c r="DD27" s="4"/>
      <c r="DE27" s="164"/>
      <c r="DF27" s="4"/>
      <c r="DG27" s="20"/>
      <c r="DH27" s="20"/>
      <c r="DI27" s="4"/>
      <c r="DJ27" s="4"/>
      <c r="DK27" s="20"/>
      <c r="DL27" s="20"/>
      <c r="DM27" s="4"/>
      <c r="DN27" s="4"/>
      <c r="DO27" s="4"/>
      <c r="DP27" s="4"/>
      <c r="DQ27" s="4"/>
      <c r="DR27" s="4"/>
      <c r="DS27" s="4"/>
    </row>
    <row r="28" ht="15.75" customHeight="1">
      <c r="A28" s="167" t="s">
        <v>98</v>
      </c>
      <c r="B28" s="154">
        <v>2323.0</v>
      </c>
      <c r="C28" s="154">
        <v>2314.0</v>
      </c>
      <c r="D28" s="154">
        <v>1596.0</v>
      </c>
      <c r="E28" s="154">
        <v>1514.0</v>
      </c>
      <c r="F28" s="154">
        <v>1606.0</v>
      </c>
      <c r="G28" s="154">
        <f t="shared" si="100"/>
        <v>9353</v>
      </c>
      <c r="H28" s="154">
        <v>4698.0</v>
      </c>
      <c r="I28" s="154">
        <v>3512.0</v>
      </c>
      <c r="J28" s="154">
        <v>1323.0</v>
      </c>
      <c r="K28" s="156">
        <f t="shared" si="101"/>
        <v>9533</v>
      </c>
      <c r="L28" s="154">
        <v>327.0</v>
      </c>
      <c r="M28" s="154">
        <v>75.0</v>
      </c>
      <c r="N28" s="154">
        <v>1285.0</v>
      </c>
      <c r="O28" s="156">
        <f t="shared" si="102"/>
        <v>1687</v>
      </c>
      <c r="P28" s="154">
        <v>1191.0</v>
      </c>
      <c r="Q28" s="154">
        <v>2242.0</v>
      </c>
      <c r="R28" s="154">
        <v>5565.0</v>
      </c>
      <c r="S28" s="156">
        <f t="shared" si="103"/>
        <v>8998</v>
      </c>
      <c r="T28" s="154">
        <v>14.0</v>
      </c>
      <c r="U28" s="154">
        <v>748.0</v>
      </c>
      <c r="V28" s="154">
        <v>767.0</v>
      </c>
      <c r="W28" s="156">
        <f t="shared" si="104"/>
        <v>1529</v>
      </c>
      <c r="X28" s="156">
        <f t="shared" si="105"/>
        <v>21747</v>
      </c>
      <c r="Y28" s="154">
        <v>587.0</v>
      </c>
      <c r="Z28" s="154">
        <v>1110.0</v>
      </c>
      <c r="AA28" s="154">
        <v>165.0</v>
      </c>
      <c r="AB28" s="156">
        <f t="shared" si="106"/>
        <v>1862</v>
      </c>
      <c r="AC28" s="154">
        <v>1.0</v>
      </c>
      <c r="AD28" s="154">
        <v>216.0</v>
      </c>
      <c r="AE28" s="154">
        <v>1397.0</v>
      </c>
      <c r="AF28" s="156">
        <f t="shared" si="107"/>
        <v>1614</v>
      </c>
      <c r="AG28" s="154">
        <v>289.0</v>
      </c>
      <c r="AH28" s="154">
        <v>577.0</v>
      </c>
      <c r="AI28" s="154">
        <v>91.0</v>
      </c>
      <c r="AJ28" s="156">
        <f t="shared" si="108"/>
        <v>957</v>
      </c>
      <c r="AK28" s="154">
        <v>170.0</v>
      </c>
      <c r="AL28" s="154">
        <v>129.0</v>
      </c>
      <c r="AM28" s="154">
        <v>104.0</v>
      </c>
      <c r="AN28" s="156">
        <f t="shared" si="109"/>
        <v>403</v>
      </c>
      <c r="AO28" s="156">
        <f t="shared" si="110"/>
        <v>4836</v>
      </c>
      <c r="AP28" s="154">
        <v>176.0</v>
      </c>
      <c r="AQ28" s="154">
        <v>330.0</v>
      </c>
      <c r="AR28" s="156">
        <v>206.0</v>
      </c>
      <c r="AS28" s="154">
        <f t="shared" si="111"/>
        <v>712</v>
      </c>
      <c r="AT28" s="154">
        <v>67.0</v>
      </c>
      <c r="AU28" s="154">
        <v>10.0</v>
      </c>
      <c r="AV28" s="154">
        <v>22.0</v>
      </c>
      <c r="AW28" s="154">
        <f t="shared" si="112"/>
        <v>99</v>
      </c>
      <c r="AX28" s="154">
        <v>0.0</v>
      </c>
      <c r="AY28" s="154">
        <v>272.0</v>
      </c>
      <c r="AZ28" s="154">
        <v>119.0</v>
      </c>
      <c r="BA28" s="154">
        <f t="shared" si="113"/>
        <v>391</v>
      </c>
      <c r="BB28" s="154">
        <v>89.0</v>
      </c>
      <c r="BC28" s="154">
        <v>2.0</v>
      </c>
      <c r="BD28" s="154">
        <v>58.0</v>
      </c>
      <c r="BE28" s="154">
        <f t="shared" si="114"/>
        <v>149</v>
      </c>
      <c r="BF28" s="154">
        <f t="shared" si="115"/>
        <v>1351</v>
      </c>
      <c r="BG28" s="154">
        <v>148.0</v>
      </c>
      <c r="BH28" s="154">
        <v>165.0</v>
      </c>
      <c r="BI28" s="154">
        <v>101.0</v>
      </c>
      <c r="BJ28" s="154">
        <f t="shared" si="116"/>
        <v>414</v>
      </c>
      <c r="BK28" s="154">
        <v>185.0</v>
      </c>
      <c r="BL28" s="154">
        <v>82.0</v>
      </c>
      <c r="BM28" s="154">
        <v>56.0</v>
      </c>
      <c r="BN28" s="154">
        <f t="shared" si="117"/>
        <v>323</v>
      </c>
      <c r="BO28" s="154">
        <v>19.0</v>
      </c>
      <c r="BP28" s="154">
        <v>47.0</v>
      </c>
      <c r="BQ28" s="154">
        <v>41.0</v>
      </c>
      <c r="BR28" s="154">
        <f t="shared" si="118"/>
        <v>107</v>
      </c>
      <c r="BS28" s="154">
        <v>84.0</v>
      </c>
      <c r="BT28" s="154">
        <v>20.0</v>
      </c>
      <c r="BU28" s="154">
        <v>88.0</v>
      </c>
      <c r="BV28" s="154">
        <f t="shared" si="119"/>
        <v>192</v>
      </c>
      <c r="BW28" s="154">
        <f t="shared" si="120"/>
        <v>1036</v>
      </c>
      <c r="BX28" s="154">
        <v>0.0</v>
      </c>
      <c r="BY28" s="154">
        <v>0.0</v>
      </c>
      <c r="BZ28" s="154">
        <f t="shared" si="121"/>
        <v>0</v>
      </c>
      <c r="CA28" s="154">
        <v>0.0</v>
      </c>
      <c r="CB28" s="154">
        <v>26.0</v>
      </c>
      <c r="CC28" s="154">
        <f t="shared" si="122"/>
        <v>26</v>
      </c>
      <c r="CD28" s="154">
        <v>21.0</v>
      </c>
      <c r="CE28" s="154">
        <v>48.0</v>
      </c>
      <c r="CF28" s="154">
        <f t="shared" si="123"/>
        <v>27</v>
      </c>
      <c r="CG28" s="154">
        <f t="shared" si="124"/>
        <v>121</v>
      </c>
      <c r="CH28" s="154">
        <v>31.0</v>
      </c>
      <c r="CI28" s="154">
        <v>31.0</v>
      </c>
      <c r="CJ28" s="154">
        <f t="shared" si="125"/>
        <v>0</v>
      </c>
      <c r="CK28" s="154">
        <v>29.0</v>
      </c>
      <c r="CL28" s="154">
        <v>29.0</v>
      </c>
      <c r="CM28" s="154">
        <f t="shared" si="126"/>
        <v>0</v>
      </c>
      <c r="CN28" s="154">
        <v>10.0</v>
      </c>
      <c r="CO28" s="154">
        <v>10.0</v>
      </c>
      <c r="CP28" s="154">
        <f t="shared" si="127"/>
        <v>0</v>
      </c>
      <c r="CQ28" s="154">
        <f t="shared" si="128"/>
        <v>140</v>
      </c>
      <c r="CR28" s="154">
        <v>0.0</v>
      </c>
      <c r="CS28" s="154">
        <f t="shared" si="129"/>
        <v>53</v>
      </c>
      <c r="CT28" s="154">
        <f t="shared" si="130"/>
        <v>53</v>
      </c>
      <c r="CU28" s="154"/>
      <c r="CV28" s="154"/>
      <c r="CW28" s="154">
        <f t="shared" si="131"/>
        <v>106</v>
      </c>
      <c r="CX28" s="154"/>
      <c r="CY28" s="154"/>
      <c r="CZ28" s="154"/>
      <c r="DA28" s="154">
        <f t="shared" si="132"/>
        <v>0</v>
      </c>
      <c r="DB28" s="154">
        <f t="shared" si="133"/>
        <v>367</v>
      </c>
      <c r="DC28" s="171">
        <f t="shared" si="134"/>
        <v>38690</v>
      </c>
      <c r="DD28" s="4"/>
      <c r="DE28" s="1"/>
      <c r="DF28" s="1"/>
      <c r="DG28" s="1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</row>
    <row r="29" ht="15.75" customHeight="1">
      <c r="A29" s="137" t="s">
        <v>99</v>
      </c>
      <c r="B29" s="141">
        <f t="shared" ref="B29:DC29" si="135">SUM(B30:B36)</f>
        <v>1520</v>
      </c>
      <c r="C29" s="141">
        <f t="shared" si="135"/>
        <v>860</v>
      </c>
      <c r="D29" s="141">
        <f t="shared" si="135"/>
        <v>11914</v>
      </c>
      <c r="E29" s="141">
        <f t="shared" si="135"/>
        <v>20100</v>
      </c>
      <c r="F29" s="141">
        <f t="shared" si="135"/>
        <v>106486</v>
      </c>
      <c r="G29" s="141">
        <f t="shared" si="135"/>
        <v>140880</v>
      </c>
      <c r="H29" s="141">
        <f t="shared" si="135"/>
        <v>27340</v>
      </c>
      <c r="I29" s="141">
        <f t="shared" si="135"/>
        <v>22364</v>
      </c>
      <c r="J29" s="141">
        <f t="shared" si="135"/>
        <v>29171</v>
      </c>
      <c r="K29" s="142">
        <f t="shared" si="135"/>
        <v>78875</v>
      </c>
      <c r="L29" s="141">
        <f t="shared" si="135"/>
        <v>14333</v>
      </c>
      <c r="M29" s="141">
        <f t="shared" si="135"/>
        <v>13262</v>
      </c>
      <c r="N29" s="141">
        <f t="shared" si="135"/>
        <v>12281</v>
      </c>
      <c r="O29" s="142">
        <f t="shared" si="135"/>
        <v>39876</v>
      </c>
      <c r="P29" s="141">
        <f t="shared" si="135"/>
        <v>9823</v>
      </c>
      <c r="Q29" s="141">
        <f t="shared" si="135"/>
        <v>10552</v>
      </c>
      <c r="R29" s="141">
        <f t="shared" si="135"/>
        <v>7940</v>
      </c>
      <c r="S29" s="142">
        <f t="shared" si="135"/>
        <v>28315</v>
      </c>
      <c r="T29" s="141">
        <f t="shared" si="135"/>
        <v>14547</v>
      </c>
      <c r="U29" s="141">
        <f t="shared" si="135"/>
        <v>10430</v>
      </c>
      <c r="V29" s="141">
        <f t="shared" si="135"/>
        <v>13488</v>
      </c>
      <c r="W29" s="142">
        <f t="shared" si="135"/>
        <v>38465</v>
      </c>
      <c r="X29" s="142">
        <f t="shared" si="135"/>
        <v>185531</v>
      </c>
      <c r="Y29" s="141">
        <f t="shared" si="135"/>
        <v>11150</v>
      </c>
      <c r="Z29" s="141">
        <f t="shared" si="135"/>
        <v>3503</v>
      </c>
      <c r="AA29" s="141">
        <f t="shared" si="135"/>
        <v>6160</v>
      </c>
      <c r="AB29" s="142">
        <f t="shared" si="135"/>
        <v>20813</v>
      </c>
      <c r="AC29" s="141">
        <f t="shared" si="135"/>
        <v>2890</v>
      </c>
      <c r="AD29" s="141">
        <f t="shared" si="135"/>
        <v>5218</v>
      </c>
      <c r="AE29" s="141">
        <f t="shared" si="135"/>
        <v>5294</v>
      </c>
      <c r="AF29" s="142">
        <f t="shared" si="135"/>
        <v>13402</v>
      </c>
      <c r="AG29" s="141">
        <f t="shared" si="135"/>
        <v>3665</v>
      </c>
      <c r="AH29" s="141">
        <f t="shared" si="135"/>
        <v>3973</v>
      </c>
      <c r="AI29" s="141">
        <f t="shared" si="135"/>
        <v>4478</v>
      </c>
      <c r="AJ29" s="142">
        <f t="shared" si="135"/>
        <v>12116</v>
      </c>
      <c r="AK29" s="141">
        <f t="shared" si="135"/>
        <v>4236</v>
      </c>
      <c r="AL29" s="141">
        <f t="shared" si="135"/>
        <v>3683</v>
      </c>
      <c r="AM29" s="141">
        <f t="shared" si="135"/>
        <v>3120</v>
      </c>
      <c r="AN29" s="142">
        <f t="shared" si="135"/>
        <v>11039</v>
      </c>
      <c r="AO29" s="142">
        <f t="shared" si="135"/>
        <v>57370</v>
      </c>
      <c r="AP29" s="141">
        <f t="shared" si="135"/>
        <v>1020</v>
      </c>
      <c r="AQ29" s="141">
        <f t="shared" si="135"/>
        <v>1781</v>
      </c>
      <c r="AR29" s="142">
        <f t="shared" si="135"/>
        <v>2830</v>
      </c>
      <c r="AS29" s="141">
        <f t="shared" si="135"/>
        <v>5631</v>
      </c>
      <c r="AT29" s="141">
        <f t="shared" si="135"/>
        <v>1278</v>
      </c>
      <c r="AU29" s="141">
        <f t="shared" si="135"/>
        <v>3398</v>
      </c>
      <c r="AV29" s="141">
        <f t="shared" si="135"/>
        <v>1547</v>
      </c>
      <c r="AW29" s="142">
        <f t="shared" si="135"/>
        <v>6223</v>
      </c>
      <c r="AX29" s="141">
        <f t="shared" si="135"/>
        <v>1301</v>
      </c>
      <c r="AY29" s="141">
        <f t="shared" si="135"/>
        <v>1807</v>
      </c>
      <c r="AZ29" s="141">
        <f t="shared" si="135"/>
        <v>1451</v>
      </c>
      <c r="BA29" s="142">
        <f t="shared" si="135"/>
        <v>4559</v>
      </c>
      <c r="BB29" s="141">
        <f t="shared" si="135"/>
        <v>2532</v>
      </c>
      <c r="BC29" s="141">
        <f t="shared" si="135"/>
        <v>3647</v>
      </c>
      <c r="BD29" s="141">
        <f t="shared" si="135"/>
        <v>659</v>
      </c>
      <c r="BE29" s="142">
        <f t="shared" si="135"/>
        <v>6838</v>
      </c>
      <c r="BF29" s="141">
        <f t="shared" si="135"/>
        <v>23251</v>
      </c>
      <c r="BG29" s="141">
        <f t="shared" si="135"/>
        <v>1416</v>
      </c>
      <c r="BH29" s="141">
        <f t="shared" si="135"/>
        <v>2624</v>
      </c>
      <c r="BI29" s="141">
        <f t="shared" si="135"/>
        <v>1679</v>
      </c>
      <c r="BJ29" s="141">
        <f t="shared" si="135"/>
        <v>5719</v>
      </c>
      <c r="BK29" s="141">
        <f t="shared" si="135"/>
        <v>2015</v>
      </c>
      <c r="BL29" s="141">
        <f t="shared" si="135"/>
        <v>1476</v>
      </c>
      <c r="BM29" s="141">
        <f t="shared" si="135"/>
        <v>1305</v>
      </c>
      <c r="BN29" s="141">
        <f t="shared" si="135"/>
        <v>4796</v>
      </c>
      <c r="BO29" s="141">
        <f t="shared" si="135"/>
        <v>1295</v>
      </c>
      <c r="BP29" s="141">
        <f t="shared" si="135"/>
        <v>1415</v>
      </c>
      <c r="BQ29" s="141">
        <f t="shared" si="135"/>
        <v>1315</v>
      </c>
      <c r="BR29" s="141">
        <f t="shared" si="135"/>
        <v>4025</v>
      </c>
      <c r="BS29" s="141">
        <f t="shared" si="135"/>
        <v>1504</v>
      </c>
      <c r="BT29" s="141">
        <f t="shared" si="135"/>
        <v>1315</v>
      </c>
      <c r="BU29" s="141">
        <f t="shared" si="135"/>
        <v>878</v>
      </c>
      <c r="BV29" s="141">
        <f t="shared" si="135"/>
        <v>3697</v>
      </c>
      <c r="BW29" s="141">
        <f t="shared" si="135"/>
        <v>18237</v>
      </c>
      <c r="BX29" s="141">
        <f t="shared" si="135"/>
        <v>986</v>
      </c>
      <c r="BY29" s="141">
        <f t="shared" si="135"/>
        <v>1282</v>
      </c>
      <c r="BZ29" s="141">
        <f t="shared" si="135"/>
        <v>296</v>
      </c>
      <c r="CA29" s="141">
        <f t="shared" si="135"/>
        <v>1578</v>
      </c>
      <c r="CB29" s="141">
        <f t="shared" si="135"/>
        <v>1492</v>
      </c>
      <c r="CC29" s="141">
        <f t="shared" si="135"/>
        <v>-86</v>
      </c>
      <c r="CD29" s="141">
        <f t="shared" si="135"/>
        <v>490</v>
      </c>
      <c r="CE29" s="141">
        <f t="shared" si="135"/>
        <v>1673</v>
      </c>
      <c r="CF29" s="141">
        <f t="shared" si="135"/>
        <v>1183</v>
      </c>
      <c r="CG29" s="141">
        <f t="shared" si="135"/>
        <v>7711</v>
      </c>
      <c r="CH29" s="141">
        <f t="shared" si="135"/>
        <v>2741</v>
      </c>
      <c r="CI29" s="141">
        <f t="shared" si="135"/>
        <v>1348</v>
      </c>
      <c r="CJ29" s="141">
        <f t="shared" si="135"/>
        <v>-1393</v>
      </c>
      <c r="CK29" s="141">
        <f t="shared" si="135"/>
        <v>958</v>
      </c>
      <c r="CL29" s="141">
        <f t="shared" si="135"/>
        <v>958</v>
      </c>
      <c r="CM29" s="141">
        <f t="shared" si="135"/>
        <v>0</v>
      </c>
      <c r="CN29" s="141">
        <f t="shared" si="135"/>
        <v>1444</v>
      </c>
      <c r="CO29" s="141">
        <f t="shared" si="135"/>
        <v>1445</v>
      </c>
      <c r="CP29" s="141">
        <f t="shared" si="135"/>
        <v>1</v>
      </c>
      <c r="CQ29" s="141">
        <f t="shared" si="135"/>
        <v>7066</v>
      </c>
      <c r="CR29" s="141">
        <f t="shared" si="135"/>
        <v>1233</v>
      </c>
      <c r="CS29" s="141">
        <f t="shared" si="135"/>
        <v>1</v>
      </c>
      <c r="CT29" s="141">
        <f t="shared" si="135"/>
        <v>1234</v>
      </c>
      <c r="CU29" s="141">
        <f t="shared" si="135"/>
        <v>0</v>
      </c>
      <c r="CV29" s="141">
        <f t="shared" si="135"/>
        <v>0</v>
      </c>
      <c r="CW29" s="141">
        <f t="shared" si="135"/>
        <v>2468</v>
      </c>
      <c r="CX29" s="141">
        <f t="shared" si="135"/>
        <v>0</v>
      </c>
      <c r="CY29" s="141">
        <f t="shared" si="135"/>
        <v>0</v>
      </c>
      <c r="CZ29" s="141">
        <f t="shared" si="135"/>
        <v>0</v>
      </c>
      <c r="DA29" s="141">
        <f t="shared" si="135"/>
        <v>0</v>
      </c>
      <c r="DB29" s="141">
        <f t="shared" si="135"/>
        <v>17245</v>
      </c>
      <c r="DC29" s="141">
        <f t="shared" si="135"/>
        <v>442514</v>
      </c>
      <c r="DD29" s="4"/>
      <c r="DE29" s="20">
        <f>SUM(AJ29,AN29,BF29,BW29,DB29)</f>
        <v>81888</v>
      </c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1"/>
      <c r="DS29" s="148"/>
    </row>
    <row r="30" ht="15.75" customHeight="1">
      <c r="A30" s="167" t="s">
        <v>100</v>
      </c>
      <c r="B30" s="154">
        <v>0.0</v>
      </c>
      <c r="C30" s="154">
        <v>0.0</v>
      </c>
      <c r="D30" s="154">
        <v>143.0</v>
      </c>
      <c r="E30" s="154">
        <v>311.0</v>
      </c>
      <c r="F30" s="154">
        <v>3434.0</v>
      </c>
      <c r="G30" s="154">
        <f t="shared" ref="G30:G36" si="136">SUM(B30:F30)</f>
        <v>3888</v>
      </c>
      <c r="H30" s="154">
        <v>1363.0</v>
      </c>
      <c r="I30" s="154">
        <v>1146.0</v>
      </c>
      <c r="J30" s="155">
        <v>1774.0</v>
      </c>
      <c r="K30" s="156">
        <f t="shared" ref="K30:K36" si="137">SUM(H30:J30)</f>
        <v>4283</v>
      </c>
      <c r="L30" s="154">
        <v>902.0</v>
      </c>
      <c r="M30" s="154">
        <v>1042.0</v>
      </c>
      <c r="N30" s="154">
        <v>763.0</v>
      </c>
      <c r="O30" s="156">
        <f t="shared" ref="O30:O36" si="138">SUM(L30:N30)</f>
        <v>2707</v>
      </c>
      <c r="P30" s="154">
        <v>702.0</v>
      </c>
      <c r="Q30" s="154">
        <v>670.0</v>
      </c>
      <c r="R30" s="154">
        <v>342.0</v>
      </c>
      <c r="S30" s="156">
        <f t="shared" ref="S30:S36" si="139">SUM(P30:R30)</f>
        <v>1714</v>
      </c>
      <c r="T30" s="154">
        <v>832.0</v>
      </c>
      <c r="U30" s="154">
        <v>772.0</v>
      </c>
      <c r="V30" s="154">
        <v>915.0</v>
      </c>
      <c r="W30" s="156">
        <f t="shared" ref="W30:W36" si="140">SUM(T30:V30)</f>
        <v>2519</v>
      </c>
      <c r="X30" s="156">
        <f t="shared" ref="X30:X36" si="141">SUM(W30,S30,O30,K30)</f>
        <v>11223</v>
      </c>
      <c r="Y30" s="154">
        <v>1361.0</v>
      </c>
      <c r="Z30" s="154">
        <v>179.0</v>
      </c>
      <c r="AA30" s="155">
        <v>818.0</v>
      </c>
      <c r="AB30" s="156">
        <f t="shared" ref="AB30:AB36" si="142">SUM(Y30:AA30)</f>
        <v>2358</v>
      </c>
      <c r="AC30" s="154">
        <v>179.0</v>
      </c>
      <c r="AD30" s="154">
        <v>532.0</v>
      </c>
      <c r="AE30" s="154">
        <v>148.0</v>
      </c>
      <c r="AF30" s="156">
        <f t="shared" ref="AF30:AF36" si="143">SUM(AC30:AE30)</f>
        <v>859</v>
      </c>
      <c r="AG30" s="154">
        <v>158.0</v>
      </c>
      <c r="AH30" s="154">
        <v>334.0</v>
      </c>
      <c r="AI30" s="154">
        <v>129.0</v>
      </c>
      <c r="AJ30" s="156">
        <f t="shared" ref="AJ30:AJ36" si="144">SUM(AG30:AI30)</f>
        <v>621</v>
      </c>
      <c r="AK30" s="154">
        <v>117.0</v>
      </c>
      <c r="AL30" s="154">
        <v>460.0</v>
      </c>
      <c r="AM30" s="154">
        <v>308.0</v>
      </c>
      <c r="AN30" s="156">
        <f t="shared" ref="AN30:AN36" si="145">SUM(AK30:AM30)</f>
        <v>885</v>
      </c>
      <c r="AO30" s="156">
        <f t="shared" ref="AO30:AO36" si="146">SUM(AB30,AF30,AJ30,AN30)</f>
        <v>4723</v>
      </c>
      <c r="AP30" s="154">
        <v>181.0</v>
      </c>
      <c r="AQ30" s="154">
        <v>102.0</v>
      </c>
      <c r="AR30" s="156">
        <v>105.0</v>
      </c>
      <c r="AS30" s="154">
        <f t="shared" ref="AS30:AS36" si="147">SUM(AP30:AR30)</f>
        <v>388</v>
      </c>
      <c r="AT30" s="154">
        <v>0.0</v>
      </c>
      <c r="AU30" s="154">
        <v>59.0</v>
      </c>
      <c r="AV30" s="154">
        <v>48.0</v>
      </c>
      <c r="AW30" s="154">
        <f t="shared" ref="AW30:AW36" si="148">SUM(AT30:AV30)</f>
        <v>107</v>
      </c>
      <c r="AX30" s="154">
        <v>32.0</v>
      </c>
      <c r="AY30" s="154">
        <v>100.0</v>
      </c>
      <c r="AZ30" s="154">
        <v>105.0</v>
      </c>
      <c r="BA30" s="154">
        <f t="shared" ref="BA30:BA36" si="149">SUM(AX30:AZ30)</f>
        <v>237</v>
      </c>
      <c r="BB30" s="154">
        <v>11.0</v>
      </c>
      <c r="BC30" s="154">
        <v>138.0</v>
      </c>
      <c r="BD30" s="154">
        <v>63.0</v>
      </c>
      <c r="BE30" s="154">
        <f t="shared" ref="BE30:BE36" si="150">SUM(BB30:BD30)</f>
        <v>212</v>
      </c>
      <c r="BF30" s="154">
        <f t="shared" ref="BF30:BF36" si="151">SUM(AS30,AW30,BA30,BE30)</f>
        <v>944</v>
      </c>
      <c r="BG30" s="154">
        <v>106.0</v>
      </c>
      <c r="BH30" s="154">
        <v>59.0</v>
      </c>
      <c r="BI30" s="154">
        <v>168.0</v>
      </c>
      <c r="BJ30" s="154">
        <f t="shared" ref="BJ30:BJ36" si="152">SUM(BG30:BI30)</f>
        <v>333</v>
      </c>
      <c r="BK30" s="154">
        <v>46.0</v>
      </c>
      <c r="BL30" s="154">
        <v>58.0</v>
      </c>
      <c r="BM30" s="154">
        <v>43.0</v>
      </c>
      <c r="BN30" s="154">
        <f t="shared" ref="BN30:BN36" si="153">SUM(BK30:BM30)</f>
        <v>147</v>
      </c>
      <c r="BO30" s="154">
        <v>58.0</v>
      </c>
      <c r="BP30" s="154">
        <v>76.0</v>
      </c>
      <c r="BQ30" s="154">
        <v>33.0</v>
      </c>
      <c r="BR30" s="154">
        <f t="shared" ref="BR30:BR36" si="154">SUM(BO30:BQ30)</f>
        <v>167</v>
      </c>
      <c r="BS30" s="154">
        <v>100.0</v>
      </c>
      <c r="BT30" s="154">
        <v>57.0</v>
      </c>
      <c r="BU30" s="154">
        <v>179.0</v>
      </c>
      <c r="BV30" s="154">
        <f t="shared" ref="BV30:BV36" si="155">SUM(BS30:BU30)</f>
        <v>336</v>
      </c>
      <c r="BW30" s="154">
        <f t="shared" ref="BW30:BW36" si="156">SUM(BJ30,BN30,BR30,BV30)</f>
        <v>983</v>
      </c>
      <c r="BX30" s="154">
        <v>0.0</v>
      </c>
      <c r="BY30" s="154">
        <v>143.0</v>
      </c>
      <c r="BZ30" s="154">
        <f t="shared" ref="BZ30:BZ36" si="157">BY30-BX30</f>
        <v>143</v>
      </c>
      <c r="CA30" s="154">
        <v>148.0</v>
      </c>
      <c r="CB30" s="154">
        <v>65.0</v>
      </c>
      <c r="CC30" s="154">
        <f t="shared" ref="CC30:CC36" si="158">CB30-CA30</f>
        <v>-83</v>
      </c>
      <c r="CD30" s="154">
        <v>41.0</v>
      </c>
      <c r="CE30" s="154">
        <v>194.0</v>
      </c>
      <c r="CF30" s="154">
        <f t="shared" ref="CF30:CF36" si="159">CE30-CD30</f>
        <v>153</v>
      </c>
      <c r="CG30" s="154">
        <f t="shared" ref="CG30:CG36" si="160">SUM(BX30:CE30)</f>
        <v>651</v>
      </c>
      <c r="CH30" s="154">
        <v>280.0</v>
      </c>
      <c r="CI30" s="154">
        <v>67.0</v>
      </c>
      <c r="CJ30" s="154">
        <f t="shared" ref="CJ30:CJ36" si="161">CI30-CH30</f>
        <v>-213</v>
      </c>
      <c r="CK30" s="154">
        <v>82.0</v>
      </c>
      <c r="CL30" s="155">
        <v>82.0</v>
      </c>
      <c r="CM30" s="154">
        <f t="shared" ref="CM30:CM36" si="162">CL30-CK30</f>
        <v>0</v>
      </c>
      <c r="CN30" s="155">
        <v>96.0</v>
      </c>
      <c r="CO30" s="155">
        <v>96.0</v>
      </c>
      <c r="CP30" s="154">
        <f t="shared" ref="CP30:CP36" si="163">CO30-CN30</f>
        <v>0</v>
      </c>
      <c r="CQ30" s="154">
        <f t="shared" ref="CQ30:CQ33" si="164">SUM(CH30:CO30)</f>
        <v>490</v>
      </c>
      <c r="CR30" s="154">
        <v>107.0</v>
      </c>
      <c r="CS30" s="154">
        <f t="shared" ref="CS30:CS36" si="165">SUM(BZ30,CC30,CF30,CJ30,CM30,CP30)</f>
        <v>0</v>
      </c>
      <c r="CT30" s="154">
        <f t="shared" ref="CT30:CT36" si="166">CR30+CS30</f>
        <v>107</v>
      </c>
      <c r="CU30" s="154"/>
      <c r="CV30" s="155"/>
      <c r="CW30" s="154">
        <f t="shared" ref="CW30:CW36" si="167">SUM(CR30:CV30)</f>
        <v>214</v>
      </c>
      <c r="CX30" s="154"/>
      <c r="CY30" s="154"/>
      <c r="CZ30" s="155"/>
      <c r="DA30" s="154">
        <f t="shared" ref="DA30:DA36" si="168">SUM(CX30:CZ30)</f>
        <v>0</v>
      </c>
      <c r="DB30" s="154">
        <f t="shared" ref="DB30:DB36" si="169">SUM(CG30,CQ30,CW30,DA30)</f>
        <v>1355</v>
      </c>
      <c r="DC30" s="171">
        <f t="shared" ref="DC30:DC36" si="170">SUM(A30,G30,X30,AO30,BF30,BW30,DB30)</f>
        <v>23116</v>
      </c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1"/>
      <c r="DS30" s="1"/>
    </row>
    <row r="31" ht="15.75" customHeight="1">
      <c r="A31" s="167" t="s">
        <v>101</v>
      </c>
      <c r="B31" s="154">
        <v>13.0</v>
      </c>
      <c r="C31" s="154">
        <v>75.0</v>
      </c>
      <c r="D31" s="154">
        <v>68.0</v>
      </c>
      <c r="E31" s="154">
        <v>320.0</v>
      </c>
      <c r="F31" s="154">
        <v>2365.0</v>
      </c>
      <c r="G31" s="154">
        <f t="shared" si="136"/>
        <v>2841</v>
      </c>
      <c r="H31" s="154">
        <v>1270.0</v>
      </c>
      <c r="I31" s="154">
        <v>966.0</v>
      </c>
      <c r="J31" s="154">
        <v>1655.0</v>
      </c>
      <c r="K31" s="156">
        <f t="shared" si="137"/>
        <v>3891</v>
      </c>
      <c r="L31" s="154">
        <v>944.0</v>
      </c>
      <c r="M31" s="154">
        <v>713.0</v>
      </c>
      <c r="N31" s="154">
        <v>634.0</v>
      </c>
      <c r="O31" s="156">
        <f t="shared" si="138"/>
        <v>2291</v>
      </c>
      <c r="P31" s="154">
        <v>847.0</v>
      </c>
      <c r="Q31" s="154">
        <v>855.0</v>
      </c>
      <c r="R31" s="154">
        <v>772.0</v>
      </c>
      <c r="S31" s="156">
        <f t="shared" si="139"/>
        <v>2474</v>
      </c>
      <c r="T31" s="154">
        <v>1350.0</v>
      </c>
      <c r="U31" s="154">
        <v>1221.0</v>
      </c>
      <c r="V31" s="154">
        <v>1574.0</v>
      </c>
      <c r="W31" s="156">
        <f t="shared" si="140"/>
        <v>4145</v>
      </c>
      <c r="X31" s="156">
        <f t="shared" si="141"/>
        <v>12801</v>
      </c>
      <c r="Y31" s="154">
        <v>828.0</v>
      </c>
      <c r="Z31" s="154">
        <v>259.0</v>
      </c>
      <c r="AA31" s="154">
        <v>309.0</v>
      </c>
      <c r="AB31" s="156">
        <f t="shared" si="142"/>
        <v>1396</v>
      </c>
      <c r="AC31" s="154">
        <v>271.0</v>
      </c>
      <c r="AD31" s="154">
        <v>540.0</v>
      </c>
      <c r="AE31" s="154">
        <v>193.0</v>
      </c>
      <c r="AF31" s="156">
        <f t="shared" si="143"/>
        <v>1004</v>
      </c>
      <c r="AG31" s="154">
        <v>209.0</v>
      </c>
      <c r="AH31" s="154">
        <v>327.0</v>
      </c>
      <c r="AI31" s="154">
        <v>190.0</v>
      </c>
      <c r="AJ31" s="156">
        <f t="shared" si="144"/>
        <v>726</v>
      </c>
      <c r="AK31" s="154">
        <v>247.0</v>
      </c>
      <c r="AL31" s="154">
        <v>220.0</v>
      </c>
      <c r="AM31" s="154">
        <v>170.0</v>
      </c>
      <c r="AN31" s="156">
        <f t="shared" si="145"/>
        <v>637</v>
      </c>
      <c r="AO31" s="156">
        <f t="shared" si="146"/>
        <v>3763</v>
      </c>
      <c r="AP31" s="154">
        <v>34.0</v>
      </c>
      <c r="AQ31" s="154">
        <v>171.0</v>
      </c>
      <c r="AR31" s="156">
        <v>105.0</v>
      </c>
      <c r="AS31" s="154">
        <f t="shared" si="147"/>
        <v>310</v>
      </c>
      <c r="AT31" s="154">
        <v>89.0</v>
      </c>
      <c r="AU31" s="154">
        <v>231.0</v>
      </c>
      <c r="AV31" s="154">
        <v>158.0</v>
      </c>
      <c r="AW31" s="154">
        <f t="shared" si="148"/>
        <v>478</v>
      </c>
      <c r="AX31" s="154">
        <v>121.0</v>
      </c>
      <c r="AY31" s="154">
        <v>120.0</v>
      </c>
      <c r="AZ31" s="154">
        <v>37.0</v>
      </c>
      <c r="BA31" s="154">
        <f t="shared" si="149"/>
        <v>278</v>
      </c>
      <c r="BB31" s="154">
        <v>73.0</v>
      </c>
      <c r="BC31" s="154">
        <v>141.0</v>
      </c>
      <c r="BD31" s="154">
        <v>3.0</v>
      </c>
      <c r="BE31" s="154">
        <f t="shared" si="150"/>
        <v>217</v>
      </c>
      <c r="BF31" s="154">
        <f t="shared" si="151"/>
        <v>1283</v>
      </c>
      <c r="BG31" s="154">
        <v>55.0</v>
      </c>
      <c r="BH31" s="154">
        <v>147.0</v>
      </c>
      <c r="BI31" s="154">
        <v>62.0</v>
      </c>
      <c r="BJ31" s="154">
        <f t="shared" si="152"/>
        <v>264</v>
      </c>
      <c r="BK31" s="154">
        <v>107.0</v>
      </c>
      <c r="BL31" s="154">
        <v>36.0</v>
      </c>
      <c r="BM31" s="154">
        <v>36.0</v>
      </c>
      <c r="BN31" s="154">
        <f t="shared" si="153"/>
        <v>179</v>
      </c>
      <c r="BO31" s="154">
        <v>57.0</v>
      </c>
      <c r="BP31" s="154">
        <v>109.0</v>
      </c>
      <c r="BQ31" s="154">
        <v>74.0</v>
      </c>
      <c r="BR31" s="154">
        <f t="shared" si="154"/>
        <v>240</v>
      </c>
      <c r="BS31" s="154">
        <v>66.0</v>
      </c>
      <c r="BT31" s="154">
        <v>165.0</v>
      </c>
      <c r="BU31" s="154">
        <v>38.0</v>
      </c>
      <c r="BV31" s="154">
        <f t="shared" si="155"/>
        <v>269</v>
      </c>
      <c r="BW31" s="154">
        <f t="shared" si="156"/>
        <v>952</v>
      </c>
      <c r="BX31" s="154">
        <v>26.0</v>
      </c>
      <c r="BY31" s="154">
        <v>34.0</v>
      </c>
      <c r="BZ31" s="154">
        <f t="shared" si="157"/>
        <v>8</v>
      </c>
      <c r="CA31" s="154">
        <v>50.0</v>
      </c>
      <c r="CB31" s="154">
        <v>50.0</v>
      </c>
      <c r="CC31" s="154">
        <f t="shared" si="158"/>
        <v>0</v>
      </c>
      <c r="CD31" s="154">
        <v>70.0</v>
      </c>
      <c r="CE31" s="154">
        <v>162.0</v>
      </c>
      <c r="CF31" s="154">
        <f t="shared" si="159"/>
        <v>92</v>
      </c>
      <c r="CG31" s="154">
        <f t="shared" si="160"/>
        <v>400</v>
      </c>
      <c r="CH31" s="154">
        <v>160.0</v>
      </c>
      <c r="CI31" s="154">
        <v>60.0</v>
      </c>
      <c r="CJ31" s="154">
        <f t="shared" si="161"/>
        <v>-100</v>
      </c>
      <c r="CK31" s="154">
        <v>15.0</v>
      </c>
      <c r="CL31" s="154">
        <v>15.0</v>
      </c>
      <c r="CM31" s="154">
        <f t="shared" si="162"/>
        <v>0</v>
      </c>
      <c r="CN31" s="154">
        <v>56.0</v>
      </c>
      <c r="CO31" s="154">
        <v>56.0</v>
      </c>
      <c r="CP31" s="154">
        <f t="shared" si="163"/>
        <v>0</v>
      </c>
      <c r="CQ31" s="154">
        <f t="shared" si="164"/>
        <v>262</v>
      </c>
      <c r="CR31" s="154">
        <v>158.0</v>
      </c>
      <c r="CS31" s="154">
        <f t="shared" si="165"/>
        <v>0</v>
      </c>
      <c r="CT31" s="154">
        <f t="shared" si="166"/>
        <v>158</v>
      </c>
      <c r="CU31" s="154"/>
      <c r="CV31" s="154"/>
      <c r="CW31" s="154">
        <f t="shared" si="167"/>
        <v>316</v>
      </c>
      <c r="CX31" s="154"/>
      <c r="CY31" s="154"/>
      <c r="CZ31" s="154"/>
      <c r="DA31" s="154">
        <f t="shared" si="168"/>
        <v>0</v>
      </c>
      <c r="DB31" s="154">
        <f t="shared" si="169"/>
        <v>978</v>
      </c>
      <c r="DC31" s="171">
        <f t="shared" si="170"/>
        <v>22618</v>
      </c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1"/>
      <c r="DS31" s="1"/>
    </row>
    <row r="32" ht="15.75" customHeight="1">
      <c r="A32" s="167" t="s">
        <v>102</v>
      </c>
      <c r="B32" s="154">
        <v>17.0</v>
      </c>
      <c r="C32" s="154">
        <v>78.0</v>
      </c>
      <c r="D32" s="154">
        <v>2852.0</v>
      </c>
      <c r="E32" s="154">
        <v>3542.0</v>
      </c>
      <c r="F32" s="154">
        <v>8227.0</v>
      </c>
      <c r="G32" s="154">
        <f t="shared" si="136"/>
        <v>14716</v>
      </c>
      <c r="H32" s="154">
        <v>2906.0</v>
      </c>
      <c r="I32" s="154">
        <v>1668.0</v>
      </c>
      <c r="J32" s="154">
        <v>2767.0</v>
      </c>
      <c r="K32" s="156">
        <f t="shared" si="137"/>
        <v>7341</v>
      </c>
      <c r="L32" s="154">
        <v>865.0</v>
      </c>
      <c r="M32" s="154">
        <v>1154.0</v>
      </c>
      <c r="N32" s="154">
        <v>1021.0</v>
      </c>
      <c r="O32" s="156">
        <f t="shared" si="138"/>
        <v>3040</v>
      </c>
      <c r="P32" s="154">
        <v>225.0</v>
      </c>
      <c r="Q32" s="154">
        <v>841.0</v>
      </c>
      <c r="R32" s="171">
        <v>500.0</v>
      </c>
      <c r="S32" s="156">
        <f t="shared" si="139"/>
        <v>1566</v>
      </c>
      <c r="T32" s="154">
        <v>648.0</v>
      </c>
      <c r="U32" s="154">
        <v>463.0</v>
      </c>
      <c r="V32" s="154">
        <v>1028.0</v>
      </c>
      <c r="W32" s="156">
        <f t="shared" si="140"/>
        <v>2139</v>
      </c>
      <c r="X32" s="156">
        <f t="shared" si="141"/>
        <v>14086</v>
      </c>
      <c r="Y32" s="154">
        <v>913.0</v>
      </c>
      <c r="Z32" s="154">
        <v>511.0</v>
      </c>
      <c r="AA32" s="154">
        <v>228.0</v>
      </c>
      <c r="AB32" s="156">
        <f t="shared" si="142"/>
        <v>1652</v>
      </c>
      <c r="AC32" s="154">
        <v>250.0</v>
      </c>
      <c r="AD32" s="154">
        <v>531.0</v>
      </c>
      <c r="AE32" s="154">
        <v>525.0</v>
      </c>
      <c r="AF32" s="156">
        <f t="shared" si="143"/>
        <v>1306</v>
      </c>
      <c r="AG32" s="154">
        <v>471.0</v>
      </c>
      <c r="AH32" s="154">
        <v>398.0</v>
      </c>
      <c r="AI32" s="154">
        <v>134.0</v>
      </c>
      <c r="AJ32" s="156">
        <f t="shared" si="144"/>
        <v>1003</v>
      </c>
      <c r="AK32" s="154">
        <v>560.0</v>
      </c>
      <c r="AL32" s="154">
        <v>607.0</v>
      </c>
      <c r="AM32" s="154">
        <v>289.0</v>
      </c>
      <c r="AN32" s="156">
        <f t="shared" si="145"/>
        <v>1456</v>
      </c>
      <c r="AO32" s="156">
        <f t="shared" si="146"/>
        <v>5417</v>
      </c>
      <c r="AP32" s="154">
        <v>123.0</v>
      </c>
      <c r="AQ32" s="154">
        <v>268.0</v>
      </c>
      <c r="AR32" s="156">
        <v>217.0</v>
      </c>
      <c r="AS32" s="154">
        <f t="shared" si="147"/>
        <v>608</v>
      </c>
      <c r="AT32" s="154">
        <v>86.0</v>
      </c>
      <c r="AU32" s="154">
        <v>198.0</v>
      </c>
      <c r="AV32" s="154">
        <v>171.0</v>
      </c>
      <c r="AW32" s="154">
        <f t="shared" si="148"/>
        <v>455</v>
      </c>
      <c r="AX32" s="154">
        <v>261.0</v>
      </c>
      <c r="AY32" s="154">
        <v>148.0</v>
      </c>
      <c r="AZ32" s="154">
        <v>252.0</v>
      </c>
      <c r="BA32" s="154">
        <f t="shared" si="149"/>
        <v>661</v>
      </c>
      <c r="BB32" s="154">
        <v>195.0</v>
      </c>
      <c r="BC32" s="154">
        <v>411.0</v>
      </c>
      <c r="BD32" s="154">
        <v>32.0</v>
      </c>
      <c r="BE32" s="154">
        <f t="shared" si="150"/>
        <v>638</v>
      </c>
      <c r="BF32" s="154">
        <f t="shared" si="151"/>
        <v>2362</v>
      </c>
      <c r="BG32" s="154">
        <v>138.0</v>
      </c>
      <c r="BH32" s="154">
        <v>187.0</v>
      </c>
      <c r="BI32" s="154">
        <v>131.0</v>
      </c>
      <c r="BJ32" s="154">
        <f t="shared" si="152"/>
        <v>456</v>
      </c>
      <c r="BK32" s="154">
        <v>218.0</v>
      </c>
      <c r="BL32" s="154">
        <v>203.0</v>
      </c>
      <c r="BM32" s="154">
        <v>169.0</v>
      </c>
      <c r="BN32" s="154">
        <f t="shared" si="153"/>
        <v>590</v>
      </c>
      <c r="BO32" s="154">
        <v>154.0</v>
      </c>
      <c r="BP32" s="154">
        <v>132.0</v>
      </c>
      <c r="BQ32" s="154">
        <v>198.0</v>
      </c>
      <c r="BR32" s="154">
        <f t="shared" si="154"/>
        <v>484</v>
      </c>
      <c r="BS32" s="154">
        <v>73.0</v>
      </c>
      <c r="BT32" s="154">
        <v>169.0</v>
      </c>
      <c r="BU32" s="154">
        <v>50.0</v>
      </c>
      <c r="BV32" s="154">
        <f t="shared" si="155"/>
        <v>292</v>
      </c>
      <c r="BW32" s="154">
        <f t="shared" si="156"/>
        <v>1822</v>
      </c>
      <c r="BX32" s="154">
        <v>98.0</v>
      </c>
      <c r="BY32" s="154">
        <v>138.0</v>
      </c>
      <c r="BZ32" s="154">
        <f t="shared" si="157"/>
        <v>40</v>
      </c>
      <c r="CA32" s="154">
        <v>159.0</v>
      </c>
      <c r="CB32" s="154">
        <v>159.0</v>
      </c>
      <c r="CC32" s="154">
        <f t="shared" si="158"/>
        <v>0</v>
      </c>
      <c r="CD32" s="154">
        <v>22.0</v>
      </c>
      <c r="CE32" s="154">
        <v>88.0</v>
      </c>
      <c r="CF32" s="154">
        <f t="shared" si="159"/>
        <v>66</v>
      </c>
      <c r="CG32" s="154">
        <f t="shared" si="160"/>
        <v>704</v>
      </c>
      <c r="CH32" s="154">
        <v>327.0</v>
      </c>
      <c r="CI32" s="154">
        <v>221.0</v>
      </c>
      <c r="CJ32" s="154">
        <f t="shared" si="161"/>
        <v>-106</v>
      </c>
      <c r="CK32" s="154">
        <v>52.0</v>
      </c>
      <c r="CL32" s="154">
        <v>52.0</v>
      </c>
      <c r="CM32" s="154">
        <f t="shared" si="162"/>
        <v>0</v>
      </c>
      <c r="CN32" s="154">
        <v>204.0</v>
      </c>
      <c r="CO32" s="154">
        <v>204.0</v>
      </c>
      <c r="CP32" s="154">
        <f t="shared" si="163"/>
        <v>0</v>
      </c>
      <c r="CQ32" s="154">
        <f t="shared" si="164"/>
        <v>954</v>
      </c>
      <c r="CR32" s="154">
        <v>98.0</v>
      </c>
      <c r="CS32" s="154">
        <f t="shared" si="165"/>
        <v>0</v>
      </c>
      <c r="CT32" s="154">
        <f t="shared" si="166"/>
        <v>98</v>
      </c>
      <c r="CU32" s="154"/>
      <c r="CV32" s="154"/>
      <c r="CW32" s="154">
        <f t="shared" si="167"/>
        <v>196</v>
      </c>
      <c r="CX32" s="154"/>
      <c r="CY32" s="154"/>
      <c r="CZ32" s="154"/>
      <c r="DA32" s="154">
        <f t="shared" si="168"/>
        <v>0</v>
      </c>
      <c r="DB32" s="154">
        <f t="shared" si="169"/>
        <v>1854</v>
      </c>
      <c r="DC32" s="171">
        <f t="shared" si="170"/>
        <v>40257</v>
      </c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1"/>
      <c r="DS32" s="1"/>
    </row>
    <row r="33" ht="15.75" customHeight="1">
      <c r="A33" s="167" t="s">
        <v>103</v>
      </c>
      <c r="B33" s="154">
        <v>4.0</v>
      </c>
      <c r="C33" s="154">
        <v>110.0</v>
      </c>
      <c r="D33" s="154">
        <v>2098.0</v>
      </c>
      <c r="E33" s="154">
        <v>8196.0</v>
      </c>
      <c r="F33" s="154">
        <v>51365.0</v>
      </c>
      <c r="G33" s="154">
        <f t="shared" si="136"/>
        <v>61773</v>
      </c>
      <c r="H33" s="154">
        <v>6622.0</v>
      </c>
      <c r="I33" s="154">
        <v>5254.0</v>
      </c>
      <c r="J33" s="154">
        <v>6933.0</v>
      </c>
      <c r="K33" s="156">
        <f t="shared" si="137"/>
        <v>18809</v>
      </c>
      <c r="L33" s="154">
        <v>3345.0</v>
      </c>
      <c r="M33" s="154">
        <v>5234.0</v>
      </c>
      <c r="N33" s="154">
        <v>5165.0</v>
      </c>
      <c r="O33" s="156">
        <f t="shared" si="138"/>
        <v>13744</v>
      </c>
      <c r="P33" s="154">
        <v>3767.0</v>
      </c>
      <c r="Q33" s="154">
        <v>3471.0</v>
      </c>
      <c r="R33" s="154">
        <v>2958.0</v>
      </c>
      <c r="S33" s="156">
        <f t="shared" si="139"/>
        <v>10196</v>
      </c>
      <c r="T33" s="154">
        <v>6031.0</v>
      </c>
      <c r="U33" s="154">
        <v>4269.0</v>
      </c>
      <c r="V33" s="154">
        <v>5389.0</v>
      </c>
      <c r="W33" s="156">
        <f t="shared" si="140"/>
        <v>15689</v>
      </c>
      <c r="X33" s="156">
        <f t="shared" si="141"/>
        <v>58438</v>
      </c>
      <c r="Y33" s="154">
        <v>3615.0</v>
      </c>
      <c r="Z33" s="154">
        <v>1128.0</v>
      </c>
      <c r="AA33" s="154">
        <v>2653.0</v>
      </c>
      <c r="AB33" s="156">
        <f t="shared" si="142"/>
        <v>7396</v>
      </c>
      <c r="AC33" s="154">
        <v>987.0</v>
      </c>
      <c r="AD33" s="154">
        <v>2257.0</v>
      </c>
      <c r="AE33" s="154">
        <v>2798.0</v>
      </c>
      <c r="AF33" s="156">
        <f t="shared" si="143"/>
        <v>6042</v>
      </c>
      <c r="AG33" s="154">
        <v>1921.0</v>
      </c>
      <c r="AH33" s="154">
        <v>1084.0</v>
      </c>
      <c r="AI33" s="154">
        <v>2265.0</v>
      </c>
      <c r="AJ33" s="156">
        <f t="shared" si="144"/>
        <v>5270</v>
      </c>
      <c r="AK33" s="154">
        <v>1317.0</v>
      </c>
      <c r="AL33" s="154">
        <v>1357.0</v>
      </c>
      <c r="AM33" s="154">
        <v>1160.0</v>
      </c>
      <c r="AN33" s="156">
        <f t="shared" si="145"/>
        <v>3834</v>
      </c>
      <c r="AO33" s="156">
        <f t="shared" si="146"/>
        <v>22542</v>
      </c>
      <c r="AP33" s="154">
        <v>67.0</v>
      </c>
      <c r="AQ33" s="154">
        <v>748.0</v>
      </c>
      <c r="AR33" s="156">
        <v>1517.0</v>
      </c>
      <c r="AS33" s="154">
        <f t="shared" si="147"/>
        <v>2332</v>
      </c>
      <c r="AT33" s="154">
        <v>845.0</v>
      </c>
      <c r="AU33" s="154">
        <v>2529.0</v>
      </c>
      <c r="AV33" s="154">
        <v>841.0</v>
      </c>
      <c r="AW33" s="154">
        <f t="shared" si="148"/>
        <v>4215</v>
      </c>
      <c r="AX33" s="154">
        <v>369.0</v>
      </c>
      <c r="AY33" s="154">
        <v>888.0</v>
      </c>
      <c r="AZ33" s="154">
        <v>250.0</v>
      </c>
      <c r="BA33" s="154">
        <f t="shared" si="149"/>
        <v>1507</v>
      </c>
      <c r="BB33" s="154">
        <v>1451.0</v>
      </c>
      <c r="BC33" s="154">
        <v>2161.0</v>
      </c>
      <c r="BD33" s="154">
        <v>369.0</v>
      </c>
      <c r="BE33" s="154">
        <f t="shared" si="150"/>
        <v>3981</v>
      </c>
      <c r="BF33" s="154">
        <f t="shared" si="151"/>
        <v>12035</v>
      </c>
      <c r="BG33" s="154">
        <v>287.0</v>
      </c>
      <c r="BH33" s="154">
        <v>1298.0</v>
      </c>
      <c r="BI33" s="154">
        <v>686.0</v>
      </c>
      <c r="BJ33" s="154">
        <f t="shared" si="152"/>
        <v>2271</v>
      </c>
      <c r="BK33" s="154">
        <v>701.0</v>
      </c>
      <c r="BL33" s="154">
        <v>670.0</v>
      </c>
      <c r="BM33" s="154">
        <v>556.0</v>
      </c>
      <c r="BN33" s="154">
        <f t="shared" si="153"/>
        <v>1927</v>
      </c>
      <c r="BO33" s="154">
        <v>556.0</v>
      </c>
      <c r="BP33" s="154">
        <v>492.0</v>
      </c>
      <c r="BQ33" s="154">
        <v>420.0</v>
      </c>
      <c r="BR33" s="154">
        <f t="shared" si="154"/>
        <v>1468</v>
      </c>
      <c r="BS33" s="154">
        <v>696.0</v>
      </c>
      <c r="BT33" s="154">
        <v>419.0</v>
      </c>
      <c r="BU33" s="154">
        <v>136.0</v>
      </c>
      <c r="BV33" s="154">
        <f t="shared" si="155"/>
        <v>1251</v>
      </c>
      <c r="BW33" s="154">
        <f t="shared" si="156"/>
        <v>6917</v>
      </c>
      <c r="BX33" s="154">
        <v>474.0</v>
      </c>
      <c r="BY33" s="154">
        <v>511.0</v>
      </c>
      <c r="BZ33" s="154">
        <f t="shared" si="157"/>
        <v>37</v>
      </c>
      <c r="CA33" s="154">
        <v>562.0</v>
      </c>
      <c r="CB33" s="154">
        <v>562.0</v>
      </c>
      <c r="CC33" s="154">
        <f t="shared" si="158"/>
        <v>0</v>
      </c>
      <c r="CD33" s="154">
        <v>63.0</v>
      </c>
      <c r="CE33" s="154">
        <v>552.0</v>
      </c>
      <c r="CF33" s="154">
        <f t="shared" si="159"/>
        <v>489</v>
      </c>
      <c r="CG33" s="154">
        <f t="shared" si="160"/>
        <v>2761</v>
      </c>
      <c r="CH33" s="154">
        <v>1026.0</v>
      </c>
      <c r="CI33" s="154">
        <v>500.0</v>
      </c>
      <c r="CJ33" s="154">
        <f t="shared" si="161"/>
        <v>-526</v>
      </c>
      <c r="CK33" s="154">
        <v>494.0</v>
      </c>
      <c r="CL33" s="154">
        <v>494.0</v>
      </c>
      <c r="CM33" s="154">
        <f t="shared" si="162"/>
        <v>0</v>
      </c>
      <c r="CN33" s="154">
        <v>474.0</v>
      </c>
      <c r="CO33" s="154">
        <v>474.0</v>
      </c>
      <c r="CP33" s="154">
        <f t="shared" si="163"/>
        <v>0</v>
      </c>
      <c r="CQ33" s="154">
        <f t="shared" si="164"/>
        <v>2936</v>
      </c>
      <c r="CR33" s="154">
        <v>267.0</v>
      </c>
      <c r="CS33" s="154">
        <f t="shared" si="165"/>
        <v>0</v>
      </c>
      <c r="CT33" s="154">
        <f t="shared" si="166"/>
        <v>267</v>
      </c>
      <c r="CU33" s="154"/>
      <c r="CV33" s="154"/>
      <c r="CW33" s="154">
        <f t="shared" si="167"/>
        <v>534</v>
      </c>
      <c r="CX33" s="154"/>
      <c r="CY33" s="154"/>
      <c r="CZ33" s="154"/>
      <c r="DA33" s="154">
        <f t="shared" si="168"/>
        <v>0</v>
      </c>
      <c r="DB33" s="154">
        <f t="shared" si="169"/>
        <v>6231</v>
      </c>
      <c r="DC33" s="171">
        <f t="shared" si="170"/>
        <v>167936</v>
      </c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22"/>
      <c r="DR33" s="1"/>
      <c r="DS33" s="1"/>
    </row>
    <row r="34" ht="15.75" customHeight="1">
      <c r="A34" s="169" t="s">
        <v>104</v>
      </c>
      <c r="B34" s="154">
        <v>1172.0</v>
      </c>
      <c r="C34" s="154">
        <v>155.0</v>
      </c>
      <c r="D34" s="154">
        <v>1987.0</v>
      </c>
      <c r="E34" s="154">
        <v>1979.0</v>
      </c>
      <c r="F34" s="154">
        <v>14598.0</v>
      </c>
      <c r="G34" s="154">
        <f t="shared" si="136"/>
        <v>19891</v>
      </c>
      <c r="H34" s="154">
        <v>2157.0</v>
      </c>
      <c r="I34" s="154">
        <v>2959.0</v>
      </c>
      <c r="J34" s="154">
        <v>5057.0</v>
      </c>
      <c r="K34" s="156">
        <f t="shared" si="137"/>
        <v>10173</v>
      </c>
      <c r="L34" s="154">
        <v>3692.0</v>
      </c>
      <c r="M34" s="154">
        <v>1050.0</v>
      </c>
      <c r="N34" s="154">
        <v>1689.0</v>
      </c>
      <c r="O34" s="156">
        <f t="shared" si="138"/>
        <v>6431</v>
      </c>
      <c r="P34" s="154">
        <v>1386.0</v>
      </c>
      <c r="Q34" s="154">
        <v>1869.0</v>
      </c>
      <c r="R34" s="154">
        <v>1347.0</v>
      </c>
      <c r="S34" s="156">
        <f t="shared" si="139"/>
        <v>4602</v>
      </c>
      <c r="T34" s="154">
        <v>1754.0</v>
      </c>
      <c r="U34" s="154">
        <v>1755.0</v>
      </c>
      <c r="V34" s="154">
        <v>1944.0</v>
      </c>
      <c r="W34" s="156">
        <f t="shared" si="140"/>
        <v>5453</v>
      </c>
      <c r="X34" s="156">
        <f t="shared" si="141"/>
        <v>26659</v>
      </c>
      <c r="Y34" s="154">
        <v>1615.0</v>
      </c>
      <c r="Z34" s="154">
        <v>692.0</v>
      </c>
      <c r="AA34" s="154">
        <v>477.0</v>
      </c>
      <c r="AB34" s="156">
        <f t="shared" si="142"/>
        <v>2784</v>
      </c>
      <c r="AC34" s="154">
        <v>631.0</v>
      </c>
      <c r="AD34" s="154">
        <v>775.0</v>
      </c>
      <c r="AE34" s="154">
        <v>240.0</v>
      </c>
      <c r="AF34" s="156">
        <f t="shared" si="143"/>
        <v>1646</v>
      </c>
      <c r="AG34" s="154">
        <v>406.0</v>
      </c>
      <c r="AH34" s="154">
        <v>781.0</v>
      </c>
      <c r="AI34" s="154">
        <v>834.0</v>
      </c>
      <c r="AJ34" s="156">
        <f t="shared" si="144"/>
        <v>2021</v>
      </c>
      <c r="AK34" s="154">
        <v>1334.0</v>
      </c>
      <c r="AL34" s="154">
        <v>597.0</v>
      </c>
      <c r="AM34" s="154">
        <v>423.0</v>
      </c>
      <c r="AN34" s="156">
        <f t="shared" si="145"/>
        <v>2354</v>
      </c>
      <c r="AO34" s="156">
        <f t="shared" si="146"/>
        <v>8805</v>
      </c>
      <c r="AP34" s="154">
        <v>268.0</v>
      </c>
      <c r="AQ34" s="154">
        <v>246.0</v>
      </c>
      <c r="AR34" s="156">
        <v>668.0</v>
      </c>
      <c r="AS34" s="154">
        <f t="shared" si="147"/>
        <v>1182</v>
      </c>
      <c r="AT34" s="154">
        <v>96.0</v>
      </c>
      <c r="AU34" s="154">
        <v>277.0</v>
      </c>
      <c r="AV34" s="154">
        <v>154.0</v>
      </c>
      <c r="AW34" s="154">
        <f t="shared" si="148"/>
        <v>527</v>
      </c>
      <c r="AX34" s="154">
        <v>150.0</v>
      </c>
      <c r="AY34" s="154">
        <v>134.0</v>
      </c>
      <c r="AZ34" s="154">
        <v>403.0</v>
      </c>
      <c r="BA34" s="154">
        <f t="shared" si="149"/>
        <v>687</v>
      </c>
      <c r="BB34" s="154">
        <v>370.0</v>
      </c>
      <c r="BC34" s="154">
        <v>156.0</v>
      </c>
      <c r="BD34" s="154">
        <v>35.0</v>
      </c>
      <c r="BE34" s="154">
        <f t="shared" si="150"/>
        <v>561</v>
      </c>
      <c r="BF34" s="154">
        <f t="shared" si="151"/>
        <v>2957</v>
      </c>
      <c r="BG34" s="154">
        <v>156.0</v>
      </c>
      <c r="BH34" s="154">
        <v>228.0</v>
      </c>
      <c r="BI34" s="154">
        <v>151.0</v>
      </c>
      <c r="BJ34" s="154">
        <f t="shared" si="152"/>
        <v>535</v>
      </c>
      <c r="BK34" s="154">
        <v>270.0</v>
      </c>
      <c r="BL34" s="154">
        <v>147.0</v>
      </c>
      <c r="BM34" s="154">
        <v>101.0</v>
      </c>
      <c r="BN34" s="154">
        <f t="shared" si="153"/>
        <v>518</v>
      </c>
      <c r="BO34" s="154">
        <v>183.0</v>
      </c>
      <c r="BP34" s="154">
        <v>231.0</v>
      </c>
      <c r="BQ34" s="154">
        <v>184.0</v>
      </c>
      <c r="BR34" s="154">
        <f t="shared" si="154"/>
        <v>598</v>
      </c>
      <c r="BS34" s="154">
        <v>279.0</v>
      </c>
      <c r="BT34" s="154">
        <v>208.0</v>
      </c>
      <c r="BU34" s="154">
        <v>107.0</v>
      </c>
      <c r="BV34" s="154">
        <f t="shared" si="155"/>
        <v>594</v>
      </c>
      <c r="BW34" s="154">
        <f t="shared" si="156"/>
        <v>2245</v>
      </c>
      <c r="BX34" s="154">
        <v>303.0</v>
      </c>
      <c r="BY34" s="154">
        <v>307.0</v>
      </c>
      <c r="BZ34" s="154">
        <f t="shared" si="157"/>
        <v>4</v>
      </c>
      <c r="CA34" s="154">
        <v>263.0</v>
      </c>
      <c r="CB34" s="154">
        <v>264.0</v>
      </c>
      <c r="CC34" s="154">
        <f t="shared" si="158"/>
        <v>1</v>
      </c>
      <c r="CD34" s="154">
        <v>25.0</v>
      </c>
      <c r="CE34" s="154">
        <v>232.0</v>
      </c>
      <c r="CF34" s="154">
        <f t="shared" si="159"/>
        <v>207</v>
      </c>
      <c r="CG34" s="154">
        <f t="shared" si="160"/>
        <v>1399</v>
      </c>
      <c r="CH34" s="154">
        <v>327.0</v>
      </c>
      <c r="CI34" s="154">
        <f>1+114</f>
        <v>115</v>
      </c>
      <c r="CJ34" s="154">
        <f t="shared" si="161"/>
        <v>-212</v>
      </c>
      <c r="CK34" s="154">
        <v>128.0</v>
      </c>
      <c r="CL34" s="154">
        <v>128.0</v>
      </c>
      <c r="CM34" s="154">
        <f t="shared" si="162"/>
        <v>0</v>
      </c>
      <c r="CN34" s="154">
        <v>331.0</v>
      </c>
      <c r="CO34" s="154">
        <f>331+0</f>
        <v>331</v>
      </c>
      <c r="CP34" s="154">
        <f t="shared" si="163"/>
        <v>0</v>
      </c>
      <c r="CQ34" s="154">
        <f>SUM(CH34:CN34)</f>
        <v>817</v>
      </c>
      <c r="CR34" s="154">
        <f>145+1</f>
        <v>146</v>
      </c>
      <c r="CS34" s="154">
        <f t="shared" si="165"/>
        <v>0</v>
      </c>
      <c r="CT34" s="154">
        <f t="shared" si="166"/>
        <v>146</v>
      </c>
      <c r="CU34" s="154"/>
      <c r="CV34" s="154"/>
      <c r="CW34" s="154">
        <f t="shared" si="167"/>
        <v>292</v>
      </c>
      <c r="CX34" s="154"/>
      <c r="CY34" s="154"/>
      <c r="CZ34" s="154"/>
      <c r="DA34" s="154">
        <f t="shared" si="168"/>
        <v>0</v>
      </c>
      <c r="DB34" s="154">
        <f t="shared" si="169"/>
        <v>2508</v>
      </c>
      <c r="DC34" s="171">
        <f t="shared" si="170"/>
        <v>63065</v>
      </c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1"/>
      <c r="DS34" s="1"/>
    </row>
    <row r="35" ht="15.75" customHeight="1">
      <c r="A35" s="167" t="s">
        <v>105</v>
      </c>
      <c r="B35" s="154">
        <v>42.0</v>
      </c>
      <c r="C35" s="154">
        <v>269.0</v>
      </c>
      <c r="D35" s="154">
        <v>3178.0</v>
      </c>
      <c r="E35" s="154">
        <v>4939.0</v>
      </c>
      <c r="F35" s="154">
        <v>18901.0</v>
      </c>
      <c r="G35" s="154">
        <f t="shared" si="136"/>
        <v>27329</v>
      </c>
      <c r="H35" s="154">
        <v>10504.0</v>
      </c>
      <c r="I35" s="154">
        <v>7906.0</v>
      </c>
      <c r="J35" s="154">
        <v>7994.0</v>
      </c>
      <c r="K35" s="156">
        <f t="shared" si="137"/>
        <v>26404</v>
      </c>
      <c r="L35" s="154">
        <v>3503.0</v>
      </c>
      <c r="M35" s="154">
        <v>2332.0</v>
      </c>
      <c r="N35" s="154">
        <v>2729.0</v>
      </c>
      <c r="O35" s="156">
        <f t="shared" si="138"/>
        <v>8564</v>
      </c>
      <c r="P35" s="154">
        <v>2080.0</v>
      </c>
      <c r="Q35" s="154">
        <v>1550.0</v>
      </c>
      <c r="R35" s="154">
        <v>1483.0</v>
      </c>
      <c r="S35" s="156">
        <f t="shared" si="139"/>
        <v>5113</v>
      </c>
      <c r="T35" s="154">
        <v>2043.0</v>
      </c>
      <c r="U35" s="154">
        <v>1161.0</v>
      </c>
      <c r="V35" s="154">
        <v>1956.0</v>
      </c>
      <c r="W35" s="156">
        <f t="shared" si="140"/>
        <v>5160</v>
      </c>
      <c r="X35" s="156">
        <f t="shared" si="141"/>
        <v>45241</v>
      </c>
      <c r="Y35" s="154">
        <v>1433.0</v>
      </c>
      <c r="Z35" s="154">
        <v>490.0</v>
      </c>
      <c r="AA35" s="154">
        <v>793.0</v>
      </c>
      <c r="AB35" s="156">
        <f t="shared" si="142"/>
        <v>2716</v>
      </c>
      <c r="AC35" s="154">
        <v>211.0</v>
      </c>
      <c r="AD35" s="154">
        <v>458.0</v>
      </c>
      <c r="AE35" s="154">
        <v>511.0</v>
      </c>
      <c r="AF35" s="156">
        <f t="shared" si="143"/>
        <v>1180</v>
      </c>
      <c r="AG35" s="154">
        <v>434.0</v>
      </c>
      <c r="AH35" s="154">
        <v>460.0</v>
      </c>
      <c r="AI35" s="154">
        <v>619.0</v>
      </c>
      <c r="AJ35" s="156">
        <f t="shared" si="144"/>
        <v>1513</v>
      </c>
      <c r="AK35" s="154">
        <v>504.0</v>
      </c>
      <c r="AL35" s="154">
        <v>351.0</v>
      </c>
      <c r="AM35" s="154">
        <v>127.0</v>
      </c>
      <c r="AN35" s="156">
        <f t="shared" si="145"/>
        <v>982</v>
      </c>
      <c r="AO35" s="156">
        <f t="shared" si="146"/>
        <v>6391</v>
      </c>
      <c r="AP35" s="154">
        <v>83.0</v>
      </c>
      <c r="AQ35" s="154">
        <v>53.0</v>
      </c>
      <c r="AR35" s="156">
        <v>81.0</v>
      </c>
      <c r="AS35" s="154">
        <f t="shared" si="147"/>
        <v>217</v>
      </c>
      <c r="AT35" s="154">
        <v>61.0</v>
      </c>
      <c r="AU35" s="154">
        <v>62.0</v>
      </c>
      <c r="AV35" s="154">
        <v>1.0</v>
      </c>
      <c r="AW35" s="154">
        <f t="shared" si="148"/>
        <v>124</v>
      </c>
      <c r="AX35" s="154">
        <v>256.0</v>
      </c>
      <c r="AY35" s="154">
        <v>312.0</v>
      </c>
      <c r="AZ35" s="154">
        <v>187.0</v>
      </c>
      <c r="BA35" s="154">
        <f t="shared" si="149"/>
        <v>755</v>
      </c>
      <c r="BB35" s="154">
        <v>355.0</v>
      </c>
      <c r="BC35" s="154">
        <v>252.0</v>
      </c>
      <c r="BD35" s="154">
        <v>151.0</v>
      </c>
      <c r="BE35" s="154">
        <f t="shared" si="150"/>
        <v>758</v>
      </c>
      <c r="BF35" s="154">
        <f t="shared" si="151"/>
        <v>1854</v>
      </c>
      <c r="BG35" s="154">
        <v>109.0</v>
      </c>
      <c r="BH35" s="154">
        <v>377.0</v>
      </c>
      <c r="BI35" s="154">
        <v>239.0</v>
      </c>
      <c r="BJ35" s="154">
        <f t="shared" si="152"/>
        <v>725</v>
      </c>
      <c r="BK35" s="154">
        <v>289.0</v>
      </c>
      <c r="BL35" s="154">
        <v>234.0</v>
      </c>
      <c r="BM35" s="154">
        <v>49.0</v>
      </c>
      <c r="BN35" s="154">
        <f t="shared" si="153"/>
        <v>572</v>
      </c>
      <c r="BO35" s="154">
        <v>235.0</v>
      </c>
      <c r="BP35" s="154">
        <v>191.0</v>
      </c>
      <c r="BQ35" s="154">
        <v>256.0</v>
      </c>
      <c r="BR35" s="154">
        <f t="shared" si="154"/>
        <v>682</v>
      </c>
      <c r="BS35" s="154">
        <v>142.0</v>
      </c>
      <c r="BT35" s="154">
        <v>156.0</v>
      </c>
      <c r="BU35" s="154">
        <v>252.0</v>
      </c>
      <c r="BV35" s="154">
        <f t="shared" si="155"/>
        <v>550</v>
      </c>
      <c r="BW35" s="154">
        <f t="shared" si="156"/>
        <v>2529</v>
      </c>
      <c r="BX35" s="154">
        <v>6.0</v>
      </c>
      <c r="BY35" s="154">
        <v>71.0</v>
      </c>
      <c r="BZ35" s="154">
        <f t="shared" si="157"/>
        <v>65</v>
      </c>
      <c r="CA35" s="154">
        <v>237.0</v>
      </c>
      <c r="CB35" s="154">
        <v>237.0</v>
      </c>
      <c r="CC35" s="154">
        <f t="shared" si="158"/>
        <v>0</v>
      </c>
      <c r="CD35" s="154">
        <v>84.0</v>
      </c>
      <c r="CE35" s="154">
        <v>251.0</v>
      </c>
      <c r="CF35" s="154">
        <f t="shared" si="159"/>
        <v>167</v>
      </c>
      <c r="CG35" s="154">
        <f t="shared" si="160"/>
        <v>951</v>
      </c>
      <c r="CH35" s="154">
        <v>412.0</v>
      </c>
      <c r="CI35" s="154">
        <v>180.0</v>
      </c>
      <c r="CJ35" s="154">
        <f t="shared" si="161"/>
        <v>-232</v>
      </c>
      <c r="CK35" s="154">
        <v>180.0</v>
      </c>
      <c r="CL35" s="154">
        <v>180.0</v>
      </c>
      <c r="CM35" s="154">
        <f t="shared" si="162"/>
        <v>0</v>
      </c>
      <c r="CN35" s="154">
        <v>179.0</v>
      </c>
      <c r="CO35" s="154">
        <v>180.0</v>
      </c>
      <c r="CP35" s="154">
        <f t="shared" si="163"/>
        <v>1</v>
      </c>
      <c r="CQ35" s="154">
        <f>SUM(CH35:CO35)</f>
        <v>1079</v>
      </c>
      <c r="CR35" s="154">
        <v>197.0</v>
      </c>
      <c r="CS35" s="154">
        <f t="shared" si="165"/>
        <v>1</v>
      </c>
      <c r="CT35" s="154">
        <f t="shared" si="166"/>
        <v>198</v>
      </c>
      <c r="CU35" s="154"/>
      <c r="CV35" s="154"/>
      <c r="CW35" s="154">
        <f t="shared" si="167"/>
        <v>396</v>
      </c>
      <c r="CX35" s="154"/>
      <c r="CY35" s="154"/>
      <c r="CZ35" s="154"/>
      <c r="DA35" s="154">
        <f t="shared" si="168"/>
        <v>0</v>
      </c>
      <c r="DB35" s="154">
        <f t="shared" si="169"/>
        <v>2426</v>
      </c>
      <c r="DC35" s="171">
        <f t="shared" si="170"/>
        <v>85770</v>
      </c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1"/>
      <c r="DS35" s="1"/>
    </row>
    <row r="36" ht="15.75" customHeight="1">
      <c r="A36" s="169" t="s">
        <v>106</v>
      </c>
      <c r="B36" s="154">
        <v>272.0</v>
      </c>
      <c r="C36" s="154">
        <v>173.0</v>
      </c>
      <c r="D36" s="154">
        <v>1588.0</v>
      </c>
      <c r="E36" s="154">
        <v>813.0</v>
      </c>
      <c r="F36" s="154">
        <v>7596.0</v>
      </c>
      <c r="G36" s="154">
        <f t="shared" si="136"/>
        <v>10442</v>
      </c>
      <c r="H36" s="154">
        <v>2518.0</v>
      </c>
      <c r="I36" s="154">
        <v>2465.0</v>
      </c>
      <c r="J36" s="154">
        <v>2991.0</v>
      </c>
      <c r="K36" s="156">
        <f t="shared" si="137"/>
        <v>7974</v>
      </c>
      <c r="L36" s="154">
        <v>1082.0</v>
      </c>
      <c r="M36" s="154">
        <v>1737.0</v>
      </c>
      <c r="N36" s="154">
        <v>280.0</v>
      </c>
      <c r="O36" s="156">
        <f t="shared" si="138"/>
        <v>3099</v>
      </c>
      <c r="P36" s="154">
        <v>816.0</v>
      </c>
      <c r="Q36" s="154">
        <v>1296.0</v>
      </c>
      <c r="R36" s="154">
        <v>538.0</v>
      </c>
      <c r="S36" s="156">
        <f t="shared" si="139"/>
        <v>2650</v>
      </c>
      <c r="T36" s="154">
        <v>1889.0</v>
      </c>
      <c r="U36" s="154">
        <v>789.0</v>
      </c>
      <c r="V36" s="154">
        <v>682.0</v>
      </c>
      <c r="W36" s="156">
        <f t="shared" si="140"/>
        <v>3360</v>
      </c>
      <c r="X36" s="156">
        <f t="shared" si="141"/>
        <v>17083</v>
      </c>
      <c r="Y36" s="154">
        <v>1385.0</v>
      </c>
      <c r="Z36" s="154">
        <v>244.0</v>
      </c>
      <c r="AA36" s="154">
        <v>882.0</v>
      </c>
      <c r="AB36" s="156">
        <f t="shared" si="142"/>
        <v>2511</v>
      </c>
      <c r="AC36" s="154">
        <v>361.0</v>
      </c>
      <c r="AD36" s="154">
        <v>125.0</v>
      </c>
      <c r="AE36" s="154">
        <v>879.0</v>
      </c>
      <c r="AF36" s="156">
        <f t="shared" si="143"/>
        <v>1365</v>
      </c>
      <c r="AG36" s="154">
        <v>66.0</v>
      </c>
      <c r="AH36" s="154">
        <v>589.0</v>
      </c>
      <c r="AI36" s="154">
        <v>307.0</v>
      </c>
      <c r="AJ36" s="156">
        <f t="shared" si="144"/>
        <v>962</v>
      </c>
      <c r="AK36" s="154">
        <v>157.0</v>
      </c>
      <c r="AL36" s="154">
        <v>91.0</v>
      </c>
      <c r="AM36" s="154">
        <v>643.0</v>
      </c>
      <c r="AN36" s="156">
        <f t="shared" si="145"/>
        <v>891</v>
      </c>
      <c r="AO36" s="156">
        <f t="shared" si="146"/>
        <v>5729</v>
      </c>
      <c r="AP36" s="154">
        <v>264.0</v>
      </c>
      <c r="AQ36" s="154">
        <v>193.0</v>
      </c>
      <c r="AR36" s="156">
        <v>137.0</v>
      </c>
      <c r="AS36" s="154">
        <f t="shared" si="147"/>
        <v>594</v>
      </c>
      <c r="AT36" s="154">
        <v>101.0</v>
      </c>
      <c r="AU36" s="154">
        <v>42.0</v>
      </c>
      <c r="AV36" s="154">
        <v>174.0</v>
      </c>
      <c r="AW36" s="154">
        <f t="shared" si="148"/>
        <v>317</v>
      </c>
      <c r="AX36" s="154">
        <v>112.0</v>
      </c>
      <c r="AY36" s="154">
        <v>105.0</v>
      </c>
      <c r="AZ36" s="154">
        <v>217.0</v>
      </c>
      <c r="BA36" s="154">
        <f t="shared" si="149"/>
        <v>434</v>
      </c>
      <c r="BB36" s="154">
        <v>77.0</v>
      </c>
      <c r="BC36" s="154">
        <v>388.0</v>
      </c>
      <c r="BD36" s="154">
        <v>6.0</v>
      </c>
      <c r="BE36" s="154">
        <f t="shared" si="150"/>
        <v>471</v>
      </c>
      <c r="BF36" s="154">
        <f t="shared" si="151"/>
        <v>1816</v>
      </c>
      <c r="BG36" s="154">
        <v>565.0</v>
      </c>
      <c r="BH36" s="154">
        <v>328.0</v>
      </c>
      <c r="BI36" s="154">
        <v>242.0</v>
      </c>
      <c r="BJ36" s="154">
        <f t="shared" si="152"/>
        <v>1135</v>
      </c>
      <c r="BK36" s="154">
        <v>384.0</v>
      </c>
      <c r="BL36" s="154">
        <v>128.0</v>
      </c>
      <c r="BM36" s="154">
        <v>351.0</v>
      </c>
      <c r="BN36" s="154">
        <f t="shared" si="153"/>
        <v>863</v>
      </c>
      <c r="BO36" s="154">
        <v>52.0</v>
      </c>
      <c r="BP36" s="154">
        <v>184.0</v>
      </c>
      <c r="BQ36" s="154">
        <v>150.0</v>
      </c>
      <c r="BR36" s="154">
        <f t="shared" si="154"/>
        <v>386</v>
      </c>
      <c r="BS36" s="154">
        <v>148.0</v>
      </c>
      <c r="BT36" s="154">
        <v>141.0</v>
      </c>
      <c r="BU36" s="154">
        <v>116.0</v>
      </c>
      <c r="BV36" s="154">
        <f t="shared" si="155"/>
        <v>405</v>
      </c>
      <c r="BW36" s="154">
        <f t="shared" si="156"/>
        <v>2789</v>
      </c>
      <c r="BX36" s="154">
        <v>79.0</v>
      </c>
      <c r="BY36" s="154">
        <v>78.0</v>
      </c>
      <c r="BZ36" s="154">
        <f t="shared" si="157"/>
        <v>-1</v>
      </c>
      <c r="CA36" s="154">
        <v>159.0</v>
      </c>
      <c r="CB36" s="154">
        <v>155.0</v>
      </c>
      <c r="CC36" s="154">
        <f t="shared" si="158"/>
        <v>-4</v>
      </c>
      <c r="CD36" s="154">
        <v>185.0</v>
      </c>
      <c r="CE36" s="154">
        <v>194.0</v>
      </c>
      <c r="CF36" s="154">
        <f t="shared" si="159"/>
        <v>9</v>
      </c>
      <c r="CG36" s="154">
        <f t="shared" si="160"/>
        <v>845</v>
      </c>
      <c r="CH36" s="154">
        <v>209.0</v>
      </c>
      <c r="CI36" s="154">
        <f>175+30</f>
        <v>205</v>
      </c>
      <c r="CJ36" s="154">
        <f t="shared" si="161"/>
        <v>-4</v>
      </c>
      <c r="CK36" s="154">
        <v>7.0</v>
      </c>
      <c r="CL36" s="154">
        <v>7.0</v>
      </c>
      <c r="CM36" s="154">
        <f t="shared" si="162"/>
        <v>0</v>
      </c>
      <c r="CN36" s="154">
        <v>104.0</v>
      </c>
      <c r="CO36" s="154">
        <f>104+0</f>
        <v>104</v>
      </c>
      <c r="CP36" s="154">
        <f t="shared" si="163"/>
        <v>0</v>
      </c>
      <c r="CQ36" s="154">
        <f>SUM(CH36:CN36)</f>
        <v>528</v>
      </c>
      <c r="CR36" s="154">
        <f>238+22</f>
        <v>260</v>
      </c>
      <c r="CS36" s="154">
        <f t="shared" si="165"/>
        <v>0</v>
      </c>
      <c r="CT36" s="154">
        <f t="shared" si="166"/>
        <v>260</v>
      </c>
      <c r="CU36" s="154"/>
      <c r="CV36" s="154"/>
      <c r="CW36" s="154">
        <f t="shared" si="167"/>
        <v>520</v>
      </c>
      <c r="CX36" s="154"/>
      <c r="CY36" s="154"/>
      <c r="CZ36" s="154"/>
      <c r="DA36" s="154">
        <f t="shared" si="168"/>
        <v>0</v>
      </c>
      <c r="DB36" s="154">
        <f t="shared" si="169"/>
        <v>1893</v>
      </c>
      <c r="DC36" s="171">
        <f t="shared" si="170"/>
        <v>39752</v>
      </c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1"/>
      <c r="DS36" s="1"/>
    </row>
    <row r="37" ht="15.75" customHeight="1">
      <c r="A37" s="137" t="s">
        <v>107</v>
      </c>
      <c r="B37" s="141">
        <f t="shared" ref="B37:DC37" si="171">SUM(B38:B42)</f>
        <v>237</v>
      </c>
      <c r="C37" s="141">
        <f t="shared" si="171"/>
        <v>890</v>
      </c>
      <c r="D37" s="141">
        <f t="shared" si="171"/>
        <v>17557</v>
      </c>
      <c r="E37" s="141">
        <f t="shared" si="171"/>
        <v>38121</v>
      </c>
      <c r="F37" s="141">
        <f t="shared" si="171"/>
        <v>15534</v>
      </c>
      <c r="G37" s="141">
        <f t="shared" si="171"/>
        <v>72339</v>
      </c>
      <c r="H37" s="141">
        <f t="shared" si="171"/>
        <v>2404</v>
      </c>
      <c r="I37" s="141">
        <f t="shared" si="171"/>
        <v>5385</v>
      </c>
      <c r="J37" s="141">
        <f t="shared" si="171"/>
        <v>3738</v>
      </c>
      <c r="K37" s="142">
        <f t="shared" si="171"/>
        <v>11527</v>
      </c>
      <c r="L37" s="141">
        <f t="shared" si="171"/>
        <v>12793</v>
      </c>
      <c r="M37" s="141">
        <f t="shared" si="171"/>
        <v>10761</v>
      </c>
      <c r="N37" s="141">
        <f t="shared" si="171"/>
        <v>7092</v>
      </c>
      <c r="O37" s="142">
        <f t="shared" si="171"/>
        <v>30646</v>
      </c>
      <c r="P37" s="141">
        <f t="shared" si="171"/>
        <v>4745</v>
      </c>
      <c r="Q37" s="141">
        <f t="shared" si="171"/>
        <v>6898</v>
      </c>
      <c r="R37" s="141">
        <f t="shared" si="171"/>
        <v>10596</v>
      </c>
      <c r="S37" s="142">
        <f t="shared" si="171"/>
        <v>22239</v>
      </c>
      <c r="T37" s="141">
        <f t="shared" si="171"/>
        <v>12378</v>
      </c>
      <c r="U37" s="141">
        <f t="shared" si="171"/>
        <v>14114</v>
      </c>
      <c r="V37" s="141">
        <f t="shared" si="171"/>
        <v>20081</v>
      </c>
      <c r="W37" s="142">
        <f t="shared" si="171"/>
        <v>46573</v>
      </c>
      <c r="X37" s="142">
        <f t="shared" si="171"/>
        <v>110985</v>
      </c>
      <c r="Y37" s="141">
        <f t="shared" si="171"/>
        <v>1706</v>
      </c>
      <c r="Z37" s="141">
        <f t="shared" si="171"/>
        <v>2747</v>
      </c>
      <c r="AA37" s="141">
        <f t="shared" si="171"/>
        <v>7732</v>
      </c>
      <c r="AB37" s="142">
        <f t="shared" si="171"/>
        <v>12185</v>
      </c>
      <c r="AC37" s="141">
        <f t="shared" si="171"/>
        <v>5460</v>
      </c>
      <c r="AD37" s="141">
        <f t="shared" si="171"/>
        <v>2318</v>
      </c>
      <c r="AE37" s="141">
        <f t="shared" si="171"/>
        <v>4539</v>
      </c>
      <c r="AF37" s="142">
        <f t="shared" si="171"/>
        <v>12317</v>
      </c>
      <c r="AG37" s="141">
        <f t="shared" si="171"/>
        <v>8057</v>
      </c>
      <c r="AH37" s="141">
        <f t="shared" si="171"/>
        <v>1792</v>
      </c>
      <c r="AI37" s="141">
        <f t="shared" si="171"/>
        <v>3154</v>
      </c>
      <c r="AJ37" s="142">
        <f t="shared" si="171"/>
        <v>13003</v>
      </c>
      <c r="AK37" s="141">
        <f t="shared" si="171"/>
        <v>9518</v>
      </c>
      <c r="AL37" s="141">
        <f t="shared" si="171"/>
        <v>11265</v>
      </c>
      <c r="AM37" s="141">
        <f t="shared" si="171"/>
        <v>7607</v>
      </c>
      <c r="AN37" s="142">
        <f t="shared" si="171"/>
        <v>28390</v>
      </c>
      <c r="AO37" s="142">
        <f t="shared" si="171"/>
        <v>65895</v>
      </c>
      <c r="AP37" s="141">
        <f t="shared" si="171"/>
        <v>2235</v>
      </c>
      <c r="AQ37" s="141">
        <f t="shared" si="171"/>
        <v>4845</v>
      </c>
      <c r="AR37" s="142">
        <f t="shared" si="171"/>
        <v>4011</v>
      </c>
      <c r="AS37" s="141">
        <f t="shared" si="171"/>
        <v>11091</v>
      </c>
      <c r="AT37" s="141">
        <f t="shared" si="171"/>
        <v>790</v>
      </c>
      <c r="AU37" s="141">
        <f t="shared" si="171"/>
        <v>20</v>
      </c>
      <c r="AV37" s="141">
        <f t="shared" si="171"/>
        <v>7</v>
      </c>
      <c r="AW37" s="142">
        <f t="shared" si="171"/>
        <v>817</v>
      </c>
      <c r="AX37" s="141">
        <f t="shared" si="171"/>
        <v>5787</v>
      </c>
      <c r="AY37" s="141">
        <f t="shared" si="171"/>
        <v>5506</v>
      </c>
      <c r="AZ37" s="141">
        <f t="shared" si="171"/>
        <v>1923</v>
      </c>
      <c r="BA37" s="142">
        <f t="shared" si="171"/>
        <v>13216</v>
      </c>
      <c r="BB37" s="141">
        <f t="shared" si="171"/>
        <v>236</v>
      </c>
      <c r="BC37" s="141">
        <f t="shared" si="171"/>
        <v>923</v>
      </c>
      <c r="BD37" s="141">
        <f t="shared" si="171"/>
        <v>401</v>
      </c>
      <c r="BE37" s="142">
        <f t="shared" si="171"/>
        <v>1560</v>
      </c>
      <c r="BF37" s="141">
        <f t="shared" si="171"/>
        <v>26684</v>
      </c>
      <c r="BG37" s="141">
        <f t="shared" si="171"/>
        <v>3602</v>
      </c>
      <c r="BH37" s="141">
        <f t="shared" si="171"/>
        <v>3713</v>
      </c>
      <c r="BI37" s="141">
        <f t="shared" si="171"/>
        <v>2471</v>
      </c>
      <c r="BJ37" s="141">
        <f t="shared" si="171"/>
        <v>9786</v>
      </c>
      <c r="BK37" s="141">
        <f t="shared" si="171"/>
        <v>805</v>
      </c>
      <c r="BL37" s="141">
        <f t="shared" si="171"/>
        <v>1868</v>
      </c>
      <c r="BM37" s="141">
        <f t="shared" si="171"/>
        <v>1795</v>
      </c>
      <c r="BN37" s="141">
        <f t="shared" si="171"/>
        <v>4468</v>
      </c>
      <c r="BO37" s="141">
        <f t="shared" si="171"/>
        <v>1489</v>
      </c>
      <c r="BP37" s="141">
        <f t="shared" si="171"/>
        <v>1055</v>
      </c>
      <c r="BQ37" s="141">
        <f t="shared" si="171"/>
        <v>1161</v>
      </c>
      <c r="BR37" s="141">
        <f t="shared" si="171"/>
        <v>3705</v>
      </c>
      <c r="BS37" s="141">
        <f t="shared" si="171"/>
        <v>2744</v>
      </c>
      <c r="BT37" s="141">
        <f t="shared" si="171"/>
        <v>868</v>
      </c>
      <c r="BU37" s="141">
        <f t="shared" si="171"/>
        <v>1725</v>
      </c>
      <c r="BV37" s="141">
        <f t="shared" si="171"/>
        <v>5337</v>
      </c>
      <c r="BW37" s="141">
        <f t="shared" si="171"/>
        <v>23296</v>
      </c>
      <c r="BX37" s="141">
        <f t="shared" si="171"/>
        <v>1912</v>
      </c>
      <c r="BY37" s="141">
        <f t="shared" si="171"/>
        <v>3972</v>
      </c>
      <c r="BZ37" s="141">
        <f t="shared" si="171"/>
        <v>2060</v>
      </c>
      <c r="CA37" s="141">
        <f t="shared" si="171"/>
        <v>1368</v>
      </c>
      <c r="CB37" s="141">
        <f t="shared" si="171"/>
        <v>1259</v>
      </c>
      <c r="CC37" s="141">
        <f t="shared" si="171"/>
        <v>-109</v>
      </c>
      <c r="CD37" s="141">
        <f t="shared" si="171"/>
        <v>870</v>
      </c>
      <c r="CE37" s="141">
        <f t="shared" si="171"/>
        <v>1798</v>
      </c>
      <c r="CF37" s="141">
        <f t="shared" si="171"/>
        <v>928</v>
      </c>
      <c r="CG37" s="141">
        <f t="shared" si="171"/>
        <v>12044</v>
      </c>
      <c r="CH37" s="141">
        <f t="shared" si="171"/>
        <v>1320</v>
      </c>
      <c r="CI37" s="141">
        <f t="shared" si="171"/>
        <v>1320</v>
      </c>
      <c r="CJ37" s="141">
        <f t="shared" si="171"/>
        <v>0</v>
      </c>
      <c r="CK37" s="141">
        <f t="shared" si="171"/>
        <v>1132</v>
      </c>
      <c r="CL37" s="141">
        <f t="shared" si="171"/>
        <v>1132</v>
      </c>
      <c r="CM37" s="141">
        <f t="shared" si="171"/>
        <v>0</v>
      </c>
      <c r="CN37" s="141">
        <f t="shared" si="171"/>
        <v>943</v>
      </c>
      <c r="CO37" s="141">
        <f t="shared" si="171"/>
        <v>943</v>
      </c>
      <c r="CP37" s="141">
        <f t="shared" si="171"/>
        <v>0</v>
      </c>
      <c r="CQ37" s="141">
        <f t="shared" si="171"/>
        <v>6581</v>
      </c>
      <c r="CR37" s="141">
        <f t="shared" si="171"/>
        <v>2008</v>
      </c>
      <c r="CS37" s="141">
        <f t="shared" si="171"/>
        <v>2879</v>
      </c>
      <c r="CT37" s="141">
        <f t="shared" si="171"/>
        <v>4887</v>
      </c>
      <c r="CU37" s="141">
        <f t="shared" si="171"/>
        <v>0</v>
      </c>
      <c r="CV37" s="141">
        <f t="shared" si="171"/>
        <v>0</v>
      </c>
      <c r="CW37" s="141">
        <f t="shared" si="171"/>
        <v>9774</v>
      </c>
      <c r="CX37" s="141">
        <f t="shared" si="171"/>
        <v>0</v>
      </c>
      <c r="CY37" s="141">
        <f t="shared" si="171"/>
        <v>0</v>
      </c>
      <c r="CZ37" s="141">
        <f t="shared" si="171"/>
        <v>0</v>
      </c>
      <c r="DA37" s="141">
        <f t="shared" si="171"/>
        <v>0</v>
      </c>
      <c r="DB37" s="141">
        <f t="shared" si="171"/>
        <v>28399</v>
      </c>
      <c r="DC37" s="141">
        <f t="shared" si="171"/>
        <v>327598</v>
      </c>
      <c r="DD37" s="4"/>
      <c r="DE37" s="20">
        <f>SUM(AJ37,AN37,BF37,BW37,DB37)</f>
        <v>119772</v>
      </c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</row>
    <row r="38" ht="15.75" customHeight="1">
      <c r="A38" s="167" t="s">
        <v>108</v>
      </c>
      <c r="B38" s="154">
        <v>9.0</v>
      </c>
      <c r="C38" s="154">
        <v>1.0</v>
      </c>
      <c r="D38" s="154">
        <v>3903.0</v>
      </c>
      <c r="E38" s="154">
        <v>9167.0</v>
      </c>
      <c r="F38" s="154">
        <v>4507.0</v>
      </c>
      <c r="G38" s="154">
        <f t="shared" ref="G38:G42" si="172">SUM(B38:F38)</f>
        <v>17587</v>
      </c>
      <c r="H38" s="154">
        <v>695.0</v>
      </c>
      <c r="I38" s="154">
        <v>1152.0</v>
      </c>
      <c r="J38" s="154">
        <v>1623.0</v>
      </c>
      <c r="K38" s="156">
        <f t="shared" ref="K38:K42" si="173">SUM(H38:J38)</f>
        <v>3470</v>
      </c>
      <c r="L38" s="154">
        <v>3753.0</v>
      </c>
      <c r="M38" s="154">
        <v>2976.0</v>
      </c>
      <c r="N38" s="154">
        <v>1251.0</v>
      </c>
      <c r="O38" s="156">
        <f t="shared" ref="O38:O42" si="174">SUM(L38:N38)</f>
        <v>7980</v>
      </c>
      <c r="P38" s="154">
        <v>1245.0</v>
      </c>
      <c r="Q38" s="154">
        <v>673.0</v>
      </c>
      <c r="R38" s="154">
        <v>2487.0</v>
      </c>
      <c r="S38" s="156">
        <f t="shared" ref="S38:S42" si="175">SUM(P38:R38)</f>
        <v>4405</v>
      </c>
      <c r="T38" s="154">
        <v>1761.0</v>
      </c>
      <c r="U38" s="154">
        <v>4574.0</v>
      </c>
      <c r="V38" s="154">
        <v>5495.0</v>
      </c>
      <c r="W38" s="156">
        <f t="shared" ref="W38:W42" si="176">SUM(T38:V38)</f>
        <v>11830</v>
      </c>
      <c r="X38" s="156">
        <f t="shared" ref="X38:X42" si="177">SUM(W38,S38,O38,K38)</f>
        <v>27685</v>
      </c>
      <c r="Y38" s="154">
        <v>260.0</v>
      </c>
      <c r="Z38" s="154">
        <v>426.0</v>
      </c>
      <c r="AA38" s="154">
        <v>3073.0</v>
      </c>
      <c r="AB38" s="156">
        <f t="shared" ref="AB38:AB42" si="178">SUM(Y38:AA38)</f>
        <v>3759</v>
      </c>
      <c r="AC38" s="154">
        <v>1027.0</v>
      </c>
      <c r="AD38" s="154">
        <v>334.0</v>
      </c>
      <c r="AE38" s="154">
        <v>940.0</v>
      </c>
      <c r="AF38" s="156">
        <f t="shared" ref="AF38:AF42" si="179">SUM(AC38:AE38)</f>
        <v>2301</v>
      </c>
      <c r="AG38" s="154">
        <v>1629.0</v>
      </c>
      <c r="AH38" s="154">
        <v>472.0</v>
      </c>
      <c r="AI38" s="154">
        <v>661.0</v>
      </c>
      <c r="AJ38" s="156">
        <f t="shared" ref="AJ38:AJ42" si="180">SUM(AG38:AI38)</f>
        <v>2762</v>
      </c>
      <c r="AK38" s="154">
        <v>2276.0</v>
      </c>
      <c r="AL38" s="154">
        <v>2366.0</v>
      </c>
      <c r="AM38" s="154">
        <v>2377.0</v>
      </c>
      <c r="AN38" s="156">
        <f t="shared" ref="AN38:AN42" si="181">SUM(AK38:AM38)</f>
        <v>7019</v>
      </c>
      <c r="AO38" s="156">
        <f t="shared" ref="AO38:AO42" si="182">SUM(AB38,AF38,AJ38,AN38)</f>
        <v>15841</v>
      </c>
      <c r="AP38" s="154">
        <v>254.0</v>
      </c>
      <c r="AQ38" s="154">
        <v>1384.0</v>
      </c>
      <c r="AR38" s="156">
        <v>1258.0</v>
      </c>
      <c r="AS38" s="154">
        <f t="shared" ref="AS38:AS42" si="183">SUM(AP38:AR38)</f>
        <v>2896</v>
      </c>
      <c r="AT38" s="154">
        <v>94.0</v>
      </c>
      <c r="AU38" s="154">
        <v>3.0</v>
      </c>
      <c r="AV38" s="154">
        <v>0.0</v>
      </c>
      <c r="AW38" s="154">
        <f t="shared" ref="AW38:AW42" si="184">SUM(AT38:AV38)</f>
        <v>97</v>
      </c>
      <c r="AX38" s="154">
        <v>1242.0</v>
      </c>
      <c r="AY38" s="154">
        <v>862.0</v>
      </c>
      <c r="AZ38" s="154">
        <v>488.0</v>
      </c>
      <c r="BA38" s="154">
        <f t="shared" ref="BA38:BA42" si="185">SUM(AX38:AZ38)</f>
        <v>2592</v>
      </c>
      <c r="BB38" s="154">
        <v>9.0</v>
      </c>
      <c r="BC38" s="154">
        <v>240.0</v>
      </c>
      <c r="BD38" s="154">
        <v>91.0</v>
      </c>
      <c r="BE38" s="154">
        <f t="shared" ref="BE38:BE42" si="186">SUM(BB38:BD38)</f>
        <v>340</v>
      </c>
      <c r="BF38" s="154">
        <f t="shared" ref="BF38:BF42" si="187">SUM(AS38,AW38,BA38,BE38)</f>
        <v>5925</v>
      </c>
      <c r="BG38" s="154">
        <v>70.0</v>
      </c>
      <c r="BH38" s="154">
        <v>836.0</v>
      </c>
      <c r="BI38" s="154">
        <v>795.0</v>
      </c>
      <c r="BJ38" s="154">
        <f t="shared" ref="BJ38:BJ42" si="188">SUM(BG38:BI38)</f>
        <v>1701</v>
      </c>
      <c r="BK38" s="154">
        <v>357.0</v>
      </c>
      <c r="BL38" s="154">
        <v>755.0</v>
      </c>
      <c r="BM38" s="154">
        <v>943.0</v>
      </c>
      <c r="BN38" s="154">
        <f t="shared" ref="BN38:BN42" si="189">SUM(BK38:BM38)</f>
        <v>2055</v>
      </c>
      <c r="BO38" s="154">
        <v>351.0</v>
      </c>
      <c r="BP38" s="154">
        <v>122.0</v>
      </c>
      <c r="BQ38" s="154">
        <v>358.0</v>
      </c>
      <c r="BR38" s="154">
        <f t="shared" ref="BR38:BR42" si="190">SUM(BO38:BQ38)</f>
        <v>831</v>
      </c>
      <c r="BS38" s="154">
        <v>1341.0</v>
      </c>
      <c r="BT38" s="154">
        <v>283.0</v>
      </c>
      <c r="BU38" s="154">
        <v>969.0</v>
      </c>
      <c r="BV38" s="154">
        <f t="shared" ref="BV38:BV42" si="191">SUM(BS38:BU38)</f>
        <v>2593</v>
      </c>
      <c r="BW38" s="154">
        <f t="shared" ref="BW38:BW42" si="192">SUM(BJ38,BN38,BR38,BV38)</f>
        <v>7180</v>
      </c>
      <c r="BX38" s="154">
        <v>1077.0</v>
      </c>
      <c r="BY38" s="154">
        <v>1990.0</v>
      </c>
      <c r="BZ38" s="154">
        <f t="shared" ref="BZ38:BZ42" si="193">BY38-BX38</f>
        <v>913</v>
      </c>
      <c r="CA38" s="154">
        <v>952.0</v>
      </c>
      <c r="CB38" s="154">
        <v>437.0</v>
      </c>
      <c r="CC38" s="154">
        <f t="shared" ref="CC38:CC42" si="194">CB38-CA38</f>
        <v>-515</v>
      </c>
      <c r="CD38" s="154">
        <v>328.0</v>
      </c>
      <c r="CE38" s="154">
        <v>464.0</v>
      </c>
      <c r="CF38" s="154">
        <f t="shared" ref="CF38:CF42" si="195">CE38-CD38</f>
        <v>136</v>
      </c>
      <c r="CG38" s="154">
        <f t="shared" ref="CG38:CG40" si="196">SUM(BX38:CE38)</f>
        <v>5646</v>
      </c>
      <c r="CH38" s="154">
        <v>832.0</v>
      </c>
      <c r="CI38" s="154">
        <v>832.0</v>
      </c>
      <c r="CJ38" s="154">
        <f t="shared" ref="CJ38:CJ42" si="197">CI38-CH38</f>
        <v>0</v>
      </c>
      <c r="CK38" s="154">
        <v>335.0</v>
      </c>
      <c r="CL38" s="154">
        <v>335.0</v>
      </c>
      <c r="CM38" s="154">
        <f t="shared" ref="CM38:CM42" si="198">CL38-CK38</f>
        <v>0</v>
      </c>
      <c r="CN38" s="154">
        <v>730.0</v>
      </c>
      <c r="CO38" s="154">
        <v>730.0</v>
      </c>
      <c r="CP38" s="154">
        <f t="shared" ref="CP38:CP42" si="199">CO38-CN38</f>
        <v>0</v>
      </c>
      <c r="CQ38" s="154">
        <f t="shared" ref="CQ38:CQ40" si="200">SUM(CH38:CO38)</f>
        <v>3794</v>
      </c>
      <c r="CR38" s="154">
        <v>402.0</v>
      </c>
      <c r="CS38" s="154">
        <f t="shared" ref="CS38:CS40" si="201">SUM(BZ38,CC38,CF38,CJ38,CM38,CP38)</f>
        <v>534</v>
      </c>
      <c r="CT38" s="154">
        <f t="shared" ref="CT38:CT42" si="202">CR38+CS38</f>
        <v>936</v>
      </c>
      <c r="CU38" s="154"/>
      <c r="CV38" s="154"/>
      <c r="CW38" s="154">
        <f t="shared" ref="CW38:CW42" si="203">SUM(CR38:CV38)</f>
        <v>1872</v>
      </c>
      <c r="CX38" s="154"/>
      <c r="CY38" s="154"/>
      <c r="CZ38" s="154"/>
      <c r="DA38" s="154">
        <f t="shared" ref="DA38:DA42" si="204">SUM(CX38:CZ38)</f>
        <v>0</v>
      </c>
      <c r="DB38" s="154">
        <f t="shared" ref="DB38:DB42" si="205">SUM(CG38,CQ38,CW38,DA38)</f>
        <v>11312</v>
      </c>
      <c r="DC38" s="171">
        <f t="shared" ref="DC38:DC42" si="206">SUM(A38,G38,X38,AO38,BF38,BW38,DB38)</f>
        <v>85530</v>
      </c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</row>
    <row r="39" ht="15.75" customHeight="1">
      <c r="A39" s="167" t="s">
        <v>109</v>
      </c>
      <c r="B39" s="154">
        <v>0.0</v>
      </c>
      <c r="C39" s="154">
        <v>0.0</v>
      </c>
      <c r="D39" s="154">
        <v>1418.0</v>
      </c>
      <c r="E39" s="154">
        <v>4512.0</v>
      </c>
      <c r="F39" s="154">
        <v>566.0</v>
      </c>
      <c r="G39" s="154">
        <f t="shared" si="172"/>
        <v>6496</v>
      </c>
      <c r="H39" s="154">
        <v>407.0</v>
      </c>
      <c r="I39" s="154">
        <v>2716.0</v>
      </c>
      <c r="J39" s="154">
        <v>1038.0</v>
      </c>
      <c r="K39" s="156">
        <f t="shared" si="173"/>
        <v>4161</v>
      </c>
      <c r="L39" s="154">
        <v>88.0</v>
      </c>
      <c r="M39" s="154">
        <v>214.0</v>
      </c>
      <c r="N39" s="154">
        <v>196.0</v>
      </c>
      <c r="O39" s="156">
        <f t="shared" si="174"/>
        <v>498</v>
      </c>
      <c r="P39" s="154">
        <v>259.0</v>
      </c>
      <c r="Q39" s="154">
        <v>929.0</v>
      </c>
      <c r="R39" s="154">
        <v>572.0</v>
      </c>
      <c r="S39" s="156">
        <f t="shared" si="175"/>
        <v>1760</v>
      </c>
      <c r="T39" s="154">
        <v>145.0</v>
      </c>
      <c r="U39" s="154">
        <v>690.0</v>
      </c>
      <c r="V39" s="154">
        <v>785.0</v>
      </c>
      <c r="W39" s="156">
        <f t="shared" si="176"/>
        <v>1620</v>
      </c>
      <c r="X39" s="156">
        <f t="shared" si="177"/>
        <v>8039</v>
      </c>
      <c r="Y39" s="154">
        <v>25.0</v>
      </c>
      <c r="Z39" s="154">
        <v>145.0</v>
      </c>
      <c r="AA39" s="154">
        <v>103.0</v>
      </c>
      <c r="AB39" s="156">
        <f t="shared" si="178"/>
        <v>273</v>
      </c>
      <c r="AC39" s="154">
        <v>676.0</v>
      </c>
      <c r="AD39" s="154">
        <v>163.0</v>
      </c>
      <c r="AE39" s="154">
        <v>239.0</v>
      </c>
      <c r="AF39" s="156">
        <f t="shared" si="179"/>
        <v>1078</v>
      </c>
      <c r="AG39" s="154">
        <v>759.0</v>
      </c>
      <c r="AH39" s="154">
        <v>25.0</v>
      </c>
      <c r="AI39" s="154">
        <v>104.0</v>
      </c>
      <c r="AJ39" s="156">
        <f t="shared" si="180"/>
        <v>888</v>
      </c>
      <c r="AK39" s="154">
        <v>428.0</v>
      </c>
      <c r="AL39" s="154">
        <v>389.0</v>
      </c>
      <c r="AM39" s="154">
        <v>142.0</v>
      </c>
      <c r="AN39" s="156">
        <f t="shared" si="181"/>
        <v>959</v>
      </c>
      <c r="AO39" s="156">
        <f t="shared" si="182"/>
        <v>3198</v>
      </c>
      <c r="AP39" s="154">
        <v>155.0</v>
      </c>
      <c r="AQ39" s="154">
        <v>424.0</v>
      </c>
      <c r="AR39" s="156">
        <v>39.0</v>
      </c>
      <c r="AS39" s="154">
        <f t="shared" si="183"/>
        <v>618</v>
      </c>
      <c r="AT39" s="154">
        <v>0.0</v>
      </c>
      <c r="AU39" s="154">
        <v>0.0</v>
      </c>
      <c r="AV39" s="154">
        <v>0.0</v>
      </c>
      <c r="AW39" s="154">
        <f t="shared" si="184"/>
        <v>0</v>
      </c>
      <c r="AX39" s="154">
        <v>607.0</v>
      </c>
      <c r="AY39" s="154">
        <v>487.0</v>
      </c>
      <c r="AZ39" s="154">
        <v>204.0</v>
      </c>
      <c r="BA39" s="154">
        <f t="shared" si="185"/>
        <v>1298</v>
      </c>
      <c r="BB39" s="154">
        <v>50.0</v>
      </c>
      <c r="BC39" s="154">
        <v>36.0</v>
      </c>
      <c r="BD39" s="154">
        <v>2.0</v>
      </c>
      <c r="BE39" s="154">
        <f t="shared" si="186"/>
        <v>88</v>
      </c>
      <c r="BF39" s="154">
        <f t="shared" si="187"/>
        <v>2004</v>
      </c>
      <c r="BG39" s="154">
        <v>34.0</v>
      </c>
      <c r="BH39" s="154">
        <v>731.0</v>
      </c>
      <c r="BI39" s="154">
        <v>239.0</v>
      </c>
      <c r="BJ39" s="154">
        <f t="shared" si="188"/>
        <v>1004</v>
      </c>
      <c r="BK39" s="154">
        <v>19.0</v>
      </c>
      <c r="BL39" s="154">
        <v>156.0</v>
      </c>
      <c r="BM39" s="154">
        <v>58.0</v>
      </c>
      <c r="BN39" s="154">
        <f t="shared" si="189"/>
        <v>233</v>
      </c>
      <c r="BO39" s="154">
        <v>179.0</v>
      </c>
      <c r="BP39" s="154">
        <v>31.0</v>
      </c>
      <c r="BQ39" s="154">
        <v>11.0</v>
      </c>
      <c r="BR39" s="154">
        <f t="shared" si="190"/>
        <v>221</v>
      </c>
      <c r="BS39" s="154">
        <v>92.0</v>
      </c>
      <c r="BT39" s="154">
        <v>32.0</v>
      </c>
      <c r="BU39" s="154">
        <v>134.0</v>
      </c>
      <c r="BV39" s="154">
        <f t="shared" si="191"/>
        <v>258</v>
      </c>
      <c r="BW39" s="154">
        <f t="shared" si="192"/>
        <v>1716</v>
      </c>
      <c r="BX39" s="154">
        <v>25.0</v>
      </c>
      <c r="BY39" s="154">
        <v>318.0</v>
      </c>
      <c r="BZ39" s="154">
        <f t="shared" si="193"/>
        <v>293</v>
      </c>
      <c r="CA39" s="154">
        <v>399.0</v>
      </c>
      <c r="CB39" s="154">
        <v>290.0</v>
      </c>
      <c r="CC39" s="154">
        <f t="shared" si="194"/>
        <v>-109</v>
      </c>
      <c r="CD39" s="154">
        <v>6.0</v>
      </c>
      <c r="CE39" s="154">
        <v>186.0</v>
      </c>
      <c r="CF39" s="154">
        <f t="shared" si="195"/>
        <v>180</v>
      </c>
      <c r="CG39" s="154">
        <f t="shared" si="196"/>
        <v>1408</v>
      </c>
      <c r="CH39" s="154">
        <v>111.0</v>
      </c>
      <c r="CI39" s="154">
        <v>111.0</v>
      </c>
      <c r="CJ39" s="154">
        <f t="shared" si="197"/>
        <v>0</v>
      </c>
      <c r="CK39" s="154">
        <v>2.0</v>
      </c>
      <c r="CL39" s="154">
        <v>2.0</v>
      </c>
      <c r="CM39" s="154">
        <f t="shared" si="198"/>
        <v>0</v>
      </c>
      <c r="CN39" s="154">
        <v>3.0</v>
      </c>
      <c r="CO39" s="154">
        <v>3.0</v>
      </c>
      <c r="CP39" s="154">
        <f t="shared" si="199"/>
        <v>0</v>
      </c>
      <c r="CQ39" s="154">
        <f t="shared" si="200"/>
        <v>232</v>
      </c>
      <c r="CR39" s="154">
        <v>662.0</v>
      </c>
      <c r="CS39" s="154">
        <f t="shared" si="201"/>
        <v>364</v>
      </c>
      <c r="CT39" s="154">
        <f t="shared" si="202"/>
        <v>1026</v>
      </c>
      <c r="CU39" s="154"/>
      <c r="CV39" s="154"/>
      <c r="CW39" s="154">
        <f t="shared" si="203"/>
        <v>2052</v>
      </c>
      <c r="CX39" s="154"/>
      <c r="CY39" s="154"/>
      <c r="CZ39" s="154"/>
      <c r="DA39" s="154">
        <f t="shared" si="204"/>
        <v>0</v>
      </c>
      <c r="DB39" s="154">
        <f t="shared" si="205"/>
        <v>3692</v>
      </c>
      <c r="DC39" s="171">
        <f t="shared" si="206"/>
        <v>25145</v>
      </c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</row>
    <row r="40" ht="15.75" customHeight="1">
      <c r="A40" s="167" t="s">
        <v>110</v>
      </c>
      <c r="B40" s="154">
        <v>165.0</v>
      </c>
      <c r="C40" s="154">
        <v>305.0</v>
      </c>
      <c r="D40" s="154">
        <v>6414.0</v>
      </c>
      <c r="E40" s="154">
        <v>1161.0</v>
      </c>
      <c r="F40" s="154">
        <v>1628.0</v>
      </c>
      <c r="G40" s="154">
        <f t="shared" si="172"/>
        <v>9673</v>
      </c>
      <c r="H40" s="154">
        <v>321.0</v>
      </c>
      <c r="I40" s="154">
        <v>61.0</v>
      </c>
      <c r="J40" s="154">
        <v>483.0</v>
      </c>
      <c r="K40" s="156">
        <f t="shared" si="173"/>
        <v>865</v>
      </c>
      <c r="L40" s="154">
        <v>843.0</v>
      </c>
      <c r="M40" s="154">
        <v>1572.0</v>
      </c>
      <c r="N40" s="154">
        <v>959.0</v>
      </c>
      <c r="O40" s="156">
        <f t="shared" si="174"/>
        <v>3374</v>
      </c>
      <c r="P40" s="154">
        <v>974.0</v>
      </c>
      <c r="Q40" s="154">
        <v>2553.0</v>
      </c>
      <c r="R40" s="154">
        <v>2196.0</v>
      </c>
      <c r="S40" s="156">
        <f t="shared" si="175"/>
        <v>5723</v>
      </c>
      <c r="T40" s="154">
        <v>3595.0</v>
      </c>
      <c r="U40" s="154">
        <v>1722.0</v>
      </c>
      <c r="V40" s="154">
        <v>1521.0</v>
      </c>
      <c r="W40" s="156">
        <f t="shared" si="176"/>
        <v>6838</v>
      </c>
      <c r="X40" s="156">
        <f t="shared" si="177"/>
        <v>16800</v>
      </c>
      <c r="Y40" s="154">
        <v>667.0</v>
      </c>
      <c r="Z40" s="154">
        <v>972.0</v>
      </c>
      <c r="AA40" s="154">
        <v>595.0</v>
      </c>
      <c r="AB40" s="156">
        <f t="shared" si="178"/>
        <v>2234</v>
      </c>
      <c r="AC40" s="154">
        <v>532.0</v>
      </c>
      <c r="AD40" s="154">
        <v>29.0</v>
      </c>
      <c r="AE40" s="154">
        <v>711.0</v>
      </c>
      <c r="AF40" s="156">
        <f t="shared" si="179"/>
        <v>1272</v>
      </c>
      <c r="AG40" s="154">
        <v>1471.0</v>
      </c>
      <c r="AH40" s="154">
        <v>348.0</v>
      </c>
      <c r="AI40" s="154">
        <v>575.0</v>
      </c>
      <c r="AJ40" s="156">
        <f t="shared" si="180"/>
        <v>2394</v>
      </c>
      <c r="AK40" s="154">
        <v>2109.0</v>
      </c>
      <c r="AL40" s="154">
        <v>2583.0</v>
      </c>
      <c r="AM40" s="154">
        <v>1601.0</v>
      </c>
      <c r="AN40" s="156">
        <f t="shared" si="181"/>
        <v>6293</v>
      </c>
      <c r="AO40" s="156">
        <f t="shared" si="182"/>
        <v>12193</v>
      </c>
      <c r="AP40" s="154">
        <v>469.0</v>
      </c>
      <c r="AQ40" s="154">
        <v>836.0</v>
      </c>
      <c r="AR40" s="156">
        <v>844.0</v>
      </c>
      <c r="AS40" s="154">
        <f t="shared" si="183"/>
        <v>2149</v>
      </c>
      <c r="AT40" s="154">
        <v>7.0</v>
      </c>
      <c r="AU40" s="154">
        <v>4.0</v>
      </c>
      <c r="AV40" s="154">
        <v>1.0</v>
      </c>
      <c r="AW40" s="154">
        <f t="shared" si="184"/>
        <v>12</v>
      </c>
      <c r="AX40" s="154">
        <v>1250.0</v>
      </c>
      <c r="AY40" s="154">
        <v>1294.0</v>
      </c>
      <c r="AZ40" s="154">
        <v>144.0</v>
      </c>
      <c r="BA40" s="154">
        <f t="shared" si="185"/>
        <v>2688</v>
      </c>
      <c r="BB40" s="154">
        <v>41.0</v>
      </c>
      <c r="BC40" s="154">
        <v>147.0</v>
      </c>
      <c r="BD40" s="154">
        <v>146.0</v>
      </c>
      <c r="BE40" s="154">
        <f t="shared" si="186"/>
        <v>334</v>
      </c>
      <c r="BF40" s="154">
        <f t="shared" si="187"/>
        <v>5183</v>
      </c>
      <c r="BG40" s="154">
        <v>501.0</v>
      </c>
      <c r="BH40" s="154">
        <v>462.0</v>
      </c>
      <c r="BI40" s="154">
        <v>206.0</v>
      </c>
      <c r="BJ40" s="154">
        <f t="shared" si="188"/>
        <v>1169</v>
      </c>
      <c r="BK40" s="154">
        <v>21.0</v>
      </c>
      <c r="BL40" s="154">
        <v>99.0</v>
      </c>
      <c r="BM40" s="154">
        <v>484.0</v>
      </c>
      <c r="BN40" s="154">
        <f t="shared" si="189"/>
        <v>604</v>
      </c>
      <c r="BO40" s="154">
        <v>130.0</v>
      </c>
      <c r="BP40" s="154">
        <v>217.0</v>
      </c>
      <c r="BQ40" s="154">
        <v>154.0</v>
      </c>
      <c r="BR40" s="154">
        <f t="shared" si="190"/>
        <v>501</v>
      </c>
      <c r="BS40" s="154">
        <v>233.0</v>
      </c>
      <c r="BT40" s="154">
        <v>128.0</v>
      </c>
      <c r="BU40" s="154">
        <v>375.0</v>
      </c>
      <c r="BV40" s="154">
        <f t="shared" si="191"/>
        <v>736</v>
      </c>
      <c r="BW40" s="154">
        <f t="shared" si="192"/>
        <v>3010</v>
      </c>
      <c r="BX40" s="154">
        <v>0.0</v>
      </c>
      <c r="BY40" s="154">
        <v>105.0</v>
      </c>
      <c r="BZ40" s="154">
        <f t="shared" si="193"/>
        <v>105</v>
      </c>
      <c r="CA40" s="154">
        <v>0.0</v>
      </c>
      <c r="CB40" s="154">
        <v>54.0</v>
      </c>
      <c r="CC40" s="154">
        <f t="shared" si="194"/>
        <v>54</v>
      </c>
      <c r="CD40" s="154">
        <v>0.0</v>
      </c>
      <c r="CE40" s="154">
        <v>62.0</v>
      </c>
      <c r="CF40" s="154">
        <f t="shared" si="195"/>
        <v>62</v>
      </c>
      <c r="CG40" s="154">
        <f t="shared" si="196"/>
        <v>380</v>
      </c>
      <c r="CH40" s="154">
        <v>1.0</v>
      </c>
      <c r="CI40" s="154">
        <v>1.0</v>
      </c>
      <c r="CJ40" s="154">
        <f t="shared" si="197"/>
        <v>0</v>
      </c>
      <c r="CK40" s="154">
        <v>142.0</v>
      </c>
      <c r="CL40" s="154">
        <v>142.0</v>
      </c>
      <c r="CM40" s="154">
        <f t="shared" si="198"/>
        <v>0</v>
      </c>
      <c r="CN40" s="154">
        <v>1.0</v>
      </c>
      <c r="CO40" s="154">
        <v>1.0</v>
      </c>
      <c r="CP40" s="154">
        <f t="shared" si="199"/>
        <v>0</v>
      </c>
      <c r="CQ40" s="154">
        <f t="shared" si="200"/>
        <v>288</v>
      </c>
      <c r="CR40" s="154">
        <v>573.0</v>
      </c>
      <c r="CS40" s="154">
        <f t="shared" si="201"/>
        <v>221</v>
      </c>
      <c r="CT40" s="154">
        <f t="shared" si="202"/>
        <v>794</v>
      </c>
      <c r="CU40" s="154"/>
      <c r="CV40" s="154"/>
      <c r="CW40" s="154">
        <f t="shared" si="203"/>
        <v>1588</v>
      </c>
      <c r="CX40" s="154"/>
      <c r="CY40" s="154"/>
      <c r="CZ40" s="154"/>
      <c r="DA40" s="154">
        <f t="shared" si="204"/>
        <v>0</v>
      </c>
      <c r="DB40" s="154">
        <f t="shared" si="205"/>
        <v>2256</v>
      </c>
      <c r="DC40" s="171">
        <f t="shared" si="206"/>
        <v>49115</v>
      </c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</row>
    <row r="41" ht="15.75" customHeight="1">
      <c r="A41" s="169" t="s">
        <v>111</v>
      </c>
      <c r="B41" s="154">
        <v>63.0</v>
      </c>
      <c r="C41" s="154">
        <v>272.0</v>
      </c>
      <c r="D41" s="154">
        <v>4283.0</v>
      </c>
      <c r="E41" s="154">
        <v>22098.0</v>
      </c>
      <c r="F41" s="154">
        <v>8116.0</v>
      </c>
      <c r="G41" s="154">
        <f t="shared" si="172"/>
        <v>34832</v>
      </c>
      <c r="H41" s="154">
        <v>711.0</v>
      </c>
      <c r="I41" s="154">
        <v>761.0</v>
      </c>
      <c r="J41" s="154">
        <v>204.0</v>
      </c>
      <c r="K41" s="156">
        <f t="shared" si="173"/>
        <v>1676</v>
      </c>
      <c r="L41" s="154">
        <v>7995.0</v>
      </c>
      <c r="M41" s="154">
        <v>5710.0</v>
      </c>
      <c r="N41" s="154">
        <v>4521.0</v>
      </c>
      <c r="O41" s="156">
        <f t="shared" si="174"/>
        <v>18226</v>
      </c>
      <c r="P41" s="154">
        <v>2252.0</v>
      </c>
      <c r="Q41" s="154">
        <v>2676.0</v>
      </c>
      <c r="R41" s="154">
        <v>5056.0</v>
      </c>
      <c r="S41" s="156">
        <f t="shared" si="175"/>
        <v>9984</v>
      </c>
      <c r="T41" s="154">
        <v>6301.0</v>
      </c>
      <c r="U41" s="154">
        <v>5603.0</v>
      </c>
      <c r="V41" s="154">
        <v>9963.0</v>
      </c>
      <c r="W41" s="156">
        <f t="shared" si="176"/>
        <v>21867</v>
      </c>
      <c r="X41" s="156">
        <f t="shared" si="177"/>
        <v>51753</v>
      </c>
      <c r="Y41" s="154">
        <v>572.0</v>
      </c>
      <c r="Z41" s="154">
        <v>856.0</v>
      </c>
      <c r="AA41" s="154">
        <v>3221.0</v>
      </c>
      <c r="AB41" s="156">
        <f t="shared" si="178"/>
        <v>4649</v>
      </c>
      <c r="AC41" s="154">
        <v>3117.0</v>
      </c>
      <c r="AD41" s="154">
        <v>1787.0</v>
      </c>
      <c r="AE41" s="154">
        <v>2082.0</v>
      </c>
      <c r="AF41" s="156">
        <f t="shared" si="179"/>
        <v>6986</v>
      </c>
      <c r="AG41" s="154">
        <v>3842.0</v>
      </c>
      <c r="AH41" s="154">
        <v>924.0</v>
      </c>
      <c r="AI41" s="154">
        <v>1608.0</v>
      </c>
      <c r="AJ41" s="156">
        <f t="shared" si="180"/>
        <v>6374</v>
      </c>
      <c r="AK41" s="154">
        <v>4310.0</v>
      </c>
      <c r="AL41" s="154">
        <v>5494.0</v>
      </c>
      <c r="AM41" s="154">
        <v>3168.0</v>
      </c>
      <c r="AN41" s="156">
        <f t="shared" si="181"/>
        <v>12972</v>
      </c>
      <c r="AO41" s="156">
        <f t="shared" si="182"/>
        <v>30981</v>
      </c>
      <c r="AP41" s="154">
        <v>1195.0</v>
      </c>
      <c r="AQ41" s="154">
        <v>1853.0</v>
      </c>
      <c r="AR41" s="156">
        <v>1679.0</v>
      </c>
      <c r="AS41" s="154">
        <f t="shared" si="183"/>
        <v>4727</v>
      </c>
      <c r="AT41" s="154">
        <v>662.0</v>
      </c>
      <c r="AU41" s="154">
        <v>11.0</v>
      </c>
      <c r="AV41" s="154">
        <v>6.0</v>
      </c>
      <c r="AW41" s="154">
        <f t="shared" si="184"/>
        <v>679</v>
      </c>
      <c r="AX41" s="154">
        <v>2194.0</v>
      </c>
      <c r="AY41" s="154">
        <v>2681.0</v>
      </c>
      <c r="AZ41" s="154">
        <v>950.0</v>
      </c>
      <c r="BA41" s="154">
        <f t="shared" si="185"/>
        <v>5825</v>
      </c>
      <c r="BB41" s="154">
        <v>136.0</v>
      </c>
      <c r="BC41" s="154">
        <v>361.0</v>
      </c>
      <c r="BD41" s="154">
        <v>110.0</v>
      </c>
      <c r="BE41" s="154">
        <f t="shared" si="186"/>
        <v>607</v>
      </c>
      <c r="BF41" s="154">
        <f t="shared" si="187"/>
        <v>11838</v>
      </c>
      <c r="BG41" s="154">
        <v>2848.0</v>
      </c>
      <c r="BH41" s="154">
        <v>1483.0</v>
      </c>
      <c r="BI41" s="154">
        <v>1184.0</v>
      </c>
      <c r="BJ41" s="154">
        <f t="shared" si="188"/>
        <v>5515</v>
      </c>
      <c r="BK41" s="154">
        <v>386.0</v>
      </c>
      <c r="BL41" s="154">
        <v>793.0</v>
      </c>
      <c r="BM41" s="154">
        <v>308.0</v>
      </c>
      <c r="BN41" s="154">
        <f t="shared" si="189"/>
        <v>1487</v>
      </c>
      <c r="BO41" s="154">
        <v>715.0</v>
      </c>
      <c r="BP41" s="154">
        <v>650.0</v>
      </c>
      <c r="BQ41" s="154">
        <v>447.0</v>
      </c>
      <c r="BR41" s="154">
        <f t="shared" si="190"/>
        <v>1812</v>
      </c>
      <c r="BS41" s="154">
        <v>940.0</v>
      </c>
      <c r="BT41" s="154">
        <v>350.0</v>
      </c>
      <c r="BU41" s="154">
        <v>247.0</v>
      </c>
      <c r="BV41" s="154">
        <f t="shared" si="191"/>
        <v>1537</v>
      </c>
      <c r="BW41" s="154">
        <f t="shared" si="192"/>
        <v>10351</v>
      </c>
      <c r="BX41" s="154">
        <v>560.0</v>
      </c>
      <c r="BY41" s="154">
        <f>1286+248</f>
        <v>1534</v>
      </c>
      <c r="BZ41" s="154">
        <f t="shared" si="193"/>
        <v>974</v>
      </c>
      <c r="CA41" s="154">
        <v>0.0</v>
      </c>
      <c r="CB41" s="154">
        <f>419+59</f>
        <v>478</v>
      </c>
      <c r="CC41" s="154">
        <f t="shared" si="194"/>
        <v>478</v>
      </c>
      <c r="CD41" s="154">
        <v>536.0</v>
      </c>
      <c r="CE41" s="154">
        <f>1052+34</f>
        <v>1086</v>
      </c>
      <c r="CF41" s="154">
        <f t="shared" si="195"/>
        <v>550</v>
      </c>
      <c r="CG41" s="154">
        <f>SUM(BX41:CD41)</f>
        <v>4560</v>
      </c>
      <c r="CH41" s="154">
        <v>162.0</v>
      </c>
      <c r="CI41" s="154">
        <f>162+214</f>
        <v>376</v>
      </c>
      <c r="CJ41" s="154">
        <f t="shared" si="197"/>
        <v>214</v>
      </c>
      <c r="CK41" s="154">
        <v>382.0</v>
      </c>
      <c r="CL41" s="154">
        <f>382+271</f>
        <v>653</v>
      </c>
      <c r="CM41" s="154">
        <f t="shared" si="198"/>
        <v>271</v>
      </c>
      <c r="CN41" s="154">
        <f t="shared" ref="CN41:CO41" si="207">113+96</f>
        <v>209</v>
      </c>
      <c r="CO41" s="154">
        <f t="shared" si="207"/>
        <v>209</v>
      </c>
      <c r="CP41" s="154">
        <f t="shared" si="199"/>
        <v>0</v>
      </c>
      <c r="CQ41" s="154">
        <f>SUM(CH41:CN41)</f>
        <v>2267</v>
      </c>
      <c r="CR41" s="154">
        <f>227+144</f>
        <v>371</v>
      </c>
      <c r="CS41" s="154">
        <f>SUM(BZ41,CC41,CF41,CJ41,CM41,CP41)-727</f>
        <v>1760</v>
      </c>
      <c r="CT41" s="154">
        <f t="shared" si="202"/>
        <v>2131</v>
      </c>
      <c r="CU41" s="154"/>
      <c r="CV41" s="154"/>
      <c r="CW41" s="154">
        <f t="shared" si="203"/>
        <v>4262</v>
      </c>
      <c r="CX41" s="154"/>
      <c r="CY41" s="154"/>
      <c r="CZ41" s="154"/>
      <c r="DA41" s="154">
        <f t="shared" si="204"/>
        <v>0</v>
      </c>
      <c r="DB41" s="154">
        <f t="shared" si="205"/>
        <v>11089</v>
      </c>
      <c r="DC41" s="171">
        <f t="shared" si="206"/>
        <v>150844</v>
      </c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</row>
    <row r="42" ht="15.75" customHeight="1">
      <c r="A42" s="167" t="s">
        <v>112</v>
      </c>
      <c r="B42" s="154">
        <v>0.0</v>
      </c>
      <c r="C42" s="154">
        <v>312.0</v>
      </c>
      <c r="D42" s="154">
        <v>1539.0</v>
      </c>
      <c r="E42" s="154">
        <v>1183.0</v>
      </c>
      <c r="F42" s="154">
        <v>717.0</v>
      </c>
      <c r="G42" s="154">
        <f t="shared" si="172"/>
        <v>3751</v>
      </c>
      <c r="H42" s="154">
        <v>270.0</v>
      </c>
      <c r="I42" s="154">
        <v>695.0</v>
      </c>
      <c r="J42" s="154">
        <v>390.0</v>
      </c>
      <c r="K42" s="156">
        <f t="shared" si="173"/>
        <v>1355</v>
      </c>
      <c r="L42" s="154">
        <v>114.0</v>
      </c>
      <c r="M42" s="154">
        <v>289.0</v>
      </c>
      <c r="N42" s="154">
        <v>165.0</v>
      </c>
      <c r="O42" s="156">
        <f t="shared" si="174"/>
        <v>568</v>
      </c>
      <c r="P42" s="154">
        <v>15.0</v>
      </c>
      <c r="Q42" s="154">
        <v>67.0</v>
      </c>
      <c r="R42" s="154">
        <v>285.0</v>
      </c>
      <c r="S42" s="156">
        <f t="shared" si="175"/>
        <v>367</v>
      </c>
      <c r="T42" s="154">
        <v>576.0</v>
      </c>
      <c r="U42" s="154">
        <v>1525.0</v>
      </c>
      <c r="V42" s="154">
        <v>2317.0</v>
      </c>
      <c r="W42" s="156">
        <f t="shared" si="176"/>
        <v>4418</v>
      </c>
      <c r="X42" s="156">
        <f t="shared" si="177"/>
        <v>6708</v>
      </c>
      <c r="Y42" s="154">
        <v>182.0</v>
      </c>
      <c r="Z42" s="154">
        <v>348.0</v>
      </c>
      <c r="AA42" s="154">
        <v>740.0</v>
      </c>
      <c r="AB42" s="156">
        <f t="shared" si="178"/>
        <v>1270</v>
      </c>
      <c r="AC42" s="154">
        <v>108.0</v>
      </c>
      <c r="AD42" s="154">
        <v>5.0</v>
      </c>
      <c r="AE42" s="154">
        <v>567.0</v>
      </c>
      <c r="AF42" s="156">
        <f t="shared" si="179"/>
        <v>680</v>
      </c>
      <c r="AG42" s="154">
        <v>356.0</v>
      </c>
      <c r="AH42" s="154">
        <v>23.0</v>
      </c>
      <c r="AI42" s="154">
        <v>206.0</v>
      </c>
      <c r="AJ42" s="156">
        <f t="shared" si="180"/>
        <v>585</v>
      </c>
      <c r="AK42" s="154">
        <v>395.0</v>
      </c>
      <c r="AL42" s="154">
        <v>433.0</v>
      </c>
      <c r="AM42" s="154">
        <v>319.0</v>
      </c>
      <c r="AN42" s="156">
        <f t="shared" si="181"/>
        <v>1147</v>
      </c>
      <c r="AO42" s="156">
        <f t="shared" si="182"/>
        <v>3682</v>
      </c>
      <c r="AP42" s="154">
        <v>162.0</v>
      </c>
      <c r="AQ42" s="154">
        <v>348.0</v>
      </c>
      <c r="AR42" s="156">
        <v>191.0</v>
      </c>
      <c r="AS42" s="154">
        <f t="shared" si="183"/>
        <v>701</v>
      </c>
      <c r="AT42" s="154">
        <v>27.0</v>
      </c>
      <c r="AU42" s="154">
        <v>2.0</v>
      </c>
      <c r="AV42" s="154">
        <v>0.0</v>
      </c>
      <c r="AW42" s="154">
        <f t="shared" si="184"/>
        <v>29</v>
      </c>
      <c r="AX42" s="154">
        <v>494.0</v>
      </c>
      <c r="AY42" s="154">
        <v>182.0</v>
      </c>
      <c r="AZ42" s="154">
        <v>137.0</v>
      </c>
      <c r="BA42" s="154">
        <f t="shared" si="185"/>
        <v>813</v>
      </c>
      <c r="BB42" s="154">
        <v>0.0</v>
      </c>
      <c r="BC42" s="154">
        <v>139.0</v>
      </c>
      <c r="BD42" s="154">
        <v>52.0</v>
      </c>
      <c r="BE42" s="154">
        <f t="shared" si="186"/>
        <v>191</v>
      </c>
      <c r="BF42" s="154">
        <f t="shared" si="187"/>
        <v>1734</v>
      </c>
      <c r="BG42" s="154">
        <v>149.0</v>
      </c>
      <c r="BH42" s="154">
        <v>201.0</v>
      </c>
      <c r="BI42" s="154">
        <v>47.0</v>
      </c>
      <c r="BJ42" s="154">
        <f t="shared" si="188"/>
        <v>397</v>
      </c>
      <c r="BK42" s="154">
        <v>22.0</v>
      </c>
      <c r="BL42" s="154">
        <v>65.0</v>
      </c>
      <c r="BM42" s="154">
        <v>2.0</v>
      </c>
      <c r="BN42" s="154">
        <f t="shared" si="189"/>
        <v>89</v>
      </c>
      <c r="BO42" s="154">
        <v>114.0</v>
      </c>
      <c r="BP42" s="154">
        <v>35.0</v>
      </c>
      <c r="BQ42" s="154">
        <v>191.0</v>
      </c>
      <c r="BR42" s="154">
        <f t="shared" si="190"/>
        <v>340</v>
      </c>
      <c r="BS42" s="154">
        <v>138.0</v>
      </c>
      <c r="BT42" s="154">
        <v>75.0</v>
      </c>
      <c r="BU42" s="154">
        <v>0.0</v>
      </c>
      <c r="BV42" s="154">
        <f t="shared" si="191"/>
        <v>213</v>
      </c>
      <c r="BW42" s="154">
        <f t="shared" si="192"/>
        <v>1039</v>
      </c>
      <c r="BX42" s="154">
        <v>250.0</v>
      </c>
      <c r="BY42" s="154">
        <v>25.0</v>
      </c>
      <c r="BZ42" s="154">
        <f t="shared" si="193"/>
        <v>-225</v>
      </c>
      <c r="CA42" s="154">
        <v>17.0</v>
      </c>
      <c r="CB42" s="154">
        <v>0.0</v>
      </c>
      <c r="CC42" s="154">
        <f t="shared" si="194"/>
        <v>-17</v>
      </c>
      <c r="CD42" s="154">
        <v>0.0</v>
      </c>
      <c r="CE42" s="154">
        <v>0.0</v>
      </c>
      <c r="CF42" s="154">
        <f t="shared" si="195"/>
        <v>0</v>
      </c>
      <c r="CG42" s="154">
        <f>SUM(BX42:CE42)</f>
        <v>50</v>
      </c>
      <c r="CH42" s="154">
        <v>214.0</v>
      </c>
      <c r="CI42" s="154">
        <v>0.0</v>
      </c>
      <c r="CJ42" s="154">
        <f t="shared" si="197"/>
        <v>-214</v>
      </c>
      <c r="CK42" s="154">
        <v>271.0</v>
      </c>
      <c r="CL42" s="154">
        <v>0.0</v>
      </c>
      <c r="CM42" s="154">
        <f t="shared" si="198"/>
        <v>-271</v>
      </c>
      <c r="CN42" s="154">
        <v>0.0</v>
      </c>
      <c r="CO42" s="154">
        <v>0.0</v>
      </c>
      <c r="CP42" s="154">
        <f t="shared" si="199"/>
        <v>0</v>
      </c>
      <c r="CQ42" s="154">
        <f>SUM(CH42:CO42)</f>
        <v>0</v>
      </c>
      <c r="CR42" s="154">
        <v>0.0</v>
      </c>
      <c r="CS42" s="154">
        <v>0.0</v>
      </c>
      <c r="CT42" s="154">
        <f t="shared" si="202"/>
        <v>0</v>
      </c>
      <c r="CU42" s="154"/>
      <c r="CV42" s="154"/>
      <c r="CW42" s="154">
        <f t="shared" si="203"/>
        <v>0</v>
      </c>
      <c r="CX42" s="154"/>
      <c r="CY42" s="154"/>
      <c r="CZ42" s="154"/>
      <c r="DA42" s="154">
        <f t="shared" si="204"/>
        <v>0</v>
      </c>
      <c r="DB42" s="154">
        <f t="shared" si="205"/>
        <v>50</v>
      </c>
      <c r="DC42" s="171">
        <f t="shared" si="206"/>
        <v>16964</v>
      </c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4"/>
      <c r="DR42" s="4"/>
      <c r="DS42" s="4"/>
    </row>
    <row r="43" ht="15.75" customHeight="1">
      <c r="A43" s="137" t="s">
        <v>113</v>
      </c>
      <c r="B43" s="141">
        <f t="shared" ref="B43:DC43" si="208">SUM(B44:B48)</f>
        <v>212</v>
      </c>
      <c r="C43" s="141">
        <f t="shared" si="208"/>
        <v>3047</v>
      </c>
      <c r="D43" s="141">
        <f t="shared" si="208"/>
        <v>4743</v>
      </c>
      <c r="E43" s="141">
        <f t="shared" si="208"/>
        <v>5286</v>
      </c>
      <c r="F43" s="141">
        <f t="shared" si="208"/>
        <v>9146</v>
      </c>
      <c r="G43" s="141">
        <f t="shared" si="208"/>
        <v>22434</v>
      </c>
      <c r="H43" s="141">
        <f t="shared" si="208"/>
        <v>8214</v>
      </c>
      <c r="I43" s="141">
        <f t="shared" si="208"/>
        <v>7441</v>
      </c>
      <c r="J43" s="141">
        <f t="shared" si="208"/>
        <v>9197</v>
      </c>
      <c r="K43" s="142">
        <f t="shared" si="208"/>
        <v>24852</v>
      </c>
      <c r="L43" s="141">
        <f t="shared" si="208"/>
        <v>11903</v>
      </c>
      <c r="M43" s="141">
        <f t="shared" si="208"/>
        <v>10325</v>
      </c>
      <c r="N43" s="141">
        <f t="shared" si="208"/>
        <v>11397</v>
      </c>
      <c r="O43" s="142">
        <f t="shared" si="208"/>
        <v>33625</v>
      </c>
      <c r="P43" s="141">
        <f t="shared" si="208"/>
        <v>8714</v>
      </c>
      <c r="Q43" s="141">
        <f t="shared" si="208"/>
        <v>10033</v>
      </c>
      <c r="R43" s="141">
        <f t="shared" si="208"/>
        <v>18079</v>
      </c>
      <c r="S43" s="142">
        <f t="shared" si="208"/>
        <v>36826</v>
      </c>
      <c r="T43" s="141">
        <f t="shared" si="208"/>
        <v>16505</v>
      </c>
      <c r="U43" s="141">
        <f t="shared" si="208"/>
        <v>11447</v>
      </c>
      <c r="V43" s="141">
        <f t="shared" si="208"/>
        <v>13240</v>
      </c>
      <c r="W43" s="142">
        <f t="shared" si="208"/>
        <v>41192</v>
      </c>
      <c r="X43" s="142">
        <f t="shared" si="208"/>
        <v>136495</v>
      </c>
      <c r="Y43" s="141">
        <f t="shared" si="208"/>
        <v>5343</v>
      </c>
      <c r="Z43" s="141">
        <f t="shared" si="208"/>
        <v>4388</v>
      </c>
      <c r="AA43" s="141">
        <f t="shared" si="208"/>
        <v>5892</v>
      </c>
      <c r="AB43" s="142">
        <f t="shared" si="208"/>
        <v>15623</v>
      </c>
      <c r="AC43" s="141">
        <f t="shared" si="208"/>
        <v>2187</v>
      </c>
      <c r="AD43" s="141">
        <f t="shared" si="208"/>
        <v>1464</v>
      </c>
      <c r="AE43" s="141">
        <f t="shared" si="208"/>
        <v>5103</v>
      </c>
      <c r="AF43" s="142">
        <f t="shared" si="208"/>
        <v>8754</v>
      </c>
      <c r="AG43" s="141">
        <f t="shared" si="208"/>
        <v>3865</v>
      </c>
      <c r="AH43" s="141">
        <f t="shared" si="208"/>
        <v>5760</v>
      </c>
      <c r="AI43" s="141">
        <f t="shared" si="208"/>
        <v>7002</v>
      </c>
      <c r="AJ43" s="142">
        <f t="shared" si="208"/>
        <v>16627</v>
      </c>
      <c r="AK43" s="141">
        <f t="shared" si="208"/>
        <v>4492</v>
      </c>
      <c r="AL43" s="141">
        <f t="shared" si="208"/>
        <v>2748</v>
      </c>
      <c r="AM43" s="141">
        <f t="shared" si="208"/>
        <v>2719</v>
      </c>
      <c r="AN43" s="142">
        <f t="shared" si="208"/>
        <v>9959</v>
      </c>
      <c r="AO43" s="142">
        <f t="shared" si="208"/>
        <v>50963</v>
      </c>
      <c r="AP43" s="141">
        <f t="shared" si="208"/>
        <v>2431</v>
      </c>
      <c r="AQ43" s="141">
        <f t="shared" si="208"/>
        <v>5733</v>
      </c>
      <c r="AR43" s="142">
        <f t="shared" si="208"/>
        <v>7005</v>
      </c>
      <c r="AS43" s="141">
        <f t="shared" si="208"/>
        <v>15169</v>
      </c>
      <c r="AT43" s="141">
        <f t="shared" si="208"/>
        <v>1660</v>
      </c>
      <c r="AU43" s="141">
        <f t="shared" si="208"/>
        <v>941</v>
      </c>
      <c r="AV43" s="141">
        <f t="shared" si="208"/>
        <v>3303</v>
      </c>
      <c r="AW43" s="142">
        <f t="shared" si="208"/>
        <v>5904</v>
      </c>
      <c r="AX43" s="141">
        <f t="shared" si="208"/>
        <v>4470</v>
      </c>
      <c r="AY43" s="141">
        <f t="shared" si="208"/>
        <v>5570</v>
      </c>
      <c r="AZ43" s="141">
        <f t="shared" si="208"/>
        <v>5817</v>
      </c>
      <c r="BA43" s="142">
        <f t="shared" si="208"/>
        <v>15857</v>
      </c>
      <c r="BB43" s="141">
        <f t="shared" si="208"/>
        <v>4784</v>
      </c>
      <c r="BC43" s="141">
        <f t="shared" si="208"/>
        <v>5580</v>
      </c>
      <c r="BD43" s="141">
        <f t="shared" si="208"/>
        <v>6059</v>
      </c>
      <c r="BE43" s="142">
        <f t="shared" si="208"/>
        <v>16423</v>
      </c>
      <c r="BF43" s="141">
        <f t="shared" si="208"/>
        <v>53353</v>
      </c>
      <c r="BG43" s="141">
        <f t="shared" si="208"/>
        <v>657</v>
      </c>
      <c r="BH43" s="141">
        <f t="shared" si="208"/>
        <v>1208</v>
      </c>
      <c r="BI43" s="141">
        <f t="shared" si="208"/>
        <v>1248</v>
      </c>
      <c r="BJ43" s="141">
        <f t="shared" si="208"/>
        <v>3113</v>
      </c>
      <c r="BK43" s="141">
        <f t="shared" si="208"/>
        <v>3149</v>
      </c>
      <c r="BL43" s="141">
        <f t="shared" si="208"/>
        <v>2673</v>
      </c>
      <c r="BM43" s="141">
        <f t="shared" si="208"/>
        <v>1094</v>
      </c>
      <c r="BN43" s="141">
        <f t="shared" si="208"/>
        <v>6916</v>
      </c>
      <c r="BO43" s="141">
        <f t="shared" si="208"/>
        <v>5748</v>
      </c>
      <c r="BP43" s="141">
        <f t="shared" si="208"/>
        <v>3577</v>
      </c>
      <c r="BQ43" s="141">
        <f t="shared" si="208"/>
        <v>2770</v>
      </c>
      <c r="BR43" s="141">
        <f t="shared" si="208"/>
        <v>12095</v>
      </c>
      <c r="BS43" s="141">
        <f t="shared" si="208"/>
        <v>4293</v>
      </c>
      <c r="BT43" s="141">
        <f t="shared" si="208"/>
        <v>2633</v>
      </c>
      <c r="BU43" s="141">
        <f t="shared" si="208"/>
        <v>2014</v>
      </c>
      <c r="BV43" s="141">
        <f t="shared" si="208"/>
        <v>8940</v>
      </c>
      <c r="BW43" s="141">
        <f t="shared" si="208"/>
        <v>31064</v>
      </c>
      <c r="BX43" s="141">
        <f t="shared" si="208"/>
        <v>1465</v>
      </c>
      <c r="BY43" s="141">
        <f t="shared" si="208"/>
        <v>2535</v>
      </c>
      <c r="BZ43" s="141">
        <f t="shared" si="208"/>
        <v>1070</v>
      </c>
      <c r="CA43" s="141">
        <f t="shared" si="208"/>
        <v>2433</v>
      </c>
      <c r="CB43" s="141">
        <f t="shared" si="208"/>
        <v>2569</v>
      </c>
      <c r="CC43" s="141">
        <f t="shared" si="208"/>
        <v>136</v>
      </c>
      <c r="CD43" s="141">
        <f t="shared" si="208"/>
        <v>509</v>
      </c>
      <c r="CE43" s="141">
        <f t="shared" si="208"/>
        <v>2423</v>
      </c>
      <c r="CF43" s="141">
        <f t="shared" si="208"/>
        <v>1914</v>
      </c>
      <c r="CG43" s="141">
        <f t="shared" si="208"/>
        <v>12398</v>
      </c>
      <c r="CH43" s="141">
        <f t="shared" si="208"/>
        <v>1864</v>
      </c>
      <c r="CI43" s="141">
        <f t="shared" si="208"/>
        <v>1864</v>
      </c>
      <c r="CJ43" s="141">
        <f t="shared" si="208"/>
        <v>0</v>
      </c>
      <c r="CK43" s="141">
        <f t="shared" si="208"/>
        <v>2100</v>
      </c>
      <c r="CL43" s="141">
        <f t="shared" si="208"/>
        <v>2100</v>
      </c>
      <c r="CM43" s="141">
        <f t="shared" si="208"/>
        <v>0</v>
      </c>
      <c r="CN43" s="141">
        <f t="shared" si="208"/>
        <v>1853</v>
      </c>
      <c r="CO43" s="141">
        <f t="shared" si="208"/>
        <v>1891</v>
      </c>
      <c r="CP43" s="141">
        <f t="shared" si="208"/>
        <v>38</v>
      </c>
      <c r="CQ43" s="141">
        <f t="shared" si="208"/>
        <v>11035</v>
      </c>
      <c r="CR43" s="141">
        <f t="shared" si="208"/>
        <v>1778</v>
      </c>
      <c r="CS43" s="141">
        <f t="shared" si="208"/>
        <v>3158</v>
      </c>
      <c r="CT43" s="141">
        <f t="shared" si="208"/>
        <v>4936</v>
      </c>
      <c r="CU43" s="141">
        <f t="shared" si="208"/>
        <v>0</v>
      </c>
      <c r="CV43" s="141">
        <f t="shared" si="208"/>
        <v>0</v>
      </c>
      <c r="CW43" s="141">
        <f t="shared" si="208"/>
        <v>9872</v>
      </c>
      <c r="CX43" s="141">
        <f t="shared" si="208"/>
        <v>0</v>
      </c>
      <c r="CY43" s="141">
        <f t="shared" si="208"/>
        <v>0</v>
      </c>
      <c r="CZ43" s="141">
        <f t="shared" si="208"/>
        <v>0</v>
      </c>
      <c r="DA43" s="141">
        <f t="shared" si="208"/>
        <v>0</v>
      </c>
      <c r="DB43" s="141">
        <f t="shared" si="208"/>
        <v>33305</v>
      </c>
      <c r="DC43" s="141">
        <f t="shared" si="208"/>
        <v>327614</v>
      </c>
      <c r="DD43" s="4"/>
      <c r="DE43" s="20">
        <f>SUM(AJ43,AN43,BF43,BW43,DB43)</f>
        <v>144308</v>
      </c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4"/>
      <c r="DR43" s="4"/>
      <c r="DS43" s="4"/>
    </row>
    <row r="44" ht="15.75" customHeight="1">
      <c r="A44" s="167" t="s">
        <v>114</v>
      </c>
      <c r="B44" s="154">
        <v>0.0</v>
      </c>
      <c r="C44" s="154">
        <v>133.0</v>
      </c>
      <c r="D44" s="154">
        <v>218.0</v>
      </c>
      <c r="E44" s="154">
        <v>0.0</v>
      </c>
      <c r="F44" s="154">
        <v>332.0</v>
      </c>
      <c r="G44" s="154">
        <f t="shared" ref="G44:G48" si="209">SUM(B44:F44)</f>
        <v>683</v>
      </c>
      <c r="H44" s="154">
        <v>487.0</v>
      </c>
      <c r="I44" s="154">
        <v>64.0</v>
      </c>
      <c r="J44" s="154">
        <v>789.0</v>
      </c>
      <c r="K44" s="156">
        <f t="shared" ref="K44:K48" si="210">SUM(H44:J44)</f>
        <v>1340</v>
      </c>
      <c r="L44" s="154">
        <v>751.0</v>
      </c>
      <c r="M44" s="154">
        <v>436.0</v>
      </c>
      <c r="N44" s="154">
        <v>746.0</v>
      </c>
      <c r="O44" s="156">
        <f t="shared" ref="O44:O48" si="211">SUM(L44:N44)</f>
        <v>1933</v>
      </c>
      <c r="P44" s="154">
        <v>583.0</v>
      </c>
      <c r="Q44" s="154">
        <v>734.0</v>
      </c>
      <c r="R44" s="154">
        <v>745.0</v>
      </c>
      <c r="S44" s="156">
        <f t="shared" ref="S44:S48" si="212">SUM(P44:R44)</f>
        <v>2062</v>
      </c>
      <c r="T44" s="154">
        <v>1907.0</v>
      </c>
      <c r="U44" s="154">
        <v>1151.0</v>
      </c>
      <c r="V44" s="154">
        <v>1529.0</v>
      </c>
      <c r="W44" s="156">
        <f t="shared" ref="W44:W48" si="213">SUM(T44:V44)</f>
        <v>4587</v>
      </c>
      <c r="X44" s="156">
        <f t="shared" ref="X44:X48" si="214">SUM(W44,S44,O44,K44)</f>
        <v>9922</v>
      </c>
      <c r="Y44" s="154">
        <v>1584.0</v>
      </c>
      <c r="Z44" s="154">
        <v>813.0</v>
      </c>
      <c r="AA44" s="154">
        <v>591.0</v>
      </c>
      <c r="AB44" s="156">
        <f t="shared" ref="AB44:AB48" si="215">SUM(Y44:AA44)</f>
        <v>2988</v>
      </c>
      <c r="AC44" s="154">
        <v>40.0</v>
      </c>
      <c r="AD44" s="154">
        <v>82.0</v>
      </c>
      <c r="AE44" s="154">
        <v>422.0</v>
      </c>
      <c r="AF44" s="156">
        <f t="shared" ref="AF44:AF48" si="216">SUM(AC44:AE44)</f>
        <v>544</v>
      </c>
      <c r="AG44" s="154">
        <v>324.0</v>
      </c>
      <c r="AH44" s="154">
        <v>582.0</v>
      </c>
      <c r="AI44" s="154">
        <v>684.0</v>
      </c>
      <c r="AJ44" s="156">
        <f t="shared" ref="AJ44:AJ48" si="217">SUM(AG44:AI44)</f>
        <v>1590</v>
      </c>
      <c r="AK44" s="154">
        <v>188.0</v>
      </c>
      <c r="AL44" s="154">
        <v>306.0</v>
      </c>
      <c r="AM44" s="154">
        <v>214.0</v>
      </c>
      <c r="AN44" s="156">
        <f t="shared" ref="AN44:AN48" si="218">SUM(AK44:AM44)</f>
        <v>708</v>
      </c>
      <c r="AO44" s="156">
        <f t="shared" ref="AO44:AO48" si="219">SUM(AB44,AF44,AJ44,AN44)</f>
        <v>5830</v>
      </c>
      <c r="AP44" s="154">
        <v>5.0</v>
      </c>
      <c r="AQ44" s="154">
        <v>478.0</v>
      </c>
      <c r="AR44" s="156">
        <v>745.0</v>
      </c>
      <c r="AS44" s="154">
        <f t="shared" ref="AS44:AS48" si="220">SUM(AP44:AR44)</f>
        <v>1228</v>
      </c>
      <c r="AT44" s="154">
        <v>51.0</v>
      </c>
      <c r="AU44" s="154">
        <v>3.0</v>
      </c>
      <c r="AV44" s="154">
        <v>18.0</v>
      </c>
      <c r="AW44" s="154">
        <f t="shared" ref="AW44:AW48" si="221">SUM(AT44:AV44)</f>
        <v>72</v>
      </c>
      <c r="AX44" s="154">
        <v>99.0</v>
      </c>
      <c r="AY44" s="154">
        <v>249.0</v>
      </c>
      <c r="AZ44" s="154">
        <v>875.0</v>
      </c>
      <c r="BA44" s="154">
        <f t="shared" ref="BA44:BA48" si="222">SUM(AX44:AZ44)</f>
        <v>1223</v>
      </c>
      <c r="BB44" s="154">
        <v>1277.0</v>
      </c>
      <c r="BC44" s="154">
        <v>930.0</v>
      </c>
      <c r="BD44" s="154">
        <v>864.0</v>
      </c>
      <c r="BE44" s="154">
        <f t="shared" ref="BE44:BE48" si="223">SUM(BB44:BD44)</f>
        <v>3071</v>
      </c>
      <c r="BF44" s="154">
        <f t="shared" ref="BF44:BF48" si="224">SUM(AS44,AW44,BA44,BE44)</f>
        <v>5594</v>
      </c>
      <c r="BG44" s="154">
        <v>260.0</v>
      </c>
      <c r="BH44" s="154">
        <v>350.0</v>
      </c>
      <c r="BI44" s="154">
        <v>212.0</v>
      </c>
      <c r="BJ44" s="154">
        <f t="shared" ref="BJ44:BJ48" si="225">SUM(BG44:BI44)</f>
        <v>822</v>
      </c>
      <c r="BK44" s="154">
        <v>511.0</v>
      </c>
      <c r="BL44" s="154">
        <v>657.0</v>
      </c>
      <c r="BM44" s="154">
        <v>263.0</v>
      </c>
      <c r="BN44" s="154">
        <f t="shared" ref="BN44:BN48" si="226">SUM(BK44:BM44)</f>
        <v>1431</v>
      </c>
      <c r="BO44" s="154">
        <v>1426.0</v>
      </c>
      <c r="BP44" s="154">
        <v>396.0</v>
      </c>
      <c r="BQ44" s="154">
        <v>184.0</v>
      </c>
      <c r="BR44" s="154">
        <f t="shared" ref="BR44:BR48" si="227">SUM(BO44:BQ44)</f>
        <v>2006</v>
      </c>
      <c r="BS44" s="154">
        <v>445.0</v>
      </c>
      <c r="BT44" s="154">
        <v>372.0</v>
      </c>
      <c r="BU44" s="154">
        <v>103.0</v>
      </c>
      <c r="BV44" s="154">
        <f t="shared" ref="BV44:BV48" si="228">SUM(BS44:BU44)</f>
        <v>920</v>
      </c>
      <c r="BW44" s="154">
        <f t="shared" ref="BW44:BW48" si="229">SUM(BJ44,BN44,BR44,BV44)</f>
        <v>5179</v>
      </c>
      <c r="BX44" s="154">
        <v>299.0</v>
      </c>
      <c r="BY44" s="154">
        <v>299.0</v>
      </c>
      <c r="BZ44" s="154">
        <f t="shared" ref="BZ44:BZ48" si="230">BY44-BX44</f>
        <v>0</v>
      </c>
      <c r="CA44" s="154">
        <v>252.0</v>
      </c>
      <c r="CB44" s="154">
        <v>252.0</v>
      </c>
      <c r="CC44" s="154">
        <f t="shared" ref="CC44:CC48" si="231">CB44-CA44</f>
        <v>0</v>
      </c>
      <c r="CD44" s="154">
        <v>100.0</v>
      </c>
      <c r="CE44" s="154">
        <v>233.0</v>
      </c>
      <c r="CF44" s="154">
        <f t="shared" ref="CF44:CF48" si="232">CE44-CD44</f>
        <v>133</v>
      </c>
      <c r="CG44" s="154">
        <f t="shared" ref="CG44:CG46" si="233">SUM(BX44:CE44)</f>
        <v>1435</v>
      </c>
      <c r="CH44" s="154">
        <v>105.0</v>
      </c>
      <c r="CI44" s="154">
        <v>105.0</v>
      </c>
      <c r="CJ44" s="154">
        <f t="shared" ref="CJ44:CJ48" si="234">CI44-CH44</f>
        <v>0</v>
      </c>
      <c r="CK44" s="154">
        <v>107.0</v>
      </c>
      <c r="CL44" s="154">
        <v>107.0</v>
      </c>
      <c r="CM44" s="154">
        <f t="shared" ref="CM44:CM48" si="235">CL44-CK44</f>
        <v>0</v>
      </c>
      <c r="CN44" s="154">
        <v>73.0</v>
      </c>
      <c r="CO44" s="154">
        <v>74.0</v>
      </c>
      <c r="CP44" s="154">
        <f t="shared" ref="CP44:CP48" si="236">CO44-CN44</f>
        <v>1</v>
      </c>
      <c r="CQ44" s="154">
        <f t="shared" ref="CQ44:CQ46" si="237">SUM(CH44:CO44)</f>
        <v>571</v>
      </c>
      <c r="CR44" s="154">
        <v>68.0</v>
      </c>
      <c r="CS44" s="154">
        <f t="shared" ref="CS44:CS48" si="238">SUM(BZ44,CC44,CF44,CJ44,CM44,CP44)</f>
        <v>134</v>
      </c>
      <c r="CT44" s="154">
        <f t="shared" ref="CT44:CT48" si="239">CR44+CS44</f>
        <v>202</v>
      </c>
      <c r="CU44" s="154"/>
      <c r="CV44" s="154"/>
      <c r="CW44" s="154">
        <f t="shared" ref="CW44:CW48" si="240">SUM(CR44:CV44)</f>
        <v>404</v>
      </c>
      <c r="CX44" s="154"/>
      <c r="CY44" s="154"/>
      <c r="CZ44" s="154"/>
      <c r="DA44" s="154">
        <f t="shared" ref="DA44:DA48" si="241">SUM(CX44:CZ44)</f>
        <v>0</v>
      </c>
      <c r="DB44" s="154">
        <f t="shared" ref="DB44:DB48" si="242">SUM(CG44,CQ44,CW44,DA44)</f>
        <v>2410</v>
      </c>
      <c r="DC44" s="171">
        <f t="shared" ref="DC44:DC48" si="243">SUM(A44,G44,X44,AO44,BF44,BW44,DB44)</f>
        <v>29618</v>
      </c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1"/>
      <c r="DR44" s="4"/>
      <c r="DS44" s="4"/>
    </row>
    <row r="45" ht="15.75" customHeight="1">
      <c r="A45" s="167" t="s">
        <v>115</v>
      </c>
      <c r="B45" s="154">
        <v>61.0</v>
      </c>
      <c r="C45" s="154">
        <v>1322.0</v>
      </c>
      <c r="D45" s="154">
        <v>1050.0</v>
      </c>
      <c r="E45" s="154">
        <v>625.0</v>
      </c>
      <c r="F45" s="154">
        <v>1581.0</v>
      </c>
      <c r="G45" s="154">
        <f t="shared" si="209"/>
        <v>4639</v>
      </c>
      <c r="H45" s="154">
        <v>3136.0</v>
      </c>
      <c r="I45" s="154">
        <v>2618.0</v>
      </c>
      <c r="J45" s="154">
        <v>1505.0</v>
      </c>
      <c r="K45" s="156">
        <f t="shared" si="210"/>
        <v>7259</v>
      </c>
      <c r="L45" s="154">
        <v>1147.0</v>
      </c>
      <c r="M45" s="154">
        <v>1274.0</v>
      </c>
      <c r="N45" s="154">
        <v>2539.0</v>
      </c>
      <c r="O45" s="156">
        <f t="shared" si="211"/>
        <v>4960</v>
      </c>
      <c r="P45" s="154">
        <v>1584.0</v>
      </c>
      <c r="Q45" s="154">
        <v>2845.0</v>
      </c>
      <c r="R45" s="154">
        <v>4257.0</v>
      </c>
      <c r="S45" s="156">
        <f t="shared" si="212"/>
        <v>8686</v>
      </c>
      <c r="T45" s="154">
        <v>3324.0</v>
      </c>
      <c r="U45" s="154">
        <v>1429.0</v>
      </c>
      <c r="V45" s="154">
        <v>667.0</v>
      </c>
      <c r="W45" s="156">
        <f t="shared" si="213"/>
        <v>5420</v>
      </c>
      <c r="X45" s="156">
        <f t="shared" si="214"/>
        <v>26325</v>
      </c>
      <c r="Y45" s="154">
        <v>183.0</v>
      </c>
      <c r="Z45" s="154">
        <v>71.0</v>
      </c>
      <c r="AA45" s="154">
        <v>258.0</v>
      </c>
      <c r="AB45" s="156">
        <f t="shared" si="215"/>
        <v>512</v>
      </c>
      <c r="AC45" s="154">
        <v>72.0</v>
      </c>
      <c r="AD45" s="154">
        <v>62.0</v>
      </c>
      <c r="AE45" s="154">
        <v>995.0</v>
      </c>
      <c r="AF45" s="156">
        <f t="shared" si="216"/>
        <v>1129</v>
      </c>
      <c r="AG45" s="154">
        <v>1180.0</v>
      </c>
      <c r="AH45" s="154">
        <v>1411.0</v>
      </c>
      <c r="AI45" s="154">
        <v>1802.0</v>
      </c>
      <c r="AJ45" s="156">
        <f t="shared" si="217"/>
        <v>4393</v>
      </c>
      <c r="AK45" s="154">
        <v>1159.0</v>
      </c>
      <c r="AL45" s="154">
        <v>738.0</v>
      </c>
      <c r="AM45" s="154">
        <v>484.0</v>
      </c>
      <c r="AN45" s="156">
        <f t="shared" si="218"/>
        <v>2381</v>
      </c>
      <c r="AO45" s="156">
        <f t="shared" si="219"/>
        <v>8415</v>
      </c>
      <c r="AP45" s="154">
        <v>738.0</v>
      </c>
      <c r="AQ45" s="154">
        <v>2018.0</v>
      </c>
      <c r="AR45" s="156">
        <v>995.0</v>
      </c>
      <c r="AS45" s="154">
        <f t="shared" si="220"/>
        <v>3751</v>
      </c>
      <c r="AT45" s="154">
        <v>121.0</v>
      </c>
      <c r="AU45" s="154">
        <v>413.0</v>
      </c>
      <c r="AV45" s="154">
        <v>936.0</v>
      </c>
      <c r="AW45" s="154">
        <f t="shared" si="221"/>
        <v>1470</v>
      </c>
      <c r="AX45" s="154">
        <v>1027.0</v>
      </c>
      <c r="AY45" s="154">
        <v>700.0</v>
      </c>
      <c r="AZ45" s="154">
        <v>900.0</v>
      </c>
      <c r="BA45" s="154">
        <f t="shared" si="222"/>
        <v>2627</v>
      </c>
      <c r="BB45" s="154">
        <v>686.0</v>
      </c>
      <c r="BC45" s="154">
        <v>546.0</v>
      </c>
      <c r="BD45" s="154">
        <v>1028.0</v>
      </c>
      <c r="BE45" s="154">
        <f t="shared" si="223"/>
        <v>2260</v>
      </c>
      <c r="BF45" s="154">
        <f t="shared" si="224"/>
        <v>10108</v>
      </c>
      <c r="BG45" s="154">
        <v>49.0</v>
      </c>
      <c r="BH45" s="154">
        <v>128.0</v>
      </c>
      <c r="BI45" s="154">
        <v>244.0</v>
      </c>
      <c r="BJ45" s="154">
        <f t="shared" si="225"/>
        <v>421</v>
      </c>
      <c r="BK45" s="154">
        <v>481.0</v>
      </c>
      <c r="BL45" s="154">
        <v>374.0</v>
      </c>
      <c r="BM45" s="154">
        <v>173.0</v>
      </c>
      <c r="BN45" s="154">
        <f t="shared" si="226"/>
        <v>1028</v>
      </c>
      <c r="BO45" s="154">
        <v>1084.0</v>
      </c>
      <c r="BP45" s="154">
        <v>566.0</v>
      </c>
      <c r="BQ45" s="154">
        <v>455.0</v>
      </c>
      <c r="BR45" s="154">
        <f t="shared" si="227"/>
        <v>2105</v>
      </c>
      <c r="BS45" s="154">
        <v>925.0</v>
      </c>
      <c r="BT45" s="154">
        <v>129.0</v>
      </c>
      <c r="BU45" s="154">
        <v>552.0</v>
      </c>
      <c r="BV45" s="154">
        <f t="shared" si="228"/>
        <v>1606</v>
      </c>
      <c r="BW45" s="154">
        <f t="shared" si="229"/>
        <v>5160</v>
      </c>
      <c r="BX45" s="154">
        <v>167.0</v>
      </c>
      <c r="BY45" s="154">
        <v>520.0</v>
      </c>
      <c r="BZ45" s="154">
        <f t="shared" si="230"/>
        <v>353</v>
      </c>
      <c r="CA45" s="154">
        <v>162.0</v>
      </c>
      <c r="CB45" s="154">
        <v>162.0</v>
      </c>
      <c r="CC45" s="154">
        <f t="shared" si="231"/>
        <v>0</v>
      </c>
      <c r="CD45" s="154">
        <v>70.0</v>
      </c>
      <c r="CE45" s="154">
        <v>351.0</v>
      </c>
      <c r="CF45" s="154">
        <f t="shared" si="232"/>
        <v>281</v>
      </c>
      <c r="CG45" s="154">
        <f t="shared" si="233"/>
        <v>1785</v>
      </c>
      <c r="CH45" s="154">
        <v>125.0</v>
      </c>
      <c r="CI45" s="154">
        <v>125.0</v>
      </c>
      <c r="CJ45" s="154">
        <f t="shared" si="234"/>
        <v>0</v>
      </c>
      <c r="CK45" s="154">
        <v>275.0</v>
      </c>
      <c r="CL45" s="154">
        <v>275.0</v>
      </c>
      <c r="CM45" s="154">
        <f t="shared" si="235"/>
        <v>0</v>
      </c>
      <c r="CN45" s="154">
        <v>370.0</v>
      </c>
      <c r="CO45" s="154">
        <v>384.0</v>
      </c>
      <c r="CP45" s="154">
        <f t="shared" si="236"/>
        <v>14</v>
      </c>
      <c r="CQ45" s="154">
        <f t="shared" si="237"/>
        <v>1554</v>
      </c>
      <c r="CR45" s="154">
        <v>137.0</v>
      </c>
      <c r="CS45" s="154">
        <f t="shared" si="238"/>
        <v>648</v>
      </c>
      <c r="CT45" s="154">
        <f t="shared" si="239"/>
        <v>785</v>
      </c>
      <c r="CU45" s="154"/>
      <c r="CV45" s="154"/>
      <c r="CW45" s="154">
        <f t="shared" si="240"/>
        <v>1570</v>
      </c>
      <c r="CX45" s="154"/>
      <c r="CY45" s="154"/>
      <c r="CZ45" s="154"/>
      <c r="DA45" s="154">
        <f t="shared" si="241"/>
        <v>0</v>
      </c>
      <c r="DB45" s="154">
        <f t="shared" si="242"/>
        <v>4909</v>
      </c>
      <c r="DC45" s="171">
        <f t="shared" si="243"/>
        <v>59556</v>
      </c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1"/>
      <c r="DR45" s="4"/>
      <c r="DS45" s="4"/>
    </row>
    <row r="46" ht="15.75" customHeight="1">
      <c r="A46" s="167" t="s">
        <v>116</v>
      </c>
      <c r="B46" s="154">
        <v>41.0</v>
      </c>
      <c r="C46" s="154">
        <v>107.0</v>
      </c>
      <c r="D46" s="154">
        <v>1028.0</v>
      </c>
      <c r="E46" s="154">
        <v>648.0</v>
      </c>
      <c r="F46" s="154">
        <v>3468.0</v>
      </c>
      <c r="G46" s="154">
        <f t="shared" si="209"/>
        <v>5292</v>
      </c>
      <c r="H46" s="154">
        <v>2223.0</v>
      </c>
      <c r="I46" s="154">
        <v>2169.0</v>
      </c>
      <c r="J46" s="154">
        <v>4279.0</v>
      </c>
      <c r="K46" s="156">
        <f t="shared" si="210"/>
        <v>8671</v>
      </c>
      <c r="L46" s="154">
        <v>3018.0</v>
      </c>
      <c r="M46" s="154">
        <v>4131.0</v>
      </c>
      <c r="N46" s="154">
        <v>2407.0</v>
      </c>
      <c r="O46" s="156">
        <f t="shared" si="211"/>
        <v>9556</v>
      </c>
      <c r="P46" s="154">
        <v>2521.0</v>
      </c>
      <c r="Q46" s="154">
        <v>6109.0</v>
      </c>
      <c r="R46" s="154">
        <v>6625.0</v>
      </c>
      <c r="S46" s="156">
        <f t="shared" si="212"/>
        <v>15255</v>
      </c>
      <c r="T46" s="154">
        <v>6620.0</v>
      </c>
      <c r="U46" s="154">
        <v>3914.0</v>
      </c>
      <c r="V46" s="154">
        <v>2666.0</v>
      </c>
      <c r="W46" s="156">
        <f t="shared" si="213"/>
        <v>13200</v>
      </c>
      <c r="X46" s="156">
        <f t="shared" si="214"/>
        <v>46682</v>
      </c>
      <c r="Y46" s="154">
        <v>1965.0</v>
      </c>
      <c r="Z46" s="154">
        <v>784.0</v>
      </c>
      <c r="AA46" s="154">
        <v>1003.0</v>
      </c>
      <c r="AB46" s="156">
        <f t="shared" si="215"/>
        <v>3752</v>
      </c>
      <c r="AC46" s="154">
        <v>2.0</v>
      </c>
      <c r="AD46" s="154">
        <v>179.0</v>
      </c>
      <c r="AE46" s="154">
        <v>1288.0</v>
      </c>
      <c r="AF46" s="156">
        <f t="shared" si="216"/>
        <v>1469</v>
      </c>
      <c r="AG46" s="154">
        <v>1023.0</v>
      </c>
      <c r="AH46" s="154">
        <v>1431.0</v>
      </c>
      <c r="AI46" s="154">
        <v>2042.0</v>
      </c>
      <c r="AJ46" s="156">
        <f t="shared" si="217"/>
        <v>4496</v>
      </c>
      <c r="AK46" s="154">
        <v>1397.0</v>
      </c>
      <c r="AL46" s="154">
        <v>817.0</v>
      </c>
      <c r="AM46" s="154">
        <v>800.0</v>
      </c>
      <c r="AN46" s="156">
        <f t="shared" si="218"/>
        <v>3014</v>
      </c>
      <c r="AO46" s="156">
        <f t="shared" si="219"/>
        <v>12731</v>
      </c>
      <c r="AP46" s="154">
        <v>280.0</v>
      </c>
      <c r="AQ46" s="154">
        <v>491.0</v>
      </c>
      <c r="AR46" s="156">
        <v>1207.0</v>
      </c>
      <c r="AS46" s="154">
        <f t="shared" si="220"/>
        <v>1978</v>
      </c>
      <c r="AT46" s="154">
        <v>639.0</v>
      </c>
      <c r="AU46" s="154">
        <v>28.0</v>
      </c>
      <c r="AV46" s="154">
        <v>1176.0</v>
      </c>
      <c r="AW46" s="154">
        <f t="shared" si="221"/>
        <v>1843</v>
      </c>
      <c r="AX46" s="154">
        <v>1848.0</v>
      </c>
      <c r="AY46" s="154">
        <v>2360.0</v>
      </c>
      <c r="AZ46" s="154">
        <v>1357.0</v>
      </c>
      <c r="BA46" s="154">
        <f t="shared" si="222"/>
        <v>5565</v>
      </c>
      <c r="BB46" s="154">
        <v>620.0</v>
      </c>
      <c r="BC46" s="154">
        <v>1583.0</v>
      </c>
      <c r="BD46" s="154">
        <v>2177.0</v>
      </c>
      <c r="BE46" s="154">
        <f t="shared" si="223"/>
        <v>4380</v>
      </c>
      <c r="BF46" s="154">
        <f t="shared" si="224"/>
        <v>13766</v>
      </c>
      <c r="BG46" s="154">
        <v>71.0</v>
      </c>
      <c r="BH46" s="154">
        <v>212.0</v>
      </c>
      <c r="BI46" s="154">
        <v>208.0</v>
      </c>
      <c r="BJ46" s="154">
        <f t="shared" si="225"/>
        <v>491</v>
      </c>
      <c r="BK46" s="154">
        <v>838.0</v>
      </c>
      <c r="BL46" s="154">
        <v>633.0</v>
      </c>
      <c r="BM46" s="154">
        <v>323.0</v>
      </c>
      <c r="BN46" s="154">
        <f t="shared" si="226"/>
        <v>1794</v>
      </c>
      <c r="BO46" s="154">
        <v>1038.0</v>
      </c>
      <c r="BP46" s="154">
        <v>571.0</v>
      </c>
      <c r="BQ46" s="154">
        <v>421.0</v>
      </c>
      <c r="BR46" s="154">
        <f t="shared" si="227"/>
        <v>2030</v>
      </c>
      <c r="BS46" s="154">
        <v>653.0</v>
      </c>
      <c r="BT46" s="154">
        <v>555.0</v>
      </c>
      <c r="BU46" s="154">
        <v>490.0</v>
      </c>
      <c r="BV46" s="154">
        <f t="shared" si="228"/>
        <v>1698</v>
      </c>
      <c r="BW46" s="154">
        <f t="shared" si="229"/>
        <v>6013</v>
      </c>
      <c r="BX46" s="154">
        <v>0.0</v>
      </c>
      <c r="BY46" s="154">
        <v>459.0</v>
      </c>
      <c r="BZ46" s="154">
        <f t="shared" si="230"/>
        <v>459</v>
      </c>
      <c r="CA46" s="154">
        <v>551.0</v>
      </c>
      <c r="CB46" s="154">
        <v>686.0</v>
      </c>
      <c r="CC46" s="154">
        <f t="shared" si="231"/>
        <v>135</v>
      </c>
      <c r="CD46" s="154">
        <v>36.0</v>
      </c>
      <c r="CE46" s="154">
        <v>336.0</v>
      </c>
      <c r="CF46" s="154">
        <f t="shared" si="232"/>
        <v>300</v>
      </c>
      <c r="CG46" s="154">
        <f t="shared" si="233"/>
        <v>2662</v>
      </c>
      <c r="CH46" s="154">
        <v>328.0</v>
      </c>
      <c r="CI46" s="154">
        <v>328.0</v>
      </c>
      <c r="CJ46" s="154">
        <f t="shared" si="234"/>
        <v>0</v>
      </c>
      <c r="CK46" s="154">
        <v>404.0</v>
      </c>
      <c r="CL46" s="154">
        <v>404.0</v>
      </c>
      <c r="CM46" s="154">
        <f t="shared" si="235"/>
        <v>0</v>
      </c>
      <c r="CN46" s="154">
        <v>479.0</v>
      </c>
      <c r="CO46" s="154">
        <v>479.0</v>
      </c>
      <c r="CP46" s="154">
        <f t="shared" si="236"/>
        <v>0</v>
      </c>
      <c r="CQ46" s="154">
        <f t="shared" si="237"/>
        <v>2422</v>
      </c>
      <c r="CR46" s="154">
        <v>408.0</v>
      </c>
      <c r="CS46" s="154">
        <f t="shared" si="238"/>
        <v>894</v>
      </c>
      <c r="CT46" s="154">
        <f t="shared" si="239"/>
        <v>1302</v>
      </c>
      <c r="CU46" s="154"/>
      <c r="CV46" s="154"/>
      <c r="CW46" s="154">
        <f t="shared" si="240"/>
        <v>2604</v>
      </c>
      <c r="CX46" s="154"/>
      <c r="CY46" s="154"/>
      <c r="CZ46" s="154"/>
      <c r="DA46" s="154">
        <f t="shared" si="241"/>
        <v>0</v>
      </c>
      <c r="DB46" s="154">
        <f t="shared" si="242"/>
        <v>7688</v>
      </c>
      <c r="DC46" s="171">
        <f t="shared" si="243"/>
        <v>92172</v>
      </c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1"/>
      <c r="DR46" s="4"/>
      <c r="DS46" s="4"/>
    </row>
    <row r="47" ht="15.75" customHeight="1">
      <c r="A47" s="169" t="s">
        <v>117</v>
      </c>
      <c r="B47" s="154">
        <v>0.0</v>
      </c>
      <c r="C47" s="154">
        <v>1333.0</v>
      </c>
      <c r="D47" s="154">
        <v>2329.0</v>
      </c>
      <c r="E47" s="154">
        <v>2707.0</v>
      </c>
      <c r="F47" s="154">
        <v>3192.0</v>
      </c>
      <c r="G47" s="154">
        <f t="shared" si="209"/>
        <v>9561</v>
      </c>
      <c r="H47" s="154">
        <v>2072.0</v>
      </c>
      <c r="I47" s="154">
        <v>2427.0</v>
      </c>
      <c r="J47" s="154">
        <v>1541.0</v>
      </c>
      <c r="K47" s="156">
        <f t="shared" si="210"/>
        <v>6040</v>
      </c>
      <c r="L47" s="154">
        <v>6875.0</v>
      </c>
      <c r="M47" s="154">
        <v>2191.0</v>
      </c>
      <c r="N47" s="154">
        <v>4869.0</v>
      </c>
      <c r="O47" s="156">
        <f t="shared" si="211"/>
        <v>13935</v>
      </c>
      <c r="P47" s="154">
        <v>2521.0</v>
      </c>
      <c r="Q47" s="154">
        <v>320.0</v>
      </c>
      <c r="R47" s="154">
        <v>5027.0</v>
      </c>
      <c r="S47" s="156">
        <f t="shared" si="212"/>
        <v>7868</v>
      </c>
      <c r="T47" s="154">
        <v>3993.0</v>
      </c>
      <c r="U47" s="154">
        <v>3911.0</v>
      </c>
      <c r="V47" s="154">
        <v>7203.0</v>
      </c>
      <c r="W47" s="156">
        <f t="shared" si="213"/>
        <v>15107</v>
      </c>
      <c r="X47" s="156">
        <f t="shared" si="214"/>
        <v>42950</v>
      </c>
      <c r="Y47" s="154">
        <v>624.0</v>
      </c>
      <c r="Z47" s="154">
        <v>910.0</v>
      </c>
      <c r="AA47" s="154">
        <v>3163.0</v>
      </c>
      <c r="AB47" s="156">
        <f t="shared" si="215"/>
        <v>4697</v>
      </c>
      <c r="AC47" s="154">
        <v>1859.0</v>
      </c>
      <c r="AD47" s="154">
        <v>285.0</v>
      </c>
      <c r="AE47" s="154">
        <v>1697.0</v>
      </c>
      <c r="AF47" s="156">
        <f t="shared" si="216"/>
        <v>3841</v>
      </c>
      <c r="AG47" s="154">
        <v>960.0</v>
      </c>
      <c r="AH47" s="154">
        <v>1695.0</v>
      </c>
      <c r="AI47" s="154">
        <v>1754.0</v>
      </c>
      <c r="AJ47" s="156">
        <f t="shared" si="217"/>
        <v>4409</v>
      </c>
      <c r="AK47" s="154">
        <v>1253.0</v>
      </c>
      <c r="AL47" s="154">
        <v>595.0</v>
      </c>
      <c r="AM47" s="154">
        <v>976.0</v>
      </c>
      <c r="AN47" s="156">
        <f t="shared" si="218"/>
        <v>2824</v>
      </c>
      <c r="AO47" s="156">
        <f t="shared" si="219"/>
        <v>15771</v>
      </c>
      <c r="AP47" s="154">
        <v>1327.0</v>
      </c>
      <c r="AQ47" s="154">
        <v>2458.0</v>
      </c>
      <c r="AR47" s="156">
        <v>3771.0</v>
      </c>
      <c r="AS47" s="154">
        <f t="shared" si="220"/>
        <v>7556</v>
      </c>
      <c r="AT47" s="154">
        <v>808.0</v>
      </c>
      <c r="AU47" s="154">
        <v>424.0</v>
      </c>
      <c r="AV47" s="154">
        <v>1035.0</v>
      </c>
      <c r="AW47" s="154">
        <f t="shared" si="221"/>
        <v>2267</v>
      </c>
      <c r="AX47" s="154">
        <v>1371.0</v>
      </c>
      <c r="AY47" s="154">
        <v>2028.0</v>
      </c>
      <c r="AZ47" s="154">
        <v>2392.0</v>
      </c>
      <c r="BA47" s="154">
        <f t="shared" si="222"/>
        <v>5791</v>
      </c>
      <c r="BB47" s="154">
        <v>1808.0</v>
      </c>
      <c r="BC47" s="154">
        <v>1877.0</v>
      </c>
      <c r="BD47" s="154">
        <v>1635.0</v>
      </c>
      <c r="BE47" s="154">
        <f t="shared" si="223"/>
        <v>5320</v>
      </c>
      <c r="BF47" s="154">
        <f t="shared" si="224"/>
        <v>20934</v>
      </c>
      <c r="BG47" s="154">
        <v>13.0</v>
      </c>
      <c r="BH47" s="154">
        <v>131.0</v>
      </c>
      <c r="BI47" s="154">
        <v>231.0</v>
      </c>
      <c r="BJ47" s="154">
        <f t="shared" si="225"/>
        <v>375</v>
      </c>
      <c r="BK47" s="154">
        <v>542.0</v>
      </c>
      <c r="BL47" s="154">
        <v>530.0</v>
      </c>
      <c r="BM47" s="154">
        <v>100.0</v>
      </c>
      <c r="BN47" s="154">
        <f t="shared" si="226"/>
        <v>1172</v>
      </c>
      <c r="BO47" s="154">
        <v>1509.0</v>
      </c>
      <c r="BP47" s="154">
        <v>1350.0</v>
      </c>
      <c r="BQ47" s="154">
        <v>999.0</v>
      </c>
      <c r="BR47" s="154">
        <f t="shared" si="227"/>
        <v>3858</v>
      </c>
      <c r="BS47" s="154">
        <v>1500.0</v>
      </c>
      <c r="BT47" s="154">
        <v>1111.0</v>
      </c>
      <c r="BU47" s="154">
        <v>356.0</v>
      </c>
      <c r="BV47" s="154">
        <f t="shared" si="228"/>
        <v>2967</v>
      </c>
      <c r="BW47" s="154">
        <f t="shared" si="229"/>
        <v>8372</v>
      </c>
      <c r="BX47" s="154">
        <v>468.0</v>
      </c>
      <c r="BY47" s="154">
        <f>287+442</f>
        <v>729</v>
      </c>
      <c r="BZ47" s="154">
        <f t="shared" si="230"/>
        <v>261</v>
      </c>
      <c r="CA47" s="154">
        <v>974.0</v>
      </c>
      <c r="CB47" s="154">
        <f>381+594</f>
        <v>975</v>
      </c>
      <c r="CC47" s="154">
        <f t="shared" si="231"/>
        <v>1</v>
      </c>
      <c r="CD47" s="154">
        <v>193.0</v>
      </c>
      <c r="CE47" s="154">
        <f>472+270</f>
        <v>742</v>
      </c>
      <c r="CF47" s="154">
        <f t="shared" si="232"/>
        <v>549</v>
      </c>
      <c r="CG47" s="154">
        <f>SUM(BX47:CD47)</f>
        <v>3601</v>
      </c>
      <c r="CH47" s="154">
        <v>843.0</v>
      </c>
      <c r="CI47" s="154">
        <f>745+98</f>
        <v>843</v>
      </c>
      <c r="CJ47" s="154">
        <f t="shared" si="234"/>
        <v>0</v>
      </c>
      <c r="CK47" s="154">
        <f t="shared" ref="CK47:CL47" si="244">327+501</f>
        <v>828</v>
      </c>
      <c r="CL47" s="154">
        <f t="shared" si="244"/>
        <v>828</v>
      </c>
      <c r="CM47" s="154">
        <f t="shared" si="235"/>
        <v>0</v>
      </c>
      <c r="CN47" s="154">
        <f>604+17</f>
        <v>621</v>
      </c>
      <c r="CO47" s="154">
        <f>620+17</f>
        <v>637</v>
      </c>
      <c r="CP47" s="154">
        <f t="shared" si="236"/>
        <v>16</v>
      </c>
      <c r="CQ47" s="154">
        <f>SUM(CH47:CN47)</f>
        <v>3963</v>
      </c>
      <c r="CR47" s="154">
        <f>277+464</f>
        <v>741</v>
      </c>
      <c r="CS47" s="154">
        <f t="shared" si="238"/>
        <v>827</v>
      </c>
      <c r="CT47" s="154">
        <f t="shared" si="239"/>
        <v>1568</v>
      </c>
      <c r="CU47" s="154"/>
      <c r="CV47" s="154"/>
      <c r="CW47" s="154">
        <f t="shared" si="240"/>
        <v>3136</v>
      </c>
      <c r="CX47" s="154"/>
      <c r="CY47" s="154"/>
      <c r="CZ47" s="154"/>
      <c r="DA47" s="154">
        <f t="shared" si="241"/>
        <v>0</v>
      </c>
      <c r="DB47" s="154">
        <f t="shared" si="242"/>
        <v>10700</v>
      </c>
      <c r="DC47" s="171">
        <f t="shared" si="243"/>
        <v>108288</v>
      </c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4"/>
      <c r="DR47" s="4"/>
      <c r="DS47" s="4"/>
    </row>
    <row r="48" ht="15.75" customHeight="1">
      <c r="A48" s="167" t="s">
        <v>118</v>
      </c>
      <c r="B48" s="154">
        <v>110.0</v>
      </c>
      <c r="C48" s="154">
        <v>152.0</v>
      </c>
      <c r="D48" s="154">
        <v>118.0</v>
      </c>
      <c r="E48" s="154">
        <v>1306.0</v>
      </c>
      <c r="F48" s="154">
        <v>573.0</v>
      </c>
      <c r="G48" s="154">
        <f t="shared" si="209"/>
        <v>2259</v>
      </c>
      <c r="H48" s="154">
        <v>296.0</v>
      </c>
      <c r="I48" s="154">
        <v>163.0</v>
      </c>
      <c r="J48" s="154">
        <v>1083.0</v>
      </c>
      <c r="K48" s="156">
        <f t="shared" si="210"/>
        <v>1542</v>
      </c>
      <c r="L48" s="154">
        <v>112.0</v>
      </c>
      <c r="M48" s="154">
        <v>2293.0</v>
      </c>
      <c r="N48" s="154">
        <v>836.0</v>
      </c>
      <c r="O48" s="156">
        <f t="shared" si="211"/>
        <v>3241</v>
      </c>
      <c r="P48" s="154">
        <v>1505.0</v>
      </c>
      <c r="Q48" s="154">
        <v>25.0</v>
      </c>
      <c r="R48" s="154">
        <v>1425.0</v>
      </c>
      <c r="S48" s="156">
        <f t="shared" si="212"/>
        <v>2955</v>
      </c>
      <c r="T48" s="154">
        <v>661.0</v>
      </c>
      <c r="U48" s="154">
        <v>1042.0</v>
      </c>
      <c r="V48" s="154">
        <v>1175.0</v>
      </c>
      <c r="W48" s="156">
        <f t="shared" si="213"/>
        <v>2878</v>
      </c>
      <c r="X48" s="156">
        <f t="shared" si="214"/>
        <v>10616</v>
      </c>
      <c r="Y48" s="154">
        <v>987.0</v>
      </c>
      <c r="Z48" s="154">
        <v>1810.0</v>
      </c>
      <c r="AA48" s="154">
        <v>877.0</v>
      </c>
      <c r="AB48" s="156">
        <f t="shared" si="215"/>
        <v>3674</v>
      </c>
      <c r="AC48" s="154">
        <v>214.0</v>
      </c>
      <c r="AD48" s="154">
        <v>856.0</v>
      </c>
      <c r="AE48" s="154">
        <v>701.0</v>
      </c>
      <c r="AF48" s="156">
        <f t="shared" si="216"/>
        <v>1771</v>
      </c>
      <c r="AG48" s="154">
        <v>378.0</v>
      </c>
      <c r="AH48" s="154">
        <v>641.0</v>
      </c>
      <c r="AI48" s="154">
        <v>720.0</v>
      </c>
      <c r="AJ48" s="156">
        <f t="shared" si="217"/>
        <v>1739</v>
      </c>
      <c r="AK48" s="154">
        <v>495.0</v>
      </c>
      <c r="AL48" s="154">
        <v>292.0</v>
      </c>
      <c r="AM48" s="154">
        <v>245.0</v>
      </c>
      <c r="AN48" s="156">
        <f t="shared" si="218"/>
        <v>1032</v>
      </c>
      <c r="AO48" s="156">
        <f t="shared" si="219"/>
        <v>8216</v>
      </c>
      <c r="AP48" s="154">
        <v>81.0</v>
      </c>
      <c r="AQ48" s="154">
        <v>288.0</v>
      </c>
      <c r="AR48" s="156">
        <v>287.0</v>
      </c>
      <c r="AS48" s="154">
        <f t="shared" si="220"/>
        <v>656</v>
      </c>
      <c r="AT48" s="154">
        <v>41.0</v>
      </c>
      <c r="AU48" s="154">
        <v>73.0</v>
      </c>
      <c r="AV48" s="154">
        <v>138.0</v>
      </c>
      <c r="AW48" s="154">
        <f t="shared" si="221"/>
        <v>252</v>
      </c>
      <c r="AX48" s="154">
        <v>125.0</v>
      </c>
      <c r="AY48" s="154">
        <v>233.0</v>
      </c>
      <c r="AZ48" s="154">
        <v>293.0</v>
      </c>
      <c r="BA48" s="154">
        <f t="shared" si="222"/>
        <v>651</v>
      </c>
      <c r="BB48" s="154">
        <v>393.0</v>
      </c>
      <c r="BC48" s="154">
        <v>644.0</v>
      </c>
      <c r="BD48" s="154">
        <v>355.0</v>
      </c>
      <c r="BE48" s="154">
        <f t="shared" si="223"/>
        <v>1392</v>
      </c>
      <c r="BF48" s="154">
        <f t="shared" si="224"/>
        <v>2951</v>
      </c>
      <c r="BG48" s="154">
        <v>264.0</v>
      </c>
      <c r="BH48" s="154">
        <v>387.0</v>
      </c>
      <c r="BI48" s="154">
        <v>353.0</v>
      </c>
      <c r="BJ48" s="154">
        <f t="shared" si="225"/>
        <v>1004</v>
      </c>
      <c r="BK48" s="154">
        <v>777.0</v>
      </c>
      <c r="BL48" s="154">
        <v>479.0</v>
      </c>
      <c r="BM48" s="154">
        <v>235.0</v>
      </c>
      <c r="BN48" s="154">
        <f t="shared" si="226"/>
        <v>1491</v>
      </c>
      <c r="BO48" s="154">
        <v>691.0</v>
      </c>
      <c r="BP48" s="154">
        <v>694.0</v>
      </c>
      <c r="BQ48" s="154">
        <v>711.0</v>
      </c>
      <c r="BR48" s="154">
        <f t="shared" si="227"/>
        <v>2096</v>
      </c>
      <c r="BS48" s="154">
        <v>770.0</v>
      </c>
      <c r="BT48" s="154">
        <v>466.0</v>
      </c>
      <c r="BU48" s="154">
        <v>513.0</v>
      </c>
      <c r="BV48" s="154">
        <f t="shared" si="228"/>
        <v>1749</v>
      </c>
      <c r="BW48" s="154">
        <f t="shared" si="229"/>
        <v>6340</v>
      </c>
      <c r="BX48" s="154">
        <v>531.0</v>
      </c>
      <c r="BY48" s="154">
        <v>528.0</v>
      </c>
      <c r="BZ48" s="154">
        <f t="shared" si="230"/>
        <v>-3</v>
      </c>
      <c r="CA48" s="154">
        <v>494.0</v>
      </c>
      <c r="CB48" s="154">
        <v>494.0</v>
      </c>
      <c r="CC48" s="154">
        <f t="shared" si="231"/>
        <v>0</v>
      </c>
      <c r="CD48" s="154">
        <v>110.0</v>
      </c>
      <c r="CE48" s="154">
        <v>761.0</v>
      </c>
      <c r="CF48" s="154">
        <f t="shared" si="232"/>
        <v>651</v>
      </c>
      <c r="CG48" s="154">
        <f>SUM(BX48:CE48)</f>
        <v>2915</v>
      </c>
      <c r="CH48" s="154">
        <v>463.0</v>
      </c>
      <c r="CI48" s="154">
        <v>463.0</v>
      </c>
      <c r="CJ48" s="154">
        <f t="shared" si="234"/>
        <v>0</v>
      </c>
      <c r="CK48" s="154">
        <v>486.0</v>
      </c>
      <c r="CL48" s="154">
        <v>486.0</v>
      </c>
      <c r="CM48" s="154">
        <f t="shared" si="235"/>
        <v>0</v>
      </c>
      <c r="CN48" s="154">
        <v>310.0</v>
      </c>
      <c r="CO48" s="154">
        <v>317.0</v>
      </c>
      <c r="CP48" s="154">
        <f t="shared" si="236"/>
        <v>7</v>
      </c>
      <c r="CQ48" s="154">
        <f>SUM(CH48:CO48)</f>
        <v>2525</v>
      </c>
      <c r="CR48" s="154">
        <v>424.0</v>
      </c>
      <c r="CS48" s="154">
        <f t="shared" si="238"/>
        <v>655</v>
      </c>
      <c r="CT48" s="154">
        <f t="shared" si="239"/>
        <v>1079</v>
      </c>
      <c r="CU48" s="154"/>
      <c r="CV48" s="154"/>
      <c r="CW48" s="154">
        <f t="shared" si="240"/>
        <v>2158</v>
      </c>
      <c r="CX48" s="154"/>
      <c r="CY48" s="154"/>
      <c r="CZ48" s="154"/>
      <c r="DA48" s="154">
        <f t="shared" si="241"/>
        <v>0</v>
      </c>
      <c r="DB48" s="154">
        <f t="shared" si="242"/>
        <v>7598</v>
      </c>
      <c r="DC48" s="171">
        <f t="shared" si="243"/>
        <v>37980</v>
      </c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4"/>
      <c r="DR48" s="4"/>
      <c r="DS48" s="4"/>
    </row>
    <row r="49" ht="15.75" customHeight="1">
      <c r="A49" s="137" t="s">
        <v>119</v>
      </c>
      <c r="B49" s="141">
        <f t="shared" ref="B49:BF49" si="245">SUM(B50:B55)</f>
        <v>5653</v>
      </c>
      <c r="C49" s="141">
        <f t="shared" si="245"/>
        <v>9552</v>
      </c>
      <c r="D49" s="141">
        <f t="shared" si="245"/>
        <v>6082</v>
      </c>
      <c r="E49" s="141">
        <f t="shared" si="245"/>
        <v>10146</v>
      </c>
      <c r="F49" s="141">
        <f t="shared" si="245"/>
        <v>32221</v>
      </c>
      <c r="G49" s="141">
        <f t="shared" si="245"/>
        <v>63654</v>
      </c>
      <c r="H49" s="141">
        <f t="shared" si="245"/>
        <v>38346</v>
      </c>
      <c r="I49" s="141">
        <f t="shared" si="245"/>
        <v>34540</v>
      </c>
      <c r="J49" s="141">
        <f t="shared" si="245"/>
        <v>25608</v>
      </c>
      <c r="K49" s="142">
        <f t="shared" si="245"/>
        <v>98494</v>
      </c>
      <c r="L49" s="141">
        <f t="shared" si="245"/>
        <v>17280</v>
      </c>
      <c r="M49" s="141">
        <f t="shared" si="245"/>
        <v>35056</v>
      </c>
      <c r="N49" s="141">
        <f t="shared" si="245"/>
        <v>35232</v>
      </c>
      <c r="O49" s="142">
        <f t="shared" si="245"/>
        <v>87568</v>
      </c>
      <c r="P49" s="141">
        <f t="shared" si="245"/>
        <v>39122</v>
      </c>
      <c r="Q49" s="141">
        <f t="shared" si="245"/>
        <v>36095</v>
      </c>
      <c r="R49" s="141">
        <f t="shared" si="245"/>
        <v>42729</v>
      </c>
      <c r="S49" s="142">
        <f t="shared" si="245"/>
        <v>117946</v>
      </c>
      <c r="T49" s="141">
        <f t="shared" si="245"/>
        <v>31193</v>
      </c>
      <c r="U49" s="141">
        <f t="shared" si="245"/>
        <v>20357</v>
      </c>
      <c r="V49" s="141">
        <f t="shared" si="245"/>
        <v>22653</v>
      </c>
      <c r="W49" s="142">
        <f t="shared" si="245"/>
        <v>74203</v>
      </c>
      <c r="X49" s="142">
        <f t="shared" si="245"/>
        <v>378211</v>
      </c>
      <c r="Y49" s="141">
        <f t="shared" si="245"/>
        <v>11706</v>
      </c>
      <c r="Z49" s="141">
        <f t="shared" si="245"/>
        <v>4724</v>
      </c>
      <c r="AA49" s="141">
        <f t="shared" si="245"/>
        <v>20172</v>
      </c>
      <c r="AB49" s="142">
        <f t="shared" si="245"/>
        <v>36602</v>
      </c>
      <c r="AC49" s="141">
        <f t="shared" si="245"/>
        <v>9510</v>
      </c>
      <c r="AD49" s="141">
        <f t="shared" si="245"/>
        <v>7303</v>
      </c>
      <c r="AE49" s="141">
        <f t="shared" si="245"/>
        <v>9171</v>
      </c>
      <c r="AF49" s="142">
        <f t="shared" si="245"/>
        <v>25984</v>
      </c>
      <c r="AG49" s="141">
        <f t="shared" si="245"/>
        <v>8955</v>
      </c>
      <c r="AH49" s="141">
        <f t="shared" si="245"/>
        <v>3351</v>
      </c>
      <c r="AI49" s="141">
        <f t="shared" si="245"/>
        <v>3731</v>
      </c>
      <c r="AJ49" s="142">
        <f t="shared" si="245"/>
        <v>16037</v>
      </c>
      <c r="AK49" s="141">
        <f t="shared" si="245"/>
        <v>3589</v>
      </c>
      <c r="AL49" s="141">
        <f t="shared" si="245"/>
        <v>3293</v>
      </c>
      <c r="AM49" s="141">
        <f t="shared" si="245"/>
        <v>2191</v>
      </c>
      <c r="AN49" s="142">
        <f t="shared" si="245"/>
        <v>9073</v>
      </c>
      <c r="AO49" s="142">
        <f t="shared" si="245"/>
        <v>87696</v>
      </c>
      <c r="AP49" s="141">
        <f t="shared" si="245"/>
        <v>1008</v>
      </c>
      <c r="AQ49" s="141">
        <f t="shared" si="245"/>
        <v>3714</v>
      </c>
      <c r="AR49" s="142">
        <f t="shared" si="245"/>
        <v>2504</v>
      </c>
      <c r="AS49" s="141">
        <f t="shared" si="245"/>
        <v>7226</v>
      </c>
      <c r="AT49" s="141">
        <f t="shared" si="245"/>
        <v>1320</v>
      </c>
      <c r="AU49" s="141">
        <f t="shared" si="245"/>
        <v>1467</v>
      </c>
      <c r="AV49" s="141">
        <f t="shared" si="245"/>
        <v>1634</v>
      </c>
      <c r="AW49" s="142">
        <f t="shared" si="245"/>
        <v>4421</v>
      </c>
      <c r="AX49" s="141">
        <f t="shared" si="245"/>
        <v>4060</v>
      </c>
      <c r="AY49" s="141">
        <f t="shared" si="245"/>
        <v>4163</v>
      </c>
      <c r="AZ49" s="141">
        <f t="shared" si="245"/>
        <v>2296</v>
      </c>
      <c r="BA49" s="142">
        <f t="shared" si="245"/>
        <v>10519</v>
      </c>
      <c r="BB49" s="141">
        <f t="shared" si="245"/>
        <v>1437</v>
      </c>
      <c r="BC49" s="141">
        <f t="shared" si="245"/>
        <v>1880</v>
      </c>
      <c r="BD49" s="141">
        <f t="shared" si="245"/>
        <v>1545</v>
      </c>
      <c r="BE49" s="142">
        <f t="shared" si="245"/>
        <v>4862</v>
      </c>
      <c r="BF49" s="141">
        <f t="shared" si="245"/>
        <v>27028</v>
      </c>
      <c r="BG49" s="141">
        <v>1229.0</v>
      </c>
      <c r="BH49" s="141">
        <v>1229.0</v>
      </c>
      <c r="BI49" s="141">
        <v>1229.0</v>
      </c>
      <c r="BJ49" s="141">
        <f>SUM(BJ50:BJ55)</f>
        <v>6103</v>
      </c>
      <c r="BK49" s="141">
        <v>3132.0</v>
      </c>
      <c r="BL49" s="141">
        <v>3132.0</v>
      </c>
      <c r="BM49" s="141">
        <v>3132.0</v>
      </c>
      <c r="BN49" s="141">
        <f t="shared" ref="BN49:DC49" si="246">SUM(BN50:BN55)</f>
        <v>8221</v>
      </c>
      <c r="BO49" s="141">
        <f t="shared" si="246"/>
        <v>1501</v>
      </c>
      <c r="BP49" s="141">
        <f t="shared" si="246"/>
        <v>2448</v>
      </c>
      <c r="BQ49" s="141">
        <f t="shared" si="246"/>
        <v>2657</v>
      </c>
      <c r="BR49" s="141">
        <f t="shared" si="246"/>
        <v>6606</v>
      </c>
      <c r="BS49" s="141">
        <f t="shared" si="246"/>
        <v>1397</v>
      </c>
      <c r="BT49" s="141">
        <f t="shared" si="246"/>
        <v>1454</v>
      </c>
      <c r="BU49" s="141">
        <f t="shared" si="246"/>
        <v>994</v>
      </c>
      <c r="BV49" s="141">
        <f t="shared" si="246"/>
        <v>3845</v>
      </c>
      <c r="BW49" s="141">
        <f t="shared" si="246"/>
        <v>24775</v>
      </c>
      <c r="BX49" s="141">
        <f t="shared" si="246"/>
        <v>0</v>
      </c>
      <c r="BY49" s="141">
        <f t="shared" si="246"/>
        <v>494</v>
      </c>
      <c r="BZ49" s="141">
        <f t="shared" si="246"/>
        <v>494</v>
      </c>
      <c r="CA49" s="141">
        <f t="shared" si="246"/>
        <v>0</v>
      </c>
      <c r="CB49" s="141">
        <f t="shared" si="246"/>
        <v>2705</v>
      </c>
      <c r="CC49" s="141">
        <f t="shared" si="246"/>
        <v>2705</v>
      </c>
      <c r="CD49" s="141">
        <f t="shared" si="246"/>
        <v>769</v>
      </c>
      <c r="CE49" s="141">
        <f t="shared" si="246"/>
        <v>2236</v>
      </c>
      <c r="CF49" s="141">
        <f t="shared" si="246"/>
        <v>1467</v>
      </c>
      <c r="CG49" s="141">
        <f t="shared" si="246"/>
        <v>9403</v>
      </c>
      <c r="CH49" s="141">
        <f t="shared" si="246"/>
        <v>1515</v>
      </c>
      <c r="CI49" s="141">
        <f t="shared" si="246"/>
        <v>1558</v>
      </c>
      <c r="CJ49" s="141">
        <f t="shared" si="246"/>
        <v>43</v>
      </c>
      <c r="CK49" s="141">
        <f t="shared" si="246"/>
        <v>1142</v>
      </c>
      <c r="CL49" s="141">
        <f t="shared" si="246"/>
        <v>1142</v>
      </c>
      <c r="CM49" s="141">
        <f t="shared" si="246"/>
        <v>0</v>
      </c>
      <c r="CN49" s="141">
        <f t="shared" si="246"/>
        <v>1218</v>
      </c>
      <c r="CO49" s="141">
        <f t="shared" si="246"/>
        <v>1311</v>
      </c>
      <c r="CP49" s="141">
        <f t="shared" si="246"/>
        <v>93</v>
      </c>
      <c r="CQ49" s="141">
        <f t="shared" si="246"/>
        <v>7929</v>
      </c>
      <c r="CR49" s="141">
        <f t="shared" si="246"/>
        <v>1465</v>
      </c>
      <c r="CS49" s="141">
        <f t="shared" si="246"/>
        <v>4802</v>
      </c>
      <c r="CT49" s="141">
        <f t="shared" si="246"/>
        <v>6267</v>
      </c>
      <c r="CU49" s="141">
        <f t="shared" si="246"/>
        <v>0</v>
      </c>
      <c r="CV49" s="141">
        <f t="shared" si="246"/>
        <v>0</v>
      </c>
      <c r="CW49" s="141">
        <f t="shared" si="246"/>
        <v>12534</v>
      </c>
      <c r="CX49" s="141">
        <f t="shared" si="246"/>
        <v>0</v>
      </c>
      <c r="CY49" s="141">
        <f t="shared" si="246"/>
        <v>0</v>
      </c>
      <c r="CZ49" s="141">
        <f t="shared" si="246"/>
        <v>0</v>
      </c>
      <c r="DA49" s="141">
        <f t="shared" si="246"/>
        <v>0</v>
      </c>
      <c r="DB49" s="141">
        <f t="shared" si="246"/>
        <v>29866</v>
      </c>
      <c r="DC49" s="141">
        <f t="shared" si="246"/>
        <v>611230</v>
      </c>
      <c r="DD49" s="4"/>
      <c r="DE49" s="20">
        <f>SUM(AJ49,AN49,BF49,BW49,DB49)</f>
        <v>106779</v>
      </c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4"/>
      <c r="DR49" s="4"/>
      <c r="DS49" s="4"/>
    </row>
    <row r="50" ht="15.75" customHeight="1">
      <c r="A50" s="167" t="s">
        <v>120</v>
      </c>
      <c r="B50" s="154">
        <v>1170.0</v>
      </c>
      <c r="C50" s="154">
        <v>1843.0</v>
      </c>
      <c r="D50" s="154">
        <v>1027.0</v>
      </c>
      <c r="E50" s="154">
        <v>2625.0</v>
      </c>
      <c r="F50" s="154">
        <v>8567.0</v>
      </c>
      <c r="G50" s="154">
        <f t="shared" ref="G50:G55" si="247">SUM(B50:F50)</f>
        <v>15232</v>
      </c>
      <c r="H50" s="154">
        <v>6427.0</v>
      </c>
      <c r="I50" s="154">
        <v>5331.0</v>
      </c>
      <c r="J50" s="155">
        <v>6650.0</v>
      </c>
      <c r="K50" s="156">
        <f t="shared" ref="K50:K55" si="248">SUM(H50:J50)</f>
        <v>18408</v>
      </c>
      <c r="L50" s="154">
        <v>4224.0</v>
      </c>
      <c r="M50" s="154">
        <v>3898.0</v>
      </c>
      <c r="N50" s="154">
        <v>3362.0</v>
      </c>
      <c r="O50" s="156">
        <f t="shared" ref="O50:O55" si="249">SUM(L50:N50)</f>
        <v>11484</v>
      </c>
      <c r="P50" s="154">
        <v>4309.0</v>
      </c>
      <c r="Q50" s="154">
        <v>3878.0</v>
      </c>
      <c r="R50" s="154">
        <v>7893.0</v>
      </c>
      <c r="S50" s="156">
        <f t="shared" ref="S50:S55" si="250">SUM(P50:R50)</f>
        <v>16080</v>
      </c>
      <c r="T50" s="154">
        <v>2298.0</v>
      </c>
      <c r="U50" s="154">
        <v>1797.0</v>
      </c>
      <c r="V50" s="154">
        <v>2345.0</v>
      </c>
      <c r="W50" s="156">
        <f t="shared" ref="W50:W55" si="251">SUM(T50:V50)</f>
        <v>6440</v>
      </c>
      <c r="X50" s="156">
        <f t="shared" ref="X50:X55" si="252">SUM(W50,S50,O50,K50)</f>
        <v>52412</v>
      </c>
      <c r="Y50" s="154">
        <v>868.0</v>
      </c>
      <c r="Z50" s="154">
        <v>361.0</v>
      </c>
      <c r="AA50" s="155">
        <v>1742.0</v>
      </c>
      <c r="AB50" s="156">
        <f t="shared" ref="AB50:AB55" si="253">SUM(Y50:AA50)</f>
        <v>2971</v>
      </c>
      <c r="AC50" s="154">
        <v>1651.0</v>
      </c>
      <c r="AD50" s="154">
        <v>614.0</v>
      </c>
      <c r="AE50" s="154">
        <v>769.0</v>
      </c>
      <c r="AF50" s="156">
        <f t="shared" ref="AF50:AF55" si="254">SUM(AC50:AE50)</f>
        <v>3034</v>
      </c>
      <c r="AG50" s="154">
        <v>1211.0</v>
      </c>
      <c r="AH50" s="154">
        <v>755.0</v>
      </c>
      <c r="AI50" s="154">
        <v>875.0</v>
      </c>
      <c r="AJ50" s="156">
        <f t="shared" ref="AJ50:AJ55" si="255">SUM(AG50:AI50)</f>
        <v>2841</v>
      </c>
      <c r="AK50" s="154">
        <v>800.0</v>
      </c>
      <c r="AL50" s="154">
        <v>583.0</v>
      </c>
      <c r="AM50" s="154">
        <v>234.0</v>
      </c>
      <c r="AN50" s="156">
        <f t="shared" ref="AN50:AN55" si="256">SUM(AK50:AM50)</f>
        <v>1617</v>
      </c>
      <c r="AO50" s="156">
        <f t="shared" ref="AO50:AO55" si="257">SUM(AB50,AF50,AJ50,AN50)</f>
        <v>10463</v>
      </c>
      <c r="AP50" s="154">
        <v>90.0</v>
      </c>
      <c r="AQ50" s="154">
        <v>260.0</v>
      </c>
      <c r="AR50" s="156">
        <v>210.0</v>
      </c>
      <c r="AS50" s="154">
        <f t="shared" ref="AS50:AS55" si="258">SUM(AP50:AR50)</f>
        <v>560</v>
      </c>
      <c r="AT50" s="154">
        <v>145.0</v>
      </c>
      <c r="AU50" s="154">
        <v>126.0</v>
      </c>
      <c r="AV50" s="154">
        <v>152.0</v>
      </c>
      <c r="AW50" s="154">
        <f t="shared" ref="AW50:AW55" si="259">SUM(AT50:AV50)</f>
        <v>423</v>
      </c>
      <c r="AX50" s="154">
        <v>715.0</v>
      </c>
      <c r="AY50" s="154">
        <v>440.0</v>
      </c>
      <c r="AZ50" s="154">
        <v>722.0</v>
      </c>
      <c r="BA50" s="154">
        <f t="shared" ref="BA50:BA55" si="260">SUM(AX50:AZ50)</f>
        <v>1877</v>
      </c>
      <c r="BB50" s="154">
        <v>347.0</v>
      </c>
      <c r="BC50" s="154">
        <v>286.0</v>
      </c>
      <c r="BD50" s="154">
        <v>371.0</v>
      </c>
      <c r="BE50" s="154">
        <f t="shared" ref="BE50:BE55" si="261">SUM(BB50:BD50)</f>
        <v>1004</v>
      </c>
      <c r="BF50" s="154">
        <f t="shared" ref="BF50:BF55" si="262">SUM(AS50,AW50,BA50,BE50)</f>
        <v>3864</v>
      </c>
      <c r="BG50" s="154">
        <v>261.0</v>
      </c>
      <c r="BH50" s="154">
        <v>458.0</v>
      </c>
      <c r="BI50" s="154">
        <v>189.0</v>
      </c>
      <c r="BJ50" s="154">
        <f t="shared" ref="BJ50:BJ55" si="263">SUM(BG50:BI50)</f>
        <v>908</v>
      </c>
      <c r="BK50" s="154">
        <v>682.0</v>
      </c>
      <c r="BL50" s="154">
        <v>398.0</v>
      </c>
      <c r="BM50" s="154">
        <v>742.0</v>
      </c>
      <c r="BN50" s="154">
        <f t="shared" ref="BN50:BN55" si="264">SUM(BK50:BM50)</f>
        <v>1822</v>
      </c>
      <c r="BO50" s="154">
        <v>193.0</v>
      </c>
      <c r="BP50" s="154">
        <v>240.0</v>
      </c>
      <c r="BQ50" s="154">
        <v>630.0</v>
      </c>
      <c r="BR50" s="154">
        <f t="shared" ref="BR50:BR55" si="265">SUM(BO50:BQ50)</f>
        <v>1063</v>
      </c>
      <c r="BS50" s="154">
        <v>554.0</v>
      </c>
      <c r="BT50" s="154">
        <v>283.0</v>
      </c>
      <c r="BU50" s="154">
        <v>248.0</v>
      </c>
      <c r="BV50" s="154">
        <f t="shared" ref="BV50:BV55" si="266">SUM(BS50:BU50)</f>
        <v>1085</v>
      </c>
      <c r="BW50" s="154">
        <f t="shared" ref="BW50:BW55" si="267">SUM(BJ50,BN50,BR50,BV50)</f>
        <v>4878</v>
      </c>
      <c r="BX50" s="154">
        <v>0.0</v>
      </c>
      <c r="BY50" s="154">
        <v>50.0</v>
      </c>
      <c r="BZ50" s="154">
        <f t="shared" ref="BZ50:BZ55" si="268">BY50-BX50</f>
        <v>50</v>
      </c>
      <c r="CA50" s="154">
        <v>0.0</v>
      </c>
      <c r="CB50" s="154">
        <v>406.0</v>
      </c>
      <c r="CC50" s="154">
        <f t="shared" ref="CC50:CC55" si="269">CB50-CA50</f>
        <v>406</v>
      </c>
      <c r="CD50" s="154">
        <v>171.0</v>
      </c>
      <c r="CE50" s="154">
        <v>928.0</v>
      </c>
      <c r="CF50" s="154">
        <f t="shared" ref="CF50:CF55" si="270">CE50-CD50</f>
        <v>757</v>
      </c>
      <c r="CG50" s="154">
        <f t="shared" ref="CG50:CG55" si="271">SUM(BX50:CE50)</f>
        <v>2011</v>
      </c>
      <c r="CH50" s="152">
        <v>441.0</v>
      </c>
      <c r="CI50" s="154">
        <v>442.0</v>
      </c>
      <c r="CJ50" s="154">
        <f t="shared" ref="CJ50:CJ55" si="272">CI50-CH50</f>
        <v>1</v>
      </c>
      <c r="CK50" s="154">
        <v>186.0</v>
      </c>
      <c r="CL50" s="155">
        <v>186.0</v>
      </c>
      <c r="CM50" s="154">
        <f t="shared" ref="CM50:CM55" si="273">CL50-CK50</f>
        <v>0</v>
      </c>
      <c r="CN50" s="155">
        <v>203.0</v>
      </c>
      <c r="CO50" s="155">
        <v>203.0</v>
      </c>
      <c r="CP50" s="154">
        <f t="shared" ref="CP50:CP55" si="274">CO50-CN50</f>
        <v>0</v>
      </c>
      <c r="CQ50" s="154">
        <f t="shared" ref="CQ50:CQ55" si="275">SUM(CH50:CO50)</f>
        <v>1662</v>
      </c>
      <c r="CR50" s="154">
        <v>338.0</v>
      </c>
      <c r="CS50" s="154">
        <f t="shared" ref="CS50:CS55" si="276">SUM(BZ50,CC50,CF50,CJ50,CM50,CP50)</f>
        <v>1214</v>
      </c>
      <c r="CT50" s="154">
        <f t="shared" ref="CT50:CT55" si="277">CR50+CS50</f>
        <v>1552</v>
      </c>
      <c r="CU50" s="154"/>
      <c r="CV50" s="155"/>
      <c r="CW50" s="154">
        <f t="shared" ref="CW50:CW55" si="278">SUM(CR50:CV50)</f>
        <v>3104</v>
      </c>
      <c r="CX50" s="154"/>
      <c r="CY50" s="154"/>
      <c r="CZ50" s="155"/>
      <c r="DA50" s="154">
        <f t="shared" ref="DA50:DA55" si="279">SUM(CX50:CZ50)</f>
        <v>0</v>
      </c>
      <c r="DB50" s="154">
        <f t="shared" ref="DB50:DB55" si="280">SUM(CG50,CQ50,CW50,DA50)</f>
        <v>6777</v>
      </c>
      <c r="DC50" s="171">
        <f t="shared" ref="DC50:DC55" si="281">SUM(A50,G50,X50,AO50,BF50,BW50,DB50)</f>
        <v>93626</v>
      </c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</row>
    <row r="51" ht="15.75" customHeight="1">
      <c r="A51" s="167" t="s">
        <v>121</v>
      </c>
      <c r="B51" s="154">
        <v>933.0</v>
      </c>
      <c r="C51" s="154">
        <v>1273.0</v>
      </c>
      <c r="D51" s="154">
        <v>1307.0</v>
      </c>
      <c r="E51" s="154">
        <v>275.0</v>
      </c>
      <c r="F51" s="154">
        <v>1963.0</v>
      </c>
      <c r="G51" s="154">
        <f t="shared" si="247"/>
        <v>5751</v>
      </c>
      <c r="H51" s="154">
        <v>4957.0</v>
      </c>
      <c r="I51" s="154">
        <v>1256.0</v>
      </c>
      <c r="J51" s="154">
        <v>1279.0</v>
      </c>
      <c r="K51" s="156">
        <f t="shared" si="248"/>
        <v>7492</v>
      </c>
      <c r="L51" s="154">
        <v>1959.0</v>
      </c>
      <c r="M51" s="154">
        <v>3030.0</v>
      </c>
      <c r="N51" s="154">
        <v>2892.0</v>
      </c>
      <c r="O51" s="156">
        <f t="shared" si="249"/>
        <v>7881</v>
      </c>
      <c r="P51" s="154">
        <v>2073.0</v>
      </c>
      <c r="Q51" s="154">
        <v>4335.0</v>
      </c>
      <c r="R51" s="154">
        <v>1965.0</v>
      </c>
      <c r="S51" s="156">
        <f t="shared" si="250"/>
        <v>8373</v>
      </c>
      <c r="T51" s="154">
        <v>1869.0</v>
      </c>
      <c r="U51" s="154">
        <v>1142.0</v>
      </c>
      <c r="V51" s="154">
        <v>2248.0</v>
      </c>
      <c r="W51" s="156">
        <f t="shared" si="251"/>
        <v>5259</v>
      </c>
      <c r="X51" s="156">
        <f t="shared" si="252"/>
        <v>29005</v>
      </c>
      <c r="Y51" s="154">
        <v>1273.0</v>
      </c>
      <c r="Z51" s="154">
        <v>400.0</v>
      </c>
      <c r="AA51" s="154">
        <v>2506.0</v>
      </c>
      <c r="AB51" s="156">
        <f t="shared" si="253"/>
        <v>4179</v>
      </c>
      <c r="AC51" s="154">
        <v>1495.0</v>
      </c>
      <c r="AD51" s="154">
        <v>1427.0</v>
      </c>
      <c r="AE51" s="154">
        <v>998.0</v>
      </c>
      <c r="AF51" s="156">
        <f t="shared" si="254"/>
        <v>3920</v>
      </c>
      <c r="AG51" s="154">
        <v>621.0</v>
      </c>
      <c r="AH51" s="154">
        <v>425.0</v>
      </c>
      <c r="AI51" s="154">
        <v>357.0</v>
      </c>
      <c r="AJ51" s="156">
        <f t="shared" si="255"/>
        <v>1403</v>
      </c>
      <c r="AK51" s="154">
        <v>274.0</v>
      </c>
      <c r="AL51" s="154">
        <v>292.0</v>
      </c>
      <c r="AM51" s="154">
        <v>227.0</v>
      </c>
      <c r="AN51" s="156">
        <f t="shared" si="256"/>
        <v>793</v>
      </c>
      <c r="AO51" s="156">
        <f t="shared" si="257"/>
        <v>10295</v>
      </c>
      <c r="AP51" s="154">
        <v>62.0</v>
      </c>
      <c r="AQ51" s="154">
        <v>253.0</v>
      </c>
      <c r="AR51" s="156">
        <v>112.0</v>
      </c>
      <c r="AS51" s="154">
        <f t="shared" si="258"/>
        <v>427</v>
      </c>
      <c r="AT51" s="154">
        <v>235.0</v>
      </c>
      <c r="AU51" s="154">
        <v>74.0</v>
      </c>
      <c r="AV51" s="154">
        <v>248.0</v>
      </c>
      <c r="AW51" s="154">
        <f t="shared" si="259"/>
        <v>557</v>
      </c>
      <c r="AX51" s="154">
        <v>281.0</v>
      </c>
      <c r="AY51" s="154">
        <v>390.0</v>
      </c>
      <c r="AZ51" s="154">
        <v>97.0</v>
      </c>
      <c r="BA51" s="154">
        <f t="shared" si="260"/>
        <v>768</v>
      </c>
      <c r="BB51" s="154">
        <v>356.0</v>
      </c>
      <c r="BC51" s="154">
        <v>230.0</v>
      </c>
      <c r="BD51" s="154">
        <v>201.0</v>
      </c>
      <c r="BE51" s="154">
        <f t="shared" si="261"/>
        <v>787</v>
      </c>
      <c r="BF51" s="154">
        <f t="shared" si="262"/>
        <v>2539</v>
      </c>
      <c r="BG51" s="154">
        <v>86.0</v>
      </c>
      <c r="BH51" s="154">
        <v>44.0</v>
      </c>
      <c r="BI51" s="154">
        <v>505.0</v>
      </c>
      <c r="BJ51" s="154">
        <f t="shared" si="263"/>
        <v>635</v>
      </c>
      <c r="BK51" s="154">
        <v>351.0</v>
      </c>
      <c r="BL51" s="154">
        <v>425.0</v>
      </c>
      <c r="BM51" s="154">
        <v>400.0</v>
      </c>
      <c r="BN51" s="154">
        <f t="shared" si="264"/>
        <v>1176</v>
      </c>
      <c r="BO51" s="154">
        <v>148.0</v>
      </c>
      <c r="BP51" s="154">
        <v>69.0</v>
      </c>
      <c r="BQ51" s="154">
        <v>594.0</v>
      </c>
      <c r="BR51" s="154">
        <f t="shared" si="265"/>
        <v>811</v>
      </c>
      <c r="BS51" s="154">
        <v>23.0</v>
      </c>
      <c r="BT51" s="154">
        <v>45.0</v>
      </c>
      <c r="BU51" s="154">
        <v>148.0</v>
      </c>
      <c r="BV51" s="154">
        <f t="shared" si="266"/>
        <v>216</v>
      </c>
      <c r="BW51" s="154">
        <f t="shared" si="267"/>
        <v>2838</v>
      </c>
      <c r="BX51" s="154">
        <v>0.0</v>
      </c>
      <c r="BY51" s="154">
        <v>61.0</v>
      </c>
      <c r="BZ51" s="154">
        <f t="shared" si="268"/>
        <v>61</v>
      </c>
      <c r="CA51" s="154">
        <v>0.0</v>
      </c>
      <c r="CB51" s="154">
        <v>472.0</v>
      </c>
      <c r="CC51" s="154">
        <f t="shared" si="269"/>
        <v>472</v>
      </c>
      <c r="CD51" s="154">
        <v>84.0</v>
      </c>
      <c r="CE51" s="154">
        <v>132.0</v>
      </c>
      <c r="CF51" s="154">
        <f t="shared" si="270"/>
        <v>48</v>
      </c>
      <c r="CG51" s="154">
        <f t="shared" si="271"/>
        <v>1282</v>
      </c>
      <c r="CH51" s="152">
        <v>43.0</v>
      </c>
      <c r="CI51" s="154">
        <v>45.0</v>
      </c>
      <c r="CJ51" s="154">
        <f t="shared" si="272"/>
        <v>2</v>
      </c>
      <c r="CK51" s="154">
        <v>134.0</v>
      </c>
      <c r="CL51" s="154">
        <v>134.0</v>
      </c>
      <c r="CM51" s="154">
        <f t="shared" si="273"/>
        <v>0</v>
      </c>
      <c r="CN51" s="154">
        <v>170.0</v>
      </c>
      <c r="CO51" s="154">
        <v>224.0</v>
      </c>
      <c r="CP51" s="154">
        <f t="shared" si="274"/>
        <v>54</v>
      </c>
      <c r="CQ51" s="154">
        <f t="shared" si="275"/>
        <v>752</v>
      </c>
      <c r="CR51" s="154">
        <v>196.0</v>
      </c>
      <c r="CS51" s="154">
        <f t="shared" si="276"/>
        <v>637</v>
      </c>
      <c r="CT51" s="154">
        <f t="shared" si="277"/>
        <v>833</v>
      </c>
      <c r="CU51" s="154"/>
      <c r="CV51" s="154"/>
      <c r="CW51" s="154">
        <f t="shared" si="278"/>
        <v>1666</v>
      </c>
      <c r="CX51" s="154"/>
      <c r="CY51" s="154"/>
      <c r="CZ51" s="154"/>
      <c r="DA51" s="154">
        <f t="shared" si="279"/>
        <v>0</v>
      </c>
      <c r="DB51" s="154">
        <f t="shared" si="280"/>
        <v>3700</v>
      </c>
      <c r="DC51" s="171">
        <f t="shared" si="281"/>
        <v>54128</v>
      </c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</row>
    <row r="52" ht="15.75" customHeight="1">
      <c r="A52" s="167" t="s">
        <v>122</v>
      </c>
      <c r="B52" s="154">
        <v>59.0</v>
      </c>
      <c r="C52" s="154">
        <v>1036.0</v>
      </c>
      <c r="D52" s="154">
        <v>686.0</v>
      </c>
      <c r="E52" s="154">
        <v>1940.0</v>
      </c>
      <c r="F52" s="154">
        <v>5646.0</v>
      </c>
      <c r="G52" s="154">
        <f t="shared" si="247"/>
        <v>9367</v>
      </c>
      <c r="H52" s="154">
        <v>11301.0</v>
      </c>
      <c r="I52" s="154">
        <v>20180.0</v>
      </c>
      <c r="J52" s="154">
        <v>9865.0</v>
      </c>
      <c r="K52" s="156">
        <f t="shared" si="248"/>
        <v>41346</v>
      </c>
      <c r="L52" s="154">
        <v>5868.0</v>
      </c>
      <c r="M52" s="154">
        <v>11204.0</v>
      </c>
      <c r="N52" s="154">
        <v>11449.0</v>
      </c>
      <c r="O52" s="156">
        <f t="shared" si="249"/>
        <v>28521</v>
      </c>
      <c r="P52" s="154">
        <v>12222.0</v>
      </c>
      <c r="Q52" s="154">
        <v>10104.0</v>
      </c>
      <c r="R52" s="154">
        <v>18272.0</v>
      </c>
      <c r="S52" s="156">
        <f t="shared" si="250"/>
        <v>40598</v>
      </c>
      <c r="T52" s="154">
        <v>8685.0</v>
      </c>
      <c r="U52" s="154">
        <v>5007.0</v>
      </c>
      <c r="V52" s="154">
        <v>6216.0</v>
      </c>
      <c r="W52" s="156">
        <f t="shared" si="251"/>
        <v>19908</v>
      </c>
      <c r="X52" s="156">
        <f t="shared" si="252"/>
        <v>130373</v>
      </c>
      <c r="Y52" s="154">
        <v>4446.0</v>
      </c>
      <c r="Z52" s="154">
        <v>1179.0</v>
      </c>
      <c r="AA52" s="154">
        <v>4835.0</v>
      </c>
      <c r="AB52" s="156">
        <f t="shared" si="253"/>
        <v>10460</v>
      </c>
      <c r="AC52" s="154">
        <v>2490.0</v>
      </c>
      <c r="AD52" s="154">
        <v>1196.0</v>
      </c>
      <c r="AE52" s="154">
        <v>2550.0</v>
      </c>
      <c r="AF52" s="156">
        <f t="shared" si="254"/>
        <v>6236</v>
      </c>
      <c r="AG52" s="154">
        <v>1918.0</v>
      </c>
      <c r="AH52" s="154">
        <v>750.0</v>
      </c>
      <c r="AI52" s="154">
        <v>483.0</v>
      </c>
      <c r="AJ52" s="156">
        <f t="shared" si="255"/>
        <v>3151</v>
      </c>
      <c r="AK52" s="154">
        <v>866.0</v>
      </c>
      <c r="AL52" s="154">
        <v>536.0</v>
      </c>
      <c r="AM52" s="154">
        <v>558.0</v>
      </c>
      <c r="AN52" s="156">
        <f t="shared" si="256"/>
        <v>1960</v>
      </c>
      <c r="AO52" s="156">
        <f t="shared" si="257"/>
        <v>21807</v>
      </c>
      <c r="AP52" s="154">
        <v>157.0</v>
      </c>
      <c r="AQ52" s="154">
        <v>2026.0</v>
      </c>
      <c r="AR52" s="156">
        <v>1198.0</v>
      </c>
      <c r="AS52" s="154">
        <f t="shared" si="258"/>
        <v>3381</v>
      </c>
      <c r="AT52" s="154">
        <v>310.0</v>
      </c>
      <c r="AU52" s="154">
        <v>502.0</v>
      </c>
      <c r="AV52" s="154">
        <v>898.0</v>
      </c>
      <c r="AW52" s="154">
        <f t="shared" si="259"/>
        <v>1710</v>
      </c>
      <c r="AX52" s="154">
        <v>1129.0</v>
      </c>
      <c r="AY52" s="154">
        <v>1562.0</v>
      </c>
      <c r="AZ52" s="154">
        <v>733.0</v>
      </c>
      <c r="BA52" s="154">
        <f t="shared" si="260"/>
        <v>3424</v>
      </c>
      <c r="BB52" s="154">
        <v>426.0</v>
      </c>
      <c r="BC52" s="154">
        <v>856.0</v>
      </c>
      <c r="BD52" s="154">
        <v>627.0</v>
      </c>
      <c r="BE52" s="154">
        <f t="shared" si="261"/>
        <v>1909</v>
      </c>
      <c r="BF52" s="154">
        <f t="shared" si="262"/>
        <v>10424</v>
      </c>
      <c r="BG52" s="154">
        <v>501.0</v>
      </c>
      <c r="BH52" s="154">
        <v>884.0</v>
      </c>
      <c r="BI52" s="154">
        <v>1291.0</v>
      </c>
      <c r="BJ52" s="154">
        <f t="shared" si="263"/>
        <v>2676</v>
      </c>
      <c r="BK52" s="154">
        <v>1140.0</v>
      </c>
      <c r="BL52" s="154">
        <v>972.0</v>
      </c>
      <c r="BM52" s="154">
        <v>501.0</v>
      </c>
      <c r="BN52" s="154">
        <f t="shared" si="264"/>
        <v>2613</v>
      </c>
      <c r="BO52" s="154">
        <v>733.0</v>
      </c>
      <c r="BP52" s="154">
        <v>1303.0</v>
      </c>
      <c r="BQ52" s="154">
        <v>1026.0</v>
      </c>
      <c r="BR52" s="154">
        <f t="shared" si="265"/>
        <v>3062</v>
      </c>
      <c r="BS52" s="154">
        <v>302.0</v>
      </c>
      <c r="BT52" s="154">
        <v>403.0</v>
      </c>
      <c r="BU52" s="154">
        <v>172.0</v>
      </c>
      <c r="BV52" s="154">
        <f t="shared" si="266"/>
        <v>877</v>
      </c>
      <c r="BW52" s="154">
        <f t="shared" si="267"/>
        <v>9228</v>
      </c>
      <c r="BX52" s="154">
        <v>0.0</v>
      </c>
      <c r="BY52" s="154">
        <v>69.0</v>
      </c>
      <c r="BZ52" s="154">
        <f t="shared" si="268"/>
        <v>69</v>
      </c>
      <c r="CA52" s="154">
        <v>0.0</v>
      </c>
      <c r="CB52" s="154">
        <v>745.0</v>
      </c>
      <c r="CC52" s="154">
        <f t="shared" si="269"/>
        <v>745</v>
      </c>
      <c r="CD52" s="154">
        <v>220.0</v>
      </c>
      <c r="CE52" s="154">
        <v>590.0</v>
      </c>
      <c r="CF52" s="154">
        <f t="shared" si="270"/>
        <v>370</v>
      </c>
      <c r="CG52" s="154">
        <f t="shared" si="271"/>
        <v>2438</v>
      </c>
      <c r="CH52" s="152">
        <v>475.0</v>
      </c>
      <c r="CI52" s="154">
        <v>487.0</v>
      </c>
      <c r="CJ52" s="154">
        <f t="shared" si="272"/>
        <v>12</v>
      </c>
      <c r="CK52" s="154">
        <v>277.0</v>
      </c>
      <c r="CL52" s="154">
        <v>277.0</v>
      </c>
      <c r="CM52" s="154">
        <f t="shared" si="273"/>
        <v>0</v>
      </c>
      <c r="CN52" s="154">
        <v>257.0</v>
      </c>
      <c r="CO52" s="154">
        <v>265.0</v>
      </c>
      <c r="CP52" s="154">
        <f t="shared" si="274"/>
        <v>8</v>
      </c>
      <c r="CQ52" s="154">
        <f t="shared" si="275"/>
        <v>2050</v>
      </c>
      <c r="CR52" s="154">
        <v>235.0</v>
      </c>
      <c r="CS52" s="154">
        <f t="shared" si="276"/>
        <v>1204</v>
      </c>
      <c r="CT52" s="154">
        <f t="shared" si="277"/>
        <v>1439</v>
      </c>
      <c r="CU52" s="154"/>
      <c r="CV52" s="154"/>
      <c r="CW52" s="154">
        <f t="shared" si="278"/>
        <v>2878</v>
      </c>
      <c r="CX52" s="154"/>
      <c r="CY52" s="154"/>
      <c r="CZ52" s="154"/>
      <c r="DA52" s="154">
        <f t="shared" si="279"/>
        <v>0</v>
      </c>
      <c r="DB52" s="154">
        <f t="shared" si="280"/>
        <v>7366</v>
      </c>
      <c r="DC52" s="171">
        <f t="shared" si="281"/>
        <v>188565</v>
      </c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</row>
    <row r="53" ht="15.75" customHeight="1">
      <c r="A53" s="167" t="s">
        <v>123</v>
      </c>
      <c r="B53" s="154">
        <v>862.0</v>
      </c>
      <c r="C53" s="154">
        <v>819.0</v>
      </c>
      <c r="D53" s="154">
        <v>386.0</v>
      </c>
      <c r="E53" s="154">
        <v>1169.0</v>
      </c>
      <c r="F53" s="154">
        <v>1513.0</v>
      </c>
      <c r="G53" s="154">
        <f t="shared" si="247"/>
        <v>4749</v>
      </c>
      <c r="H53" s="154">
        <v>4586.0</v>
      </c>
      <c r="I53" s="154">
        <v>1417.0</v>
      </c>
      <c r="J53" s="154">
        <v>1573.0</v>
      </c>
      <c r="K53" s="156">
        <f t="shared" si="248"/>
        <v>7576</v>
      </c>
      <c r="L53" s="154">
        <v>190.0</v>
      </c>
      <c r="M53" s="154">
        <v>3619.0</v>
      </c>
      <c r="N53" s="154">
        <v>2463.0</v>
      </c>
      <c r="O53" s="156">
        <f t="shared" si="249"/>
        <v>6272</v>
      </c>
      <c r="P53" s="154">
        <v>4897.0</v>
      </c>
      <c r="Q53" s="154">
        <v>3194.0</v>
      </c>
      <c r="R53" s="154">
        <v>2662.0</v>
      </c>
      <c r="S53" s="156">
        <f t="shared" si="250"/>
        <v>10753</v>
      </c>
      <c r="T53" s="154">
        <v>3848.0</v>
      </c>
      <c r="U53" s="154">
        <v>817.0</v>
      </c>
      <c r="V53" s="154">
        <v>1219.0</v>
      </c>
      <c r="W53" s="156">
        <f t="shared" si="251"/>
        <v>5884</v>
      </c>
      <c r="X53" s="156">
        <f t="shared" si="252"/>
        <v>30485</v>
      </c>
      <c r="Y53" s="154">
        <v>1389.0</v>
      </c>
      <c r="Z53" s="154">
        <v>86.0</v>
      </c>
      <c r="AA53" s="154">
        <v>1325.0</v>
      </c>
      <c r="AB53" s="156">
        <f t="shared" si="253"/>
        <v>2800</v>
      </c>
      <c r="AC53" s="154">
        <v>145.0</v>
      </c>
      <c r="AD53" s="154">
        <v>755.0</v>
      </c>
      <c r="AE53" s="154">
        <v>450.0</v>
      </c>
      <c r="AF53" s="156">
        <f t="shared" si="254"/>
        <v>1350</v>
      </c>
      <c r="AG53" s="154">
        <v>937.0</v>
      </c>
      <c r="AH53" s="154">
        <v>79.0</v>
      </c>
      <c r="AI53" s="154">
        <v>281.0</v>
      </c>
      <c r="AJ53" s="156">
        <f t="shared" si="255"/>
        <v>1297</v>
      </c>
      <c r="AK53" s="154">
        <v>54.0</v>
      </c>
      <c r="AL53" s="154">
        <v>369.0</v>
      </c>
      <c r="AM53" s="154">
        <v>254.0</v>
      </c>
      <c r="AN53" s="156">
        <f t="shared" si="256"/>
        <v>677</v>
      </c>
      <c r="AO53" s="156">
        <f t="shared" si="257"/>
        <v>6124</v>
      </c>
      <c r="AP53" s="154">
        <v>191.0</v>
      </c>
      <c r="AQ53" s="154">
        <v>298.0</v>
      </c>
      <c r="AR53" s="156">
        <v>145.0</v>
      </c>
      <c r="AS53" s="154">
        <f t="shared" si="258"/>
        <v>634</v>
      </c>
      <c r="AT53" s="154">
        <v>156.0</v>
      </c>
      <c r="AU53" s="154">
        <v>411.0</v>
      </c>
      <c r="AV53" s="154">
        <v>168.0</v>
      </c>
      <c r="AW53" s="154">
        <f t="shared" si="259"/>
        <v>735</v>
      </c>
      <c r="AX53" s="154">
        <v>149.0</v>
      </c>
      <c r="AY53" s="154">
        <v>305.0</v>
      </c>
      <c r="AZ53" s="154">
        <v>86.0</v>
      </c>
      <c r="BA53" s="154">
        <f t="shared" si="260"/>
        <v>540</v>
      </c>
      <c r="BB53" s="154">
        <v>19.0</v>
      </c>
      <c r="BC53" s="154">
        <v>159.0</v>
      </c>
      <c r="BD53" s="154">
        <v>132.0</v>
      </c>
      <c r="BE53" s="154">
        <f t="shared" si="261"/>
        <v>310</v>
      </c>
      <c r="BF53" s="154">
        <f t="shared" si="262"/>
        <v>2219</v>
      </c>
      <c r="BG53" s="154">
        <v>190.0</v>
      </c>
      <c r="BH53" s="154">
        <v>127.0</v>
      </c>
      <c r="BI53" s="154">
        <v>121.0</v>
      </c>
      <c r="BJ53" s="154">
        <f t="shared" si="263"/>
        <v>438</v>
      </c>
      <c r="BK53" s="154">
        <v>79.0</v>
      </c>
      <c r="BL53" s="154">
        <v>98.0</v>
      </c>
      <c r="BM53" s="154">
        <v>104.0</v>
      </c>
      <c r="BN53" s="154">
        <f t="shared" si="264"/>
        <v>281</v>
      </c>
      <c r="BO53" s="154">
        <v>135.0</v>
      </c>
      <c r="BP53" s="154">
        <v>115.0</v>
      </c>
      <c r="BQ53" s="154">
        <v>80.0</v>
      </c>
      <c r="BR53" s="154">
        <f t="shared" si="265"/>
        <v>330</v>
      </c>
      <c r="BS53" s="154">
        <v>57.0</v>
      </c>
      <c r="BT53" s="154">
        <v>102.0</v>
      </c>
      <c r="BU53" s="154">
        <v>35.0</v>
      </c>
      <c r="BV53" s="154">
        <f t="shared" si="266"/>
        <v>194</v>
      </c>
      <c r="BW53" s="154">
        <f t="shared" si="267"/>
        <v>1243</v>
      </c>
      <c r="BX53" s="154">
        <v>0.0</v>
      </c>
      <c r="BY53" s="154">
        <v>30.0</v>
      </c>
      <c r="BZ53" s="154">
        <f t="shared" si="268"/>
        <v>30</v>
      </c>
      <c r="CA53" s="154">
        <v>0.0</v>
      </c>
      <c r="CB53" s="154">
        <v>141.0</v>
      </c>
      <c r="CC53" s="154">
        <f t="shared" si="269"/>
        <v>141</v>
      </c>
      <c r="CD53" s="154">
        <v>52.0</v>
      </c>
      <c r="CE53" s="154">
        <v>98.0</v>
      </c>
      <c r="CF53" s="154">
        <f t="shared" si="270"/>
        <v>46</v>
      </c>
      <c r="CG53" s="154">
        <f t="shared" si="271"/>
        <v>492</v>
      </c>
      <c r="CH53" s="152">
        <v>94.0</v>
      </c>
      <c r="CI53" s="154">
        <v>94.0</v>
      </c>
      <c r="CJ53" s="154">
        <f t="shared" si="272"/>
        <v>0</v>
      </c>
      <c r="CK53" s="154">
        <v>180.0</v>
      </c>
      <c r="CL53" s="154">
        <v>180.0</v>
      </c>
      <c r="CM53" s="154">
        <f t="shared" si="273"/>
        <v>0</v>
      </c>
      <c r="CN53" s="154">
        <v>155.0</v>
      </c>
      <c r="CO53" s="154">
        <v>158.0</v>
      </c>
      <c r="CP53" s="154">
        <f t="shared" si="274"/>
        <v>3</v>
      </c>
      <c r="CQ53" s="154">
        <f t="shared" si="275"/>
        <v>861</v>
      </c>
      <c r="CR53" s="154">
        <v>118.0</v>
      </c>
      <c r="CS53" s="154">
        <f t="shared" si="276"/>
        <v>220</v>
      </c>
      <c r="CT53" s="154">
        <f t="shared" si="277"/>
        <v>338</v>
      </c>
      <c r="CU53" s="154"/>
      <c r="CV53" s="154"/>
      <c r="CW53" s="154">
        <f t="shared" si="278"/>
        <v>676</v>
      </c>
      <c r="CX53" s="154"/>
      <c r="CY53" s="154"/>
      <c r="CZ53" s="154"/>
      <c r="DA53" s="154">
        <f t="shared" si="279"/>
        <v>0</v>
      </c>
      <c r="DB53" s="154">
        <f t="shared" si="280"/>
        <v>2029</v>
      </c>
      <c r="DC53" s="171">
        <f t="shared" si="281"/>
        <v>46849</v>
      </c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</row>
    <row r="54" ht="15.75" customHeight="1">
      <c r="A54" s="167" t="s">
        <v>124</v>
      </c>
      <c r="B54" s="154">
        <v>1813.0</v>
      </c>
      <c r="C54" s="154">
        <v>2666.0</v>
      </c>
      <c r="D54" s="154">
        <v>957.0</v>
      </c>
      <c r="E54" s="154">
        <v>2194.0</v>
      </c>
      <c r="F54" s="154">
        <v>7498.0</v>
      </c>
      <c r="G54" s="154">
        <f t="shared" si="247"/>
        <v>15128</v>
      </c>
      <c r="H54" s="154">
        <v>5385.0</v>
      </c>
      <c r="I54" s="154">
        <v>4305.0</v>
      </c>
      <c r="J54" s="154">
        <v>2885.0</v>
      </c>
      <c r="K54" s="156">
        <f t="shared" si="248"/>
        <v>12575</v>
      </c>
      <c r="L54" s="154">
        <v>3022.0</v>
      </c>
      <c r="M54" s="154">
        <v>8347.0</v>
      </c>
      <c r="N54" s="154">
        <v>9475.0</v>
      </c>
      <c r="O54" s="156">
        <f t="shared" si="249"/>
        <v>20844</v>
      </c>
      <c r="P54" s="154">
        <v>8787.0</v>
      </c>
      <c r="Q54" s="154">
        <v>6987.0</v>
      </c>
      <c r="R54" s="154">
        <v>7346.0</v>
      </c>
      <c r="S54" s="156">
        <f t="shared" si="250"/>
        <v>23120</v>
      </c>
      <c r="T54" s="154">
        <v>8173.0</v>
      </c>
      <c r="U54" s="154">
        <v>6713.0</v>
      </c>
      <c r="V54" s="154">
        <v>6958.0</v>
      </c>
      <c r="W54" s="156">
        <f t="shared" si="251"/>
        <v>21844</v>
      </c>
      <c r="X54" s="156">
        <f t="shared" si="252"/>
        <v>78383</v>
      </c>
      <c r="Y54" s="154">
        <v>2287.0</v>
      </c>
      <c r="Z54" s="154">
        <v>1973.0</v>
      </c>
      <c r="AA54" s="154">
        <v>5536.0</v>
      </c>
      <c r="AB54" s="156">
        <f t="shared" si="253"/>
        <v>9796</v>
      </c>
      <c r="AC54" s="154">
        <v>2311.0</v>
      </c>
      <c r="AD54" s="154">
        <v>2517.0</v>
      </c>
      <c r="AE54" s="154">
        <v>2899.0</v>
      </c>
      <c r="AF54" s="156">
        <f t="shared" si="254"/>
        <v>7727</v>
      </c>
      <c r="AG54" s="154">
        <v>2271.0</v>
      </c>
      <c r="AH54" s="154">
        <v>954.0</v>
      </c>
      <c r="AI54" s="154">
        <v>783.0</v>
      </c>
      <c r="AJ54" s="156">
        <f t="shared" si="255"/>
        <v>4008</v>
      </c>
      <c r="AK54" s="154">
        <v>656.0</v>
      </c>
      <c r="AL54" s="154">
        <v>1119.0</v>
      </c>
      <c r="AM54" s="154">
        <v>491.0</v>
      </c>
      <c r="AN54" s="156">
        <f t="shared" si="256"/>
        <v>2266</v>
      </c>
      <c r="AO54" s="156">
        <f t="shared" si="257"/>
        <v>23797</v>
      </c>
      <c r="AP54" s="154">
        <v>404.0</v>
      </c>
      <c r="AQ54" s="154">
        <v>272.0</v>
      </c>
      <c r="AR54" s="156">
        <v>390.0</v>
      </c>
      <c r="AS54" s="154">
        <f t="shared" si="258"/>
        <v>1066</v>
      </c>
      <c r="AT54" s="154">
        <v>261.0</v>
      </c>
      <c r="AU54" s="154">
        <v>168.0</v>
      </c>
      <c r="AV54" s="154">
        <v>87.0</v>
      </c>
      <c r="AW54" s="154">
        <f t="shared" si="259"/>
        <v>516</v>
      </c>
      <c r="AX54" s="154">
        <v>1199.0</v>
      </c>
      <c r="AY54" s="154">
        <v>893.0</v>
      </c>
      <c r="AZ54" s="154">
        <v>423.0</v>
      </c>
      <c r="BA54" s="154">
        <f t="shared" si="260"/>
        <v>2515</v>
      </c>
      <c r="BB54" s="154">
        <v>97.0</v>
      </c>
      <c r="BC54" s="154">
        <v>108.0</v>
      </c>
      <c r="BD54" s="154">
        <v>114.0</v>
      </c>
      <c r="BE54" s="154">
        <f t="shared" si="261"/>
        <v>319</v>
      </c>
      <c r="BF54" s="154">
        <f t="shared" si="262"/>
        <v>4416</v>
      </c>
      <c r="BG54" s="154">
        <v>47.0</v>
      </c>
      <c r="BH54" s="154">
        <v>204.0</v>
      </c>
      <c r="BI54" s="154">
        <v>379.0</v>
      </c>
      <c r="BJ54" s="154">
        <f t="shared" si="263"/>
        <v>630</v>
      </c>
      <c r="BK54" s="154">
        <v>537.0</v>
      </c>
      <c r="BL54" s="154">
        <v>648.0</v>
      </c>
      <c r="BM54" s="154">
        <v>219.0</v>
      </c>
      <c r="BN54" s="154">
        <f t="shared" si="264"/>
        <v>1404</v>
      </c>
      <c r="BO54" s="154">
        <v>200.0</v>
      </c>
      <c r="BP54" s="154">
        <v>265.0</v>
      </c>
      <c r="BQ54" s="154">
        <v>96.0</v>
      </c>
      <c r="BR54" s="154">
        <f t="shared" si="265"/>
        <v>561</v>
      </c>
      <c r="BS54" s="154">
        <v>309.0</v>
      </c>
      <c r="BT54" s="154">
        <v>314.0</v>
      </c>
      <c r="BU54" s="154">
        <v>233.0</v>
      </c>
      <c r="BV54" s="154">
        <f t="shared" si="266"/>
        <v>856</v>
      </c>
      <c r="BW54" s="154">
        <f t="shared" si="267"/>
        <v>3451</v>
      </c>
      <c r="BX54" s="154">
        <v>0.0</v>
      </c>
      <c r="BY54" s="154">
        <v>207.0</v>
      </c>
      <c r="BZ54" s="154">
        <f t="shared" si="268"/>
        <v>207</v>
      </c>
      <c r="CA54" s="154">
        <v>0.0</v>
      </c>
      <c r="CB54" s="154">
        <v>620.0</v>
      </c>
      <c r="CC54" s="154">
        <f t="shared" si="269"/>
        <v>620</v>
      </c>
      <c r="CD54" s="154">
        <v>197.0</v>
      </c>
      <c r="CE54" s="154">
        <v>268.0</v>
      </c>
      <c r="CF54" s="154">
        <f t="shared" si="270"/>
        <v>71</v>
      </c>
      <c r="CG54" s="154">
        <f t="shared" si="271"/>
        <v>2119</v>
      </c>
      <c r="CH54" s="152">
        <v>110.0</v>
      </c>
      <c r="CI54" s="154">
        <v>112.0</v>
      </c>
      <c r="CJ54" s="154">
        <f t="shared" si="272"/>
        <v>2</v>
      </c>
      <c r="CK54" s="154">
        <v>149.0</v>
      </c>
      <c r="CL54" s="154">
        <v>149.0</v>
      </c>
      <c r="CM54" s="154">
        <f t="shared" si="273"/>
        <v>0</v>
      </c>
      <c r="CN54" s="154">
        <v>210.0</v>
      </c>
      <c r="CO54" s="154">
        <v>211.0</v>
      </c>
      <c r="CP54" s="154">
        <f t="shared" si="274"/>
        <v>1</v>
      </c>
      <c r="CQ54" s="154">
        <f t="shared" si="275"/>
        <v>943</v>
      </c>
      <c r="CR54" s="154">
        <v>285.0</v>
      </c>
      <c r="CS54" s="154">
        <f t="shared" si="276"/>
        <v>901</v>
      </c>
      <c r="CT54" s="154">
        <f t="shared" si="277"/>
        <v>1186</v>
      </c>
      <c r="CU54" s="154"/>
      <c r="CV54" s="154"/>
      <c r="CW54" s="154">
        <f t="shared" si="278"/>
        <v>2372</v>
      </c>
      <c r="CX54" s="154"/>
      <c r="CY54" s="154"/>
      <c r="CZ54" s="154"/>
      <c r="DA54" s="154">
        <f t="shared" si="279"/>
        <v>0</v>
      </c>
      <c r="DB54" s="154">
        <f t="shared" si="280"/>
        <v>5434</v>
      </c>
      <c r="DC54" s="171">
        <f t="shared" si="281"/>
        <v>130609</v>
      </c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</row>
    <row r="55" ht="15.75" customHeight="1">
      <c r="A55" s="167" t="s">
        <v>125</v>
      </c>
      <c r="B55" s="154">
        <v>816.0</v>
      </c>
      <c r="C55" s="154">
        <v>1915.0</v>
      </c>
      <c r="D55" s="154">
        <v>1719.0</v>
      </c>
      <c r="E55" s="154">
        <v>1943.0</v>
      </c>
      <c r="F55" s="154">
        <v>7034.0</v>
      </c>
      <c r="G55" s="154">
        <f t="shared" si="247"/>
        <v>13427</v>
      </c>
      <c r="H55" s="154">
        <v>5690.0</v>
      </c>
      <c r="I55" s="154">
        <v>2051.0</v>
      </c>
      <c r="J55" s="154">
        <v>3356.0</v>
      </c>
      <c r="K55" s="156">
        <f t="shared" si="248"/>
        <v>11097</v>
      </c>
      <c r="L55" s="154">
        <v>2017.0</v>
      </c>
      <c r="M55" s="154">
        <v>4958.0</v>
      </c>
      <c r="N55" s="154">
        <v>5591.0</v>
      </c>
      <c r="O55" s="156">
        <f t="shared" si="249"/>
        <v>12566</v>
      </c>
      <c r="P55" s="154">
        <v>6834.0</v>
      </c>
      <c r="Q55" s="154">
        <v>7597.0</v>
      </c>
      <c r="R55" s="154">
        <v>4591.0</v>
      </c>
      <c r="S55" s="156">
        <f t="shared" si="250"/>
        <v>19022</v>
      </c>
      <c r="T55" s="154">
        <v>6320.0</v>
      </c>
      <c r="U55" s="154">
        <v>4881.0</v>
      </c>
      <c r="V55" s="154">
        <v>3667.0</v>
      </c>
      <c r="W55" s="156">
        <f t="shared" si="251"/>
        <v>14868</v>
      </c>
      <c r="X55" s="156">
        <f t="shared" si="252"/>
        <v>57553</v>
      </c>
      <c r="Y55" s="154">
        <v>1443.0</v>
      </c>
      <c r="Z55" s="154">
        <v>725.0</v>
      </c>
      <c r="AA55" s="154">
        <v>4228.0</v>
      </c>
      <c r="AB55" s="156">
        <f t="shared" si="253"/>
        <v>6396</v>
      </c>
      <c r="AC55" s="154">
        <v>1418.0</v>
      </c>
      <c r="AD55" s="154">
        <v>794.0</v>
      </c>
      <c r="AE55" s="154">
        <v>1505.0</v>
      </c>
      <c r="AF55" s="156">
        <f t="shared" si="254"/>
        <v>3717</v>
      </c>
      <c r="AG55" s="154">
        <v>1997.0</v>
      </c>
      <c r="AH55" s="154">
        <v>388.0</v>
      </c>
      <c r="AI55" s="154">
        <v>952.0</v>
      </c>
      <c r="AJ55" s="156">
        <f t="shared" si="255"/>
        <v>3337</v>
      </c>
      <c r="AK55" s="154">
        <v>939.0</v>
      </c>
      <c r="AL55" s="154">
        <v>394.0</v>
      </c>
      <c r="AM55" s="154">
        <v>427.0</v>
      </c>
      <c r="AN55" s="156">
        <f t="shared" si="256"/>
        <v>1760</v>
      </c>
      <c r="AO55" s="156">
        <f t="shared" si="257"/>
        <v>15210</v>
      </c>
      <c r="AP55" s="154">
        <v>104.0</v>
      </c>
      <c r="AQ55" s="154">
        <v>605.0</v>
      </c>
      <c r="AR55" s="156">
        <v>449.0</v>
      </c>
      <c r="AS55" s="154">
        <f t="shared" si="258"/>
        <v>1158</v>
      </c>
      <c r="AT55" s="154">
        <v>213.0</v>
      </c>
      <c r="AU55" s="154">
        <v>186.0</v>
      </c>
      <c r="AV55" s="154">
        <v>81.0</v>
      </c>
      <c r="AW55" s="154">
        <f t="shared" si="259"/>
        <v>480</v>
      </c>
      <c r="AX55" s="154">
        <v>587.0</v>
      </c>
      <c r="AY55" s="154">
        <v>573.0</v>
      </c>
      <c r="AZ55" s="154">
        <v>235.0</v>
      </c>
      <c r="BA55" s="154">
        <f t="shared" si="260"/>
        <v>1395</v>
      </c>
      <c r="BB55" s="154">
        <v>192.0</v>
      </c>
      <c r="BC55" s="154">
        <v>241.0</v>
      </c>
      <c r="BD55" s="154">
        <v>100.0</v>
      </c>
      <c r="BE55" s="154">
        <f t="shared" si="261"/>
        <v>533</v>
      </c>
      <c r="BF55" s="154">
        <f t="shared" si="262"/>
        <v>3566</v>
      </c>
      <c r="BG55" s="154">
        <v>144.0</v>
      </c>
      <c r="BH55" s="154">
        <v>441.0</v>
      </c>
      <c r="BI55" s="154">
        <v>231.0</v>
      </c>
      <c r="BJ55" s="154">
        <f t="shared" si="263"/>
        <v>816</v>
      </c>
      <c r="BK55" s="154">
        <v>343.0</v>
      </c>
      <c r="BL55" s="154">
        <v>316.0</v>
      </c>
      <c r="BM55" s="154">
        <v>266.0</v>
      </c>
      <c r="BN55" s="154">
        <f t="shared" si="264"/>
        <v>925</v>
      </c>
      <c r="BO55" s="154">
        <v>92.0</v>
      </c>
      <c r="BP55" s="154">
        <v>456.0</v>
      </c>
      <c r="BQ55" s="154">
        <v>231.0</v>
      </c>
      <c r="BR55" s="154">
        <f t="shared" si="265"/>
        <v>779</v>
      </c>
      <c r="BS55" s="154">
        <v>152.0</v>
      </c>
      <c r="BT55" s="154">
        <v>307.0</v>
      </c>
      <c r="BU55" s="154">
        <v>158.0</v>
      </c>
      <c r="BV55" s="154">
        <f t="shared" si="266"/>
        <v>617</v>
      </c>
      <c r="BW55" s="154">
        <f t="shared" si="267"/>
        <v>3137</v>
      </c>
      <c r="BX55" s="154">
        <v>0.0</v>
      </c>
      <c r="BY55" s="154">
        <v>77.0</v>
      </c>
      <c r="BZ55" s="154">
        <f t="shared" si="268"/>
        <v>77</v>
      </c>
      <c r="CA55" s="154">
        <v>0.0</v>
      </c>
      <c r="CB55" s="154">
        <v>321.0</v>
      </c>
      <c r="CC55" s="154">
        <f t="shared" si="269"/>
        <v>321</v>
      </c>
      <c r="CD55" s="154">
        <v>45.0</v>
      </c>
      <c r="CE55" s="154">
        <v>220.0</v>
      </c>
      <c r="CF55" s="154">
        <f t="shared" si="270"/>
        <v>175</v>
      </c>
      <c r="CG55" s="154">
        <f t="shared" si="271"/>
        <v>1061</v>
      </c>
      <c r="CH55" s="152">
        <v>352.0</v>
      </c>
      <c r="CI55" s="154">
        <v>378.0</v>
      </c>
      <c r="CJ55" s="154">
        <f t="shared" si="272"/>
        <v>26</v>
      </c>
      <c r="CK55" s="154">
        <v>216.0</v>
      </c>
      <c r="CL55" s="154">
        <v>216.0</v>
      </c>
      <c r="CM55" s="154">
        <f t="shared" si="273"/>
        <v>0</v>
      </c>
      <c r="CN55" s="154">
        <v>223.0</v>
      </c>
      <c r="CO55" s="154">
        <v>250.0</v>
      </c>
      <c r="CP55" s="154">
        <f t="shared" si="274"/>
        <v>27</v>
      </c>
      <c r="CQ55" s="154">
        <f t="shared" si="275"/>
        <v>1661</v>
      </c>
      <c r="CR55" s="154">
        <v>293.0</v>
      </c>
      <c r="CS55" s="154">
        <f t="shared" si="276"/>
        <v>626</v>
      </c>
      <c r="CT55" s="154">
        <f t="shared" si="277"/>
        <v>919</v>
      </c>
      <c r="CU55" s="154"/>
      <c r="CV55" s="154"/>
      <c r="CW55" s="154">
        <f t="shared" si="278"/>
        <v>1838</v>
      </c>
      <c r="CX55" s="154"/>
      <c r="CY55" s="154"/>
      <c r="CZ55" s="154"/>
      <c r="DA55" s="154">
        <f t="shared" si="279"/>
        <v>0</v>
      </c>
      <c r="DB55" s="154">
        <f t="shared" si="280"/>
        <v>4560</v>
      </c>
      <c r="DC55" s="171">
        <f t="shared" si="281"/>
        <v>97453</v>
      </c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</row>
    <row r="56" ht="15.75" customHeight="1">
      <c r="A56" s="137" t="s">
        <v>126</v>
      </c>
      <c r="B56" s="141">
        <f t="shared" ref="B56:DC56" si="282">SUM(B57:B62)</f>
        <v>46</v>
      </c>
      <c r="C56" s="141">
        <f t="shared" si="282"/>
        <v>1600</v>
      </c>
      <c r="D56" s="141">
        <f t="shared" si="282"/>
        <v>6676</v>
      </c>
      <c r="E56" s="141">
        <f t="shared" si="282"/>
        <v>24831</v>
      </c>
      <c r="F56" s="141">
        <f t="shared" si="282"/>
        <v>40936</v>
      </c>
      <c r="G56" s="141">
        <f t="shared" si="282"/>
        <v>74089</v>
      </c>
      <c r="H56" s="141">
        <f t="shared" si="282"/>
        <v>63794</v>
      </c>
      <c r="I56" s="141">
        <f t="shared" si="282"/>
        <v>70727</v>
      </c>
      <c r="J56" s="141">
        <f t="shared" si="282"/>
        <v>62928</v>
      </c>
      <c r="K56" s="142">
        <f t="shared" si="282"/>
        <v>197449</v>
      </c>
      <c r="L56" s="141">
        <f t="shared" si="282"/>
        <v>57371</v>
      </c>
      <c r="M56" s="141">
        <f t="shared" si="282"/>
        <v>52206</v>
      </c>
      <c r="N56" s="141">
        <f t="shared" si="282"/>
        <v>29240</v>
      </c>
      <c r="O56" s="142">
        <f t="shared" si="282"/>
        <v>138817</v>
      </c>
      <c r="P56" s="141">
        <f t="shared" si="282"/>
        <v>45487</v>
      </c>
      <c r="Q56" s="141">
        <f t="shared" si="282"/>
        <v>55603</v>
      </c>
      <c r="R56" s="141">
        <f t="shared" si="282"/>
        <v>61513</v>
      </c>
      <c r="S56" s="142">
        <f t="shared" si="282"/>
        <v>162603</v>
      </c>
      <c r="T56" s="141">
        <f t="shared" si="282"/>
        <v>30403</v>
      </c>
      <c r="U56" s="141">
        <f t="shared" si="282"/>
        <v>63735</v>
      </c>
      <c r="V56" s="141">
        <f t="shared" si="282"/>
        <v>124718</v>
      </c>
      <c r="W56" s="142">
        <f t="shared" si="282"/>
        <v>218856</v>
      </c>
      <c r="X56" s="142">
        <f t="shared" si="282"/>
        <v>717725</v>
      </c>
      <c r="Y56" s="141">
        <f t="shared" si="282"/>
        <v>29345</v>
      </c>
      <c r="Z56" s="141">
        <f t="shared" si="282"/>
        <v>31953</v>
      </c>
      <c r="AA56" s="141">
        <f t="shared" si="282"/>
        <v>29974</v>
      </c>
      <c r="AB56" s="142">
        <f t="shared" si="282"/>
        <v>91272</v>
      </c>
      <c r="AC56" s="141">
        <f t="shared" si="282"/>
        <v>21655</v>
      </c>
      <c r="AD56" s="141">
        <f t="shared" si="282"/>
        <v>21315</v>
      </c>
      <c r="AE56" s="141">
        <f t="shared" si="282"/>
        <v>22824</v>
      </c>
      <c r="AF56" s="142">
        <f t="shared" si="282"/>
        <v>65794</v>
      </c>
      <c r="AG56" s="141">
        <f t="shared" si="282"/>
        <v>13975</v>
      </c>
      <c r="AH56" s="141">
        <f t="shared" si="282"/>
        <v>12437</v>
      </c>
      <c r="AI56" s="141">
        <f t="shared" si="282"/>
        <v>16062</v>
      </c>
      <c r="AJ56" s="142">
        <f t="shared" si="282"/>
        <v>42474</v>
      </c>
      <c r="AK56" s="141">
        <f t="shared" si="282"/>
        <v>11496</v>
      </c>
      <c r="AL56" s="141">
        <f t="shared" si="282"/>
        <v>12670</v>
      </c>
      <c r="AM56" s="141">
        <f t="shared" si="282"/>
        <v>11521</v>
      </c>
      <c r="AN56" s="142">
        <f t="shared" si="282"/>
        <v>35687</v>
      </c>
      <c r="AO56" s="142">
        <f t="shared" si="282"/>
        <v>235227</v>
      </c>
      <c r="AP56" s="141">
        <f t="shared" si="282"/>
        <v>6158</v>
      </c>
      <c r="AQ56" s="141">
        <f t="shared" si="282"/>
        <v>4244</v>
      </c>
      <c r="AR56" s="142">
        <f t="shared" si="282"/>
        <v>6306</v>
      </c>
      <c r="AS56" s="141">
        <f t="shared" si="282"/>
        <v>16708</v>
      </c>
      <c r="AT56" s="141">
        <f t="shared" si="282"/>
        <v>2315</v>
      </c>
      <c r="AU56" s="141">
        <f t="shared" si="282"/>
        <v>2644</v>
      </c>
      <c r="AV56" s="141">
        <f t="shared" si="282"/>
        <v>1030</v>
      </c>
      <c r="AW56" s="142">
        <f t="shared" si="282"/>
        <v>5989</v>
      </c>
      <c r="AX56" s="141">
        <f t="shared" si="282"/>
        <v>16280</v>
      </c>
      <c r="AY56" s="141">
        <f t="shared" si="282"/>
        <v>13476</v>
      </c>
      <c r="AZ56" s="141">
        <f t="shared" si="282"/>
        <v>19074</v>
      </c>
      <c r="BA56" s="142">
        <f t="shared" si="282"/>
        <v>48830</v>
      </c>
      <c r="BB56" s="141">
        <f t="shared" si="282"/>
        <v>13713</v>
      </c>
      <c r="BC56" s="141">
        <f t="shared" si="282"/>
        <v>12509</v>
      </c>
      <c r="BD56" s="141">
        <f t="shared" si="282"/>
        <v>10329</v>
      </c>
      <c r="BE56" s="142">
        <f t="shared" si="282"/>
        <v>36551</v>
      </c>
      <c r="BF56" s="141">
        <f t="shared" si="282"/>
        <v>108078</v>
      </c>
      <c r="BG56" s="141">
        <f t="shared" si="282"/>
        <v>3919</v>
      </c>
      <c r="BH56" s="141">
        <f t="shared" si="282"/>
        <v>3320</v>
      </c>
      <c r="BI56" s="141">
        <f t="shared" si="282"/>
        <v>3191</v>
      </c>
      <c r="BJ56" s="141">
        <f t="shared" si="282"/>
        <v>10430</v>
      </c>
      <c r="BK56" s="141">
        <f t="shared" si="282"/>
        <v>4136</v>
      </c>
      <c r="BL56" s="141">
        <f t="shared" si="282"/>
        <v>4604</v>
      </c>
      <c r="BM56" s="141">
        <f t="shared" si="282"/>
        <v>3597</v>
      </c>
      <c r="BN56" s="141">
        <f t="shared" si="282"/>
        <v>12337</v>
      </c>
      <c r="BO56" s="141">
        <f t="shared" si="282"/>
        <v>4165</v>
      </c>
      <c r="BP56" s="141">
        <f t="shared" si="282"/>
        <v>4370</v>
      </c>
      <c r="BQ56" s="141">
        <f t="shared" si="282"/>
        <v>4025</v>
      </c>
      <c r="BR56" s="141">
        <f t="shared" si="282"/>
        <v>12560</v>
      </c>
      <c r="BS56" s="141">
        <f t="shared" si="282"/>
        <v>3925</v>
      </c>
      <c r="BT56" s="141">
        <f t="shared" si="282"/>
        <v>3622</v>
      </c>
      <c r="BU56" s="141">
        <f t="shared" si="282"/>
        <v>1135</v>
      </c>
      <c r="BV56" s="141">
        <f t="shared" si="282"/>
        <v>8682</v>
      </c>
      <c r="BW56" s="141">
        <f t="shared" si="282"/>
        <v>44009</v>
      </c>
      <c r="BX56" s="141">
        <f t="shared" si="282"/>
        <v>1129</v>
      </c>
      <c r="BY56" s="141">
        <f t="shared" si="282"/>
        <v>1822</v>
      </c>
      <c r="BZ56" s="141">
        <f t="shared" si="282"/>
        <v>693</v>
      </c>
      <c r="CA56" s="141">
        <f t="shared" si="282"/>
        <v>653</v>
      </c>
      <c r="CB56" s="141">
        <f t="shared" si="282"/>
        <v>1391</v>
      </c>
      <c r="CC56" s="141">
        <f t="shared" si="282"/>
        <v>738</v>
      </c>
      <c r="CD56" s="141">
        <f t="shared" si="282"/>
        <v>705</v>
      </c>
      <c r="CE56" s="141">
        <f t="shared" si="282"/>
        <v>1949</v>
      </c>
      <c r="CF56" s="141">
        <f t="shared" si="282"/>
        <v>1244</v>
      </c>
      <c r="CG56" s="141">
        <f t="shared" si="282"/>
        <v>7621</v>
      </c>
      <c r="CH56" s="141">
        <f t="shared" si="282"/>
        <v>1520</v>
      </c>
      <c r="CI56" s="141">
        <f t="shared" si="282"/>
        <v>1520</v>
      </c>
      <c r="CJ56" s="141">
        <f t="shared" si="282"/>
        <v>0</v>
      </c>
      <c r="CK56" s="141">
        <f t="shared" si="282"/>
        <v>1915</v>
      </c>
      <c r="CL56" s="141">
        <f t="shared" si="282"/>
        <v>1915</v>
      </c>
      <c r="CM56" s="141">
        <f t="shared" si="282"/>
        <v>0</v>
      </c>
      <c r="CN56" s="141">
        <f t="shared" si="282"/>
        <v>2084</v>
      </c>
      <c r="CO56" s="141">
        <f t="shared" si="282"/>
        <v>2134</v>
      </c>
      <c r="CP56" s="141">
        <f t="shared" si="282"/>
        <v>50</v>
      </c>
      <c r="CQ56" s="141">
        <f t="shared" si="282"/>
        <v>9882</v>
      </c>
      <c r="CR56" s="141">
        <f t="shared" si="282"/>
        <v>1924</v>
      </c>
      <c r="CS56" s="141">
        <f t="shared" si="282"/>
        <v>2725</v>
      </c>
      <c r="CT56" s="141">
        <f t="shared" si="282"/>
        <v>4649</v>
      </c>
      <c r="CU56" s="141">
        <f t="shared" si="282"/>
        <v>0</v>
      </c>
      <c r="CV56" s="141">
        <f t="shared" si="282"/>
        <v>0</v>
      </c>
      <c r="CW56" s="141">
        <f t="shared" si="282"/>
        <v>9298</v>
      </c>
      <c r="CX56" s="141">
        <f t="shared" si="282"/>
        <v>0</v>
      </c>
      <c r="CY56" s="141">
        <f t="shared" si="282"/>
        <v>0</v>
      </c>
      <c r="CZ56" s="141">
        <f t="shared" si="282"/>
        <v>0</v>
      </c>
      <c r="DA56" s="141">
        <f t="shared" si="282"/>
        <v>0</v>
      </c>
      <c r="DB56" s="141">
        <f t="shared" si="282"/>
        <v>26801</v>
      </c>
      <c r="DC56" s="141">
        <f t="shared" si="282"/>
        <v>1205929</v>
      </c>
      <c r="DD56" s="4"/>
      <c r="DE56" s="20">
        <f>SUM(AJ56,AN56,BF56,BW56,DB56)</f>
        <v>257049</v>
      </c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</row>
    <row r="57" ht="15.75" customHeight="1">
      <c r="A57" s="167" t="s">
        <v>127</v>
      </c>
      <c r="B57" s="154">
        <v>0.0</v>
      </c>
      <c r="C57" s="154">
        <v>0.0</v>
      </c>
      <c r="D57" s="154">
        <v>442.0</v>
      </c>
      <c r="E57" s="154">
        <v>3084.0</v>
      </c>
      <c r="F57" s="154">
        <v>3301.0</v>
      </c>
      <c r="G57" s="154">
        <f t="shared" ref="G57:G62" si="283">SUM(B57:F57)</f>
        <v>6827</v>
      </c>
      <c r="H57" s="154">
        <v>7428.0</v>
      </c>
      <c r="I57" s="154">
        <v>9274.0</v>
      </c>
      <c r="J57" s="154">
        <v>8769.0</v>
      </c>
      <c r="K57" s="156">
        <f t="shared" ref="K57:K62" si="284">SUM(H57:J57)</f>
        <v>25471</v>
      </c>
      <c r="L57" s="154">
        <v>7339.0</v>
      </c>
      <c r="M57" s="154">
        <v>7553.0</v>
      </c>
      <c r="N57" s="154">
        <v>3031.0</v>
      </c>
      <c r="O57" s="156">
        <f t="shared" ref="O57:O62" si="285">SUM(L57:N57)</f>
        <v>17923</v>
      </c>
      <c r="P57" s="154">
        <v>3614.0</v>
      </c>
      <c r="Q57" s="154">
        <v>6063.0</v>
      </c>
      <c r="R57" s="154">
        <v>6710.0</v>
      </c>
      <c r="S57" s="156">
        <f t="shared" ref="S57:S62" si="286">SUM(P57:R57)</f>
        <v>16387</v>
      </c>
      <c r="T57" s="154">
        <v>5284.0</v>
      </c>
      <c r="U57" s="154">
        <v>5989.0</v>
      </c>
      <c r="V57" s="154">
        <v>10261.0</v>
      </c>
      <c r="W57" s="156">
        <f t="shared" ref="W57:W62" si="287">SUM(T57:V57)</f>
        <v>21534</v>
      </c>
      <c r="X57" s="156">
        <f t="shared" ref="X57:X62" si="288">SUM(W57,S57,O57,K57)</f>
        <v>81315</v>
      </c>
      <c r="Y57" s="154">
        <v>2077.0</v>
      </c>
      <c r="Z57" s="154">
        <v>5941.0</v>
      </c>
      <c r="AA57" s="154">
        <v>6141.0</v>
      </c>
      <c r="AB57" s="156">
        <f t="shared" ref="AB57:AB62" si="289">SUM(Y57:AA57)</f>
        <v>14159</v>
      </c>
      <c r="AC57" s="154">
        <v>4368.0</v>
      </c>
      <c r="AD57" s="154">
        <v>4936.0</v>
      </c>
      <c r="AE57" s="154">
        <v>4939.0</v>
      </c>
      <c r="AF57" s="156">
        <f t="shared" ref="AF57:AF62" si="290">SUM(AC57:AE57)</f>
        <v>14243</v>
      </c>
      <c r="AG57" s="154">
        <v>2077.0</v>
      </c>
      <c r="AH57" s="154">
        <v>2319.0</v>
      </c>
      <c r="AI57" s="154">
        <v>2534.0</v>
      </c>
      <c r="AJ57" s="156">
        <f t="shared" ref="AJ57:AJ62" si="291">SUM(AG57:AI57)</f>
        <v>6930</v>
      </c>
      <c r="AK57" s="154">
        <v>787.0</v>
      </c>
      <c r="AL57" s="154">
        <v>1249.0</v>
      </c>
      <c r="AM57" s="154">
        <v>921.0</v>
      </c>
      <c r="AN57" s="156">
        <f t="shared" ref="AN57:AN62" si="292">SUM(AK57:AM57)</f>
        <v>2957</v>
      </c>
      <c r="AO57" s="156">
        <f t="shared" ref="AO57:AO62" si="293">SUM(AN57,AJ57,AF57,AB57)</f>
        <v>38289</v>
      </c>
      <c r="AP57" s="154">
        <v>95.0</v>
      </c>
      <c r="AQ57" s="154">
        <v>158.0</v>
      </c>
      <c r="AR57" s="156">
        <v>38.0</v>
      </c>
      <c r="AS57" s="154">
        <f t="shared" ref="AS57:AS62" si="294">SUM(AP57:AR57)</f>
        <v>291</v>
      </c>
      <c r="AT57" s="154">
        <v>199.0</v>
      </c>
      <c r="AU57" s="154">
        <v>98.0</v>
      </c>
      <c r="AV57" s="154">
        <v>16.0</v>
      </c>
      <c r="AW57" s="154">
        <f t="shared" ref="AW57:AW62" si="295">SUM(AT57:AV57)</f>
        <v>313</v>
      </c>
      <c r="AX57" s="154">
        <v>2228.0</v>
      </c>
      <c r="AY57" s="154">
        <v>2736.0</v>
      </c>
      <c r="AZ57" s="154">
        <v>8340.0</v>
      </c>
      <c r="BA57" s="154">
        <f t="shared" ref="BA57:BA62" si="296">SUM(AX57:AZ57)</f>
        <v>13304</v>
      </c>
      <c r="BB57" s="154">
        <v>5827.0</v>
      </c>
      <c r="BC57" s="154">
        <v>4050.0</v>
      </c>
      <c r="BD57" s="154">
        <v>2526.0</v>
      </c>
      <c r="BE57" s="154">
        <f t="shared" ref="BE57:BE62" si="297">SUM(BB57:BD57)</f>
        <v>12403</v>
      </c>
      <c r="BF57" s="154">
        <f t="shared" ref="BF57:BF62" si="298">SUM(AS57,AW57,BA57,BE57)</f>
        <v>26311</v>
      </c>
      <c r="BG57" s="154">
        <v>1049.0</v>
      </c>
      <c r="BH57" s="154">
        <v>805.0</v>
      </c>
      <c r="BI57" s="154">
        <v>806.0</v>
      </c>
      <c r="BJ57" s="154">
        <f t="shared" ref="BJ57:BJ62" si="299">SUM(BG57:BI57)</f>
        <v>2660</v>
      </c>
      <c r="BK57" s="154">
        <v>820.0</v>
      </c>
      <c r="BL57" s="154">
        <v>820.0</v>
      </c>
      <c r="BM57" s="154">
        <v>999.0</v>
      </c>
      <c r="BN57" s="154">
        <f t="shared" ref="BN57:BN62" si="300">SUM(BK57:BM57)</f>
        <v>2639</v>
      </c>
      <c r="BO57" s="154">
        <v>810.0</v>
      </c>
      <c r="BP57" s="154">
        <v>803.0</v>
      </c>
      <c r="BQ57" s="154">
        <v>812.0</v>
      </c>
      <c r="BR57" s="154">
        <f t="shared" ref="BR57:BR62" si="301">SUM(BO57:BQ57)</f>
        <v>2425</v>
      </c>
      <c r="BS57" s="154">
        <v>820.0</v>
      </c>
      <c r="BT57" s="154">
        <v>811.0</v>
      </c>
      <c r="BU57" s="154">
        <v>517.0</v>
      </c>
      <c r="BV57" s="154">
        <f t="shared" ref="BV57:BV62" si="302">SUM(BS57:BU57)</f>
        <v>2148</v>
      </c>
      <c r="BW57" s="154">
        <f t="shared" ref="BW57:BW62" si="303">SUM(BJ57,BN57,BR57,BV57)</f>
        <v>9872</v>
      </c>
      <c r="BX57" s="154">
        <v>368.0</v>
      </c>
      <c r="BY57" s="154">
        <v>369.0</v>
      </c>
      <c r="BZ57" s="154">
        <f t="shared" ref="BZ57:BZ62" si="304">BY57-BX57</f>
        <v>1</v>
      </c>
      <c r="CA57" s="154">
        <v>293.0</v>
      </c>
      <c r="CB57" s="154">
        <v>293.0</v>
      </c>
      <c r="CC57" s="154">
        <f t="shared" ref="CC57:CC62" si="305">CB57-CA57</f>
        <v>0</v>
      </c>
      <c r="CD57" s="154">
        <v>151.0</v>
      </c>
      <c r="CE57" s="154">
        <v>225.0</v>
      </c>
      <c r="CF57" s="154">
        <f t="shared" ref="CF57:CF62" si="306">CE57-CD57</f>
        <v>74</v>
      </c>
      <c r="CG57" s="154">
        <f t="shared" ref="CG57:CG60" si="307">SUM(BX57:CE57)</f>
        <v>1700</v>
      </c>
      <c r="CH57" s="154">
        <v>225.0</v>
      </c>
      <c r="CI57" s="154">
        <v>225.0</v>
      </c>
      <c r="CJ57" s="154">
        <f t="shared" ref="CJ57:CJ62" si="308">CI57-CH57</f>
        <v>0</v>
      </c>
      <c r="CK57" s="154">
        <v>223.0</v>
      </c>
      <c r="CL57" s="154">
        <v>223.0</v>
      </c>
      <c r="CM57" s="154">
        <f t="shared" ref="CM57:CM62" si="309">CL57-CK57</f>
        <v>0</v>
      </c>
      <c r="CN57" s="154">
        <v>266.0</v>
      </c>
      <c r="CO57" s="154">
        <v>266.0</v>
      </c>
      <c r="CP57" s="154">
        <f t="shared" ref="CP57:CP62" si="310">CO57-CN57</f>
        <v>0</v>
      </c>
      <c r="CQ57" s="154">
        <f t="shared" ref="CQ57:CQ60" si="311">SUM(CH57:CO57)</f>
        <v>1428</v>
      </c>
      <c r="CR57" s="154">
        <v>282.0</v>
      </c>
      <c r="CS57" s="154">
        <f t="shared" ref="CS57:CS62" si="312">SUM(BZ57,CC57,CF57,CJ57,CM57,CP57)</f>
        <v>75</v>
      </c>
      <c r="CT57" s="154">
        <f t="shared" ref="CT57:CT62" si="313">CR57+CS57</f>
        <v>357</v>
      </c>
      <c r="CU57" s="154"/>
      <c r="CV57" s="154"/>
      <c r="CW57" s="154">
        <f t="shared" ref="CW57:CW62" si="314">SUM(CR57:CV57)</f>
        <v>714</v>
      </c>
      <c r="CX57" s="154"/>
      <c r="CY57" s="154"/>
      <c r="CZ57" s="154"/>
      <c r="DA57" s="154">
        <f t="shared" ref="DA57:DA62" si="315">SUM(CX57:CZ57)</f>
        <v>0</v>
      </c>
      <c r="DB57" s="154">
        <f t="shared" ref="DB57:DB62" si="316">SUM(CG57,CQ57,CW57,DA57)</f>
        <v>3842</v>
      </c>
      <c r="DC57" s="171">
        <f t="shared" ref="DC57:DC62" si="317">SUM(A57,G57,X57,AO57,BF57,BW57,DB57)</f>
        <v>166456</v>
      </c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</row>
    <row r="58" ht="15.75" customHeight="1">
      <c r="A58" s="167" t="s">
        <v>128</v>
      </c>
      <c r="B58" s="154">
        <v>0.0</v>
      </c>
      <c r="C58" s="154">
        <v>0.0</v>
      </c>
      <c r="D58" s="154">
        <v>556.0</v>
      </c>
      <c r="E58" s="154">
        <v>2584.0</v>
      </c>
      <c r="F58" s="154">
        <v>5564.0</v>
      </c>
      <c r="G58" s="154">
        <f t="shared" si="283"/>
        <v>8704</v>
      </c>
      <c r="H58" s="154">
        <v>8674.0</v>
      </c>
      <c r="I58" s="154">
        <v>8631.0</v>
      </c>
      <c r="J58" s="154">
        <v>8288.0</v>
      </c>
      <c r="K58" s="156">
        <f t="shared" si="284"/>
        <v>25593</v>
      </c>
      <c r="L58" s="154">
        <v>8621.0</v>
      </c>
      <c r="M58" s="154">
        <v>8295.0</v>
      </c>
      <c r="N58" s="154">
        <v>8491.0</v>
      </c>
      <c r="O58" s="156">
        <f t="shared" si="285"/>
        <v>25407</v>
      </c>
      <c r="P58" s="154">
        <v>6958.0</v>
      </c>
      <c r="Q58" s="154">
        <v>11494.0</v>
      </c>
      <c r="R58" s="154">
        <v>6580.0</v>
      </c>
      <c r="S58" s="156">
        <f t="shared" si="286"/>
        <v>25032</v>
      </c>
      <c r="T58" s="154">
        <v>2939.0</v>
      </c>
      <c r="U58" s="154">
        <v>4016.0</v>
      </c>
      <c r="V58" s="154">
        <v>12797.0</v>
      </c>
      <c r="W58" s="156">
        <f t="shared" si="287"/>
        <v>19752</v>
      </c>
      <c r="X58" s="156">
        <f t="shared" si="288"/>
        <v>95784</v>
      </c>
      <c r="Y58" s="154">
        <v>5546.0</v>
      </c>
      <c r="Z58" s="154">
        <v>8092.0</v>
      </c>
      <c r="AA58" s="154">
        <v>2169.0</v>
      </c>
      <c r="AB58" s="156">
        <f t="shared" si="289"/>
        <v>15807</v>
      </c>
      <c r="AC58" s="154">
        <v>3863.0</v>
      </c>
      <c r="AD58" s="154">
        <v>3145.0</v>
      </c>
      <c r="AE58" s="154">
        <v>4011.0</v>
      </c>
      <c r="AF58" s="156">
        <f t="shared" si="290"/>
        <v>11019</v>
      </c>
      <c r="AG58" s="154">
        <v>1097.0</v>
      </c>
      <c r="AH58" s="154">
        <v>1604.0</v>
      </c>
      <c r="AI58" s="154">
        <v>2992.0</v>
      </c>
      <c r="AJ58" s="156">
        <f t="shared" si="291"/>
        <v>5693</v>
      </c>
      <c r="AK58" s="154">
        <v>2386.0</v>
      </c>
      <c r="AL58" s="154">
        <v>1715.0</v>
      </c>
      <c r="AM58" s="154">
        <v>1298.0</v>
      </c>
      <c r="AN58" s="156">
        <f t="shared" si="292"/>
        <v>5399</v>
      </c>
      <c r="AO58" s="156">
        <f t="shared" si="293"/>
        <v>37918</v>
      </c>
      <c r="AP58" s="154">
        <v>367.0</v>
      </c>
      <c r="AQ58" s="154">
        <v>541.0</v>
      </c>
      <c r="AR58" s="156">
        <v>705.0</v>
      </c>
      <c r="AS58" s="154">
        <f t="shared" si="294"/>
        <v>1613</v>
      </c>
      <c r="AT58" s="154">
        <v>130.0</v>
      </c>
      <c r="AU58" s="154">
        <v>207.0</v>
      </c>
      <c r="AV58" s="154">
        <v>106.0</v>
      </c>
      <c r="AW58" s="154">
        <f t="shared" si="295"/>
        <v>443</v>
      </c>
      <c r="AX58" s="154">
        <v>824.0</v>
      </c>
      <c r="AY58" s="154">
        <v>726.0</v>
      </c>
      <c r="AZ58" s="154">
        <v>1192.0</v>
      </c>
      <c r="BA58" s="154">
        <f t="shared" si="296"/>
        <v>2742</v>
      </c>
      <c r="BB58" s="154">
        <v>450.0</v>
      </c>
      <c r="BC58" s="154">
        <v>360.0</v>
      </c>
      <c r="BD58" s="154">
        <v>608.0</v>
      </c>
      <c r="BE58" s="154">
        <f t="shared" si="297"/>
        <v>1418</v>
      </c>
      <c r="BF58" s="154">
        <f t="shared" si="298"/>
        <v>6216</v>
      </c>
      <c r="BG58" s="154">
        <v>390.0</v>
      </c>
      <c r="BH58" s="154">
        <v>480.0</v>
      </c>
      <c r="BI58" s="154">
        <v>513.0</v>
      </c>
      <c r="BJ58" s="154">
        <f t="shared" si="299"/>
        <v>1383</v>
      </c>
      <c r="BK58" s="154">
        <v>482.0</v>
      </c>
      <c r="BL58" s="154">
        <v>331.0</v>
      </c>
      <c r="BM58" s="154">
        <v>319.0</v>
      </c>
      <c r="BN58" s="154">
        <f t="shared" si="300"/>
        <v>1132</v>
      </c>
      <c r="BO58" s="154">
        <v>504.0</v>
      </c>
      <c r="BP58" s="154">
        <v>784.0</v>
      </c>
      <c r="BQ58" s="154">
        <v>784.0</v>
      </c>
      <c r="BR58" s="154">
        <f t="shared" si="301"/>
        <v>2072</v>
      </c>
      <c r="BS58" s="154">
        <v>357.0</v>
      </c>
      <c r="BT58" s="154">
        <v>146.0</v>
      </c>
      <c r="BU58" s="154">
        <v>27.0</v>
      </c>
      <c r="BV58" s="154">
        <f t="shared" si="302"/>
        <v>530</v>
      </c>
      <c r="BW58" s="154">
        <f t="shared" si="303"/>
        <v>5117</v>
      </c>
      <c r="BX58" s="154">
        <v>89.0</v>
      </c>
      <c r="BY58" s="154">
        <v>88.0</v>
      </c>
      <c r="BZ58" s="154">
        <f t="shared" si="304"/>
        <v>-1</v>
      </c>
      <c r="CA58" s="154">
        <v>188.0</v>
      </c>
      <c r="CB58" s="154">
        <v>188.0</v>
      </c>
      <c r="CC58" s="154">
        <f t="shared" si="305"/>
        <v>0</v>
      </c>
      <c r="CD58" s="154">
        <v>47.0</v>
      </c>
      <c r="CE58" s="154">
        <v>157.0</v>
      </c>
      <c r="CF58" s="154">
        <f t="shared" si="306"/>
        <v>110</v>
      </c>
      <c r="CG58" s="154">
        <f t="shared" si="307"/>
        <v>756</v>
      </c>
      <c r="CH58" s="154">
        <v>134.0</v>
      </c>
      <c r="CI58" s="154">
        <v>134.0</v>
      </c>
      <c r="CJ58" s="154">
        <f t="shared" si="308"/>
        <v>0</v>
      </c>
      <c r="CK58" s="154">
        <v>240.0</v>
      </c>
      <c r="CL58" s="154">
        <v>240.0</v>
      </c>
      <c r="CM58" s="154">
        <f t="shared" si="309"/>
        <v>0</v>
      </c>
      <c r="CN58" s="154">
        <v>191.0</v>
      </c>
      <c r="CO58" s="154">
        <v>200.0</v>
      </c>
      <c r="CP58" s="154">
        <f t="shared" si="310"/>
        <v>9</v>
      </c>
      <c r="CQ58" s="154">
        <f t="shared" si="311"/>
        <v>1139</v>
      </c>
      <c r="CR58" s="154">
        <v>221.0</v>
      </c>
      <c r="CS58" s="154">
        <f t="shared" si="312"/>
        <v>118</v>
      </c>
      <c r="CT58" s="154">
        <f t="shared" si="313"/>
        <v>339</v>
      </c>
      <c r="CU58" s="154"/>
      <c r="CV58" s="154"/>
      <c r="CW58" s="154">
        <f t="shared" si="314"/>
        <v>678</v>
      </c>
      <c r="CX58" s="154"/>
      <c r="CY58" s="154"/>
      <c r="CZ58" s="154"/>
      <c r="DA58" s="154">
        <f t="shared" si="315"/>
        <v>0</v>
      </c>
      <c r="DB58" s="154">
        <f t="shared" si="316"/>
        <v>2573</v>
      </c>
      <c r="DC58" s="171">
        <f t="shared" si="317"/>
        <v>156312</v>
      </c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</row>
    <row r="59" ht="15.75" customHeight="1">
      <c r="A59" s="167" t="s">
        <v>129</v>
      </c>
      <c r="B59" s="154">
        <v>0.0</v>
      </c>
      <c r="C59" s="154">
        <v>0.0</v>
      </c>
      <c r="D59" s="154">
        <v>1029.0</v>
      </c>
      <c r="E59" s="154">
        <v>1790.0</v>
      </c>
      <c r="F59" s="154">
        <v>5374.0</v>
      </c>
      <c r="G59" s="154">
        <f t="shared" si="283"/>
        <v>8193</v>
      </c>
      <c r="H59" s="154">
        <v>6895.0</v>
      </c>
      <c r="I59" s="154">
        <v>6616.0</v>
      </c>
      <c r="J59" s="154">
        <v>7014.0</v>
      </c>
      <c r="K59" s="156">
        <f t="shared" si="284"/>
        <v>20525</v>
      </c>
      <c r="L59" s="154">
        <v>6409.0</v>
      </c>
      <c r="M59" s="154">
        <v>5164.0</v>
      </c>
      <c r="N59" s="154">
        <v>3918.0</v>
      </c>
      <c r="O59" s="156">
        <f t="shared" si="285"/>
        <v>15491</v>
      </c>
      <c r="P59" s="154">
        <v>12487.0</v>
      </c>
      <c r="Q59" s="154">
        <v>12046.0</v>
      </c>
      <c r="R59" s="154">
        <v>6875.0</v>
      </c>
      <c r="S59" s="156">
        <f t="shared" si="286"/>
        <v>31408</v>
      </c>
      <c r="T59" s="154">
        <v>6948.0</v>
      </c>
      <c r="U59" s="154">
        <v>8226.0</v>
      </c>
      <c r="V59" s="154">
        <v>14957.0</v>
      </c>
      <c r="W59" s="156">
        <f t="shared" si="287"/>
        <v>30131</v>
      </c>
      <c r="X59" s="156">
        <f t="shared" si="288"/>
        <v>97555</v>
      </c>
      <c r="Y59" s="154">
        <v>4853.0</v>
      </c>
      <c r="Z59" s="154">
        <v>806.0</v>
      </c>
      <c r="AA59" s="154">
        <v>4490.0</v>
      </c>
      <c r="AB59" s="156">
        <f t="shared" si="289"/>
        <v>10149</v>
      </c>
      <c r="AC59" s="154">
        <v>3248.0</v>
      </c>
      <c r="AD59" s="154">
        <v>3900.0</v>
      </c>
      <c r="AE59" s="154">
        <v>4374.0</v>
      </c>
      <c r="AF59" s="156">
        <f t="shared" si="290"/>
        <v>11522</v>
      </c>
      <c r="AG59" s="154">
        <v>3113.0</v>
      </c>
      <c r="AH59" s="154">
        <v>2593.0</v>
      </c>
      <c r="AI59" s="154">
        <v>2154.0</v>
      </c>
      <c r="AJ59" s="156">
        <f t="shared" si="291"/>
        <v>7860</v>
      </c>
      <c r="AK59" s="154">
        <v>1999.0</v>
      </c>
      <c r="AL59" s="154">
        <v>1931.0</v>
      </c>
      <c r="AM59" s="154">
        <v>1916.0</v>
      </c>
      <c r="AN59" s="156">
        <f t="shared" si="292"/>
        <v>5846</v>
      </c>
      <c r="AO59" s="156">
        <f t="shared" si="293"/>
        <v>35377</v>
      </c>
      <c r="AP59" s="154">
        <v>1102.0</v>
      </c>
      <c r="AQ59" s="154">
        <v>601.0</v>
      </c>
      <c r="AR59" s="156">
        <v>629.0</v>
      </c>
      <c r="AS59" s="154">
        <f t="shared" si="294"/>
        <v>2332</v>
      </c>
      <c r="AT59" s="154">
        <v>511.0</v>
      </c>
      <c r="AU59" s="154">
        <v>259.0</v>
      </c>
      <c r="AV59" s="154">
        <v>207.0</v>
      </c>
      <c r="AW59" s="154">
        <f t="shared" si="295"/>
        <v>977</v>
      </c>
      <c r="AX59" s="154">
        <v>4969.0</v>
      </c>
      <c r="AY59" s="154">
        <v>3081.0</v>
      </c>
      <c r="AZ59" s="154">
        <v>3906.0</v>
      </c>
      <c r="BA59" s="154">
        <f t="shared" si="296"/>
        <v>11956</v>
      </c>
      <c r="BB59" s="154">
        <v>2670.0</v>
      </c>
      <c r="BC59" s="154">
        <v>3004.0</v>
      </c>
      <c r="BD59" s="154">
        <v>2606.0</v>
      </c>
      <c r="BE59" s="154">
        <f t="shared" si="297"/>
        <v>8280</v>
      </c>
      <c r="BF59" s="154">
        <f t="shared" si="298"/>
        <v>23545</v>
      </c>
      <c r="BG59" s="154">
        <v>803.0</v>
      </c>
      <c r="BH59" s="154">
        <v>833.0</v>
      </c>
      <c r="BI59" s="154">
        <v>759.0</v>
      </c>
      <c r="BJ59" s="154">
        <f t="shared" si="299"/>
        <v>2395</v>
      </c>
      <c r="BK59" s="154">
        <v>1243.0</v>
      </c>
      <c r="BL59" s="154">
        <v>1192.0</v>
      </c>
      <c r="BM59" s="154">
        <v>616.0</v>
      </c>
      <c r="BN59" s="154">
        <f t="shared" si="300"/>
        <v>3051</v>
      </c>
      <c r="BO59" s="154">
        <v>803.0</v>
      </c>
      <c r="BP59" s="154">
        <v>804.0</v>
      </c>
      <c r="BQ59" s="154">
        <v>793.0</v>
      </c>
      <c r="BR59" s="154">
        <f t="shared" si="301"/>
        <v>2400</v>
      </c>
      <c r="BS59" s="154">
        <v>694.0</v>
      </c>
      <c r="BT59" s="154">
        <v>801.0</v>
      </c>
      <c r="BU59" s="154">
        <v>54.0</v>
      </c>
      <c r="BV59" s="154">
        <f t="shared" si="302"/>
        <v>1549</v>
      </c>
      <c r="BW59" s="154">
        <f t="shared" si="303"/>
        <v>9395</v>
      </c>
      <c r="BX59" s="154">
        <v>184.0</v>
      </c>
      <c r="BY59" s="154">
        <v>185.0</v>
      </c>
      <c r="BZ59" s="154">
        <f t="shared" si="304"/>
        <v>1</v>
      </c>
      <c r="CA59" s="154">
        <v>46.0</v>
      </c>
      <c r="CB59" s="154">
        <v>46.0</v>
      </c>
      <c r="CC59" s="154">
        <f t="shared" si="305"/>
        <v>0</v>
      </c>
      <c r="CD59" s="154">
        <v>64.0</v>
      </c>
      <c r="CE59" s="154">
        <v>101.0</v>
      </c>
      <c r="CF59" s="154">
        <f t="shared" si="306"/>
        <v>37</v>
      </c>
      <c r="CG59" s="154">
        <f t="shared" si="307"/>
        <v>627</v>
      </c>
      <c r="CH59" s="154">
        <v>76.0</v>
      </c>
      <c r="CI59" s="154">
        <v>76.0</v>
      </c>
      <c r="CJ59" s="154">
        <f t="shared" si="308"/>
        <v>0</v>
      </c>
      <c r="CK59" s="154">
        <v>288.0</v>
      </c>
      <c r="CL59" s="154">
        <v>288.0</v>
      </c>
      <c r="CM59" s="154">
        <f t="shared" si="309"/>
        <v>0</v>
      </c>
      <c r="CN59" s="154">
        <v>389.0</v>
      </c>
      <c r="CO59" s="154">
        <v>420.0</v>
      </c>
      <c r="CP59" s="154">
        <f t="shared" si="310"/>
        <v>31</v>
      </c>
      <c r="CQ59" s="154">
        <f t="shared" si="311"/>
        <v>1537</v>
      </c>
      <c r="CR59" s="154">
        <v>190.0</v>
      </c>
      <c r="CS59" s="154">
        <f t="shared" si="312"/>
        <v>69</v>
      </c>
      <c r="CT59" s="154">
        <f t="shared" si="313"/>
        <v>259</v>
      </c>
      <c r="CU59" s="154"/>
      <c r="CV59" s="154"/>
      <c r="CW59" s="154">
        <f t="shared" si="314"/>
        <v>518</v>
      </c>
      <c r="CX59" s="154"/>
      <c r="CY59" s="154"/>
      <c r="CZ59" s="154"/>
      <c r="DA59" s="154">
        <f t="shared" si="315"/>
        <v>0</v>
      </c>
      <c r="DB59" s="154">
        <f t="shared" si="316"/>
        <v>2682</v>
      </c>
      <c r="DC59" s="171">
        <f t="shared" si="317"/>
        <v>176747</v>
      </c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</row>
    <row r="60" ht="15.75" customHeight="1">
      <c r="A60" s="167" t="s">
        <v>130</v>
      </c>
      <c r="B60" s="154">
        <v>0.0</v>
      </c>
      <c r="C60" s="154">
        <v>0.0</v>
      </c>
      <c r="D60" s="154">
        <v>207.0</v>
      </c>
      <c r="E60" s="154">
        <v>1810.0</v>
      </c>
      <c r="F60" s="154">
        <v>2051.0</v>
      </c>
      <c r="G60" s="154">
        <f t="shared" si="283"/>
        <v>4068</v>
      </c>
      <c r="H60" s="154">
        <v>3023.0</v>
      </c>
      <c r="I60" s="154">
        <v>3592.0</v>
      </c>
      <c r="J60" s="155">
        <v>3336.0</v>
      </c>
      <c r="K60" s="156">
        <f t="shared" si="284"/>
        <v>9951</v>
      </c>
      <c r="L60" s="154">
        <v>2250.0</v>
      </c>
      <c r="M60" s="154">
        <v>1824.0</v>
      </c>
      <c r="N60" s="154">
        <v>614.0</v>
      </c>
      <c r="O60" s="156">
        <f t="shared" si="285"/>
        <v>4688</v>
      </c>
      <c r="P60" s="154">
        <v>455.0</v>
      </c>
      <c r="Q60" s="154">
        <v>1126.0</v>
      </c>
      <c r="R60" s="154">
        <v>1292.0</v>
      </c>
      <c r="S60" s="156">
        <f t="shared" si="286"/>
        <v>2873</v>
      </c>
      <c r="T60" s="154">
        <v>441.0</v>
      </c>
      <c r="U60" s="154">
        <v>1614.0</v>
      </c>
      <c r="V60" s="154">
        <v>5395.0</v>
      </c>
      <c r="W60" s="156">
        <f t="shared" si="287"/>
        <v>7450</v>
      </c>
      <c r="X60" s="156">
        <f t="shared" si="288"/>
        <v>24962</v>
      </c>
      <c r="Y60" s="154">
        <v>1975.0</v>
      </c>
      <c r="Z60" s="154">
        <v>1909.0</v>
      </c>
      <c r="AA60" s="155">
        <v>1910.0</v>
      </c>
      <c r="AB60" s="156">
        <f t="shared" si="289"/>
        <v>5794</v>
      </c>
      <c r="AC60" s="154">
        <v>1025.0</v>
      </c>
      <c r="AD60" s="154">
        <v>1283.0</v>
      </c>
      <c r="AE60" s="154">
        <v>887.0</v>
      </c>
      <c r="AF60" s="156">
        <f t="shared" si="290"/>
        <v>3195</v>
      </c>
      <c r="AG60" s="154">
        <v>458.0</v>
      </c>
      <c r="AH60" s="154">
        <v>614.0</v>
      </c>
      <c r="AI60" s="154">
        <v>523.0</v>
      </c>
      <c r="AJ60" s="156">
        <f t="shared" si="291"/>
        <v>1595</v>
      </c>
      <c r="AK60" s="154">
        <v>591.0</v>
      </c>
      <c r="AL60" s="154">
        <v>176.0</v>
      </c>
      <c r="AM60" s="154">
        <v>48.0</v>
      </c>
      <c r="AN60" s="156">
        <f t="shared" si="292"/>
        <v>815</v>
      </c>
      <c r="AO60" s="156">
        <f t="shared" si="293"/>
        <v>11399</v>
      </c>
      <c r="AP60" s="154">
        <v>145.0</v>
      </c>
      <c r="AQ60" s="154">
        <v>73.0</v>
      </c>
      <c r="AR60" s="156">
        <v>219.0</v>
      </c>
      <c r="AS60" s="154">
        <f t="shared" si="294"/>
        <v>437</v>
      </c>
      <c r="AT60" s="154">
        <v>26.0</v>
      </c>
      <c r="AU60" s="154">
        <v>12.0</v>
      </c>
      <c r="AV60" s="154">
        <v>43.0</v>
      </c>
      <c r="AW60" s="154">
        <f t="shared" si="295"/>
        <v>81</v>
      </c>
      <c r="AX60" s="154">
        <v>324.0</v>
      </c>
      <c r="AY60" s="154">
        <v>736.0</v>
      </c>
      <c r="AZ60" s="154">
        <v>394.0</v>
      </c>
      <c r="BA60" s="154">
        <f t="shared" si="296"/>
        <v>1454</v>
      </c>
      <c r="BB60" s="154">
        <v>599.0</v>
      </c>
      <c r="BC60" s="154">
        <v>226.0</v>
      </c>
      <c r="BD60" s="154">
        <v>140.0</v>
      </c>
      <c r="BE60" s="154">
        <f t="shared" si="297"/>
        <v>965</v>
      </c>
      <c r="BF60" s="154">
        <f t="shared" si="298"/>
        <v>2937</v>
      </c>
      <c r="BG60" s="154">
        <v>229.0</v>
      </c>
      <c r="BH60" s="154">
        <v>109.0</v>
      </c>
      <c r="BI60" s="154">
        <v>32.0</v>
      </c>
      <c r="BJ60" s="154">
        <f t="shared" si="299"/>
        <v>370</v>
      </c>
      <c r="BK60" s="154">
        <v>47.0</v>
      </c>
      <c r="BL60" s="154">
        <v>136.0</v>
      </c>
      <c r="BM60" s="154">
        <v>67.0</v>
      </c>
      <c r="BN60" s="154">
        <f t="shared" si="300"/>
        <v>250</v>
      </c>
      <c r="BO60" s="154">
        <v>99.0</v>
      </c>
      <c r="BP60" s="154">
        <v>140.0</v>
      </c>
      <c r="BQ60" s="154">
        <v>28.0</v>
      </c>
      <c r="BR60" s="154">
        <f t="shared" si="301"/>
        <v>267</v>
      </c>
      <c r="BS60" s="154">
        <v>51.0</v>
      </c>
      <c r="BT60" s="154">
        <v>35.0</v>
      </c>
      <c r="BU60" s="154">
        <v>14.0</v>
      </c>
      <c r="BV60" s="154">
        <f t="shared" si="302"/>
        <v>100</v>
      </c>
      <c r="BW60" s="154">
        <f t="shared" si="303"/>
        <v>987</v>
      </c>
      <c r="BX60" s="154">
        <v>5.0</v>
      </c>
      <c r="BY60" s="154">
        <v>6.0</v>
      </c>
      <c r="BZ60" s="154">
        <f t="shared" si="304"/>
        <v>1</v>
      </c>
      <c r="CA60" s="154">
        <v>30.0</v>
      </c>
      <c r="CB60" s="154">
        <v>30.0</v>
      </c>
      <c r="CC60" s="154">
        <f t="shared" si="305"/>
        <v>0</v>
      </c>
      <c r="CD60" s="154">
        <v>0.0</v>
      </c>
      <c r="CE60" s="154">
        <v>7.0</v>
      </c>
      <c r="CF60" s="154">
        <f t="shared" si="306"/>
        <v>7</v>
      </c>
      <c r="CG60" s="154">
        <f t="shared" si="307"/>
        <v>79</v>
      </c>
      <c r="CH60" s="154">
        <v>19.0</v>
      </c>
      <c r="CI60" s="154">
        <v>19.0</v>
      </c>
      <c r="CJ60" s="154">
        <f t="shared" si="308"/>
        <v>0</v>
      </c>
      <c r="CK60" s="154">
        <v>37.0</v>
      </c>
      <c r="CL60" s="155">
        <v>37.0</v>
      </c>
      <c r="CM60" s="154">
        <f t="shared" si="309"/>
        <v>0</v>
      </c>
      <c r="CN60" s="155">
        <v>42.0</v>
      </c>
      <c r="CO60" s="155">
        <v>42.0</v>
      </c>
      <c r="CP60" s="154">
        <f t="shared" si="310"/>
        <v>0</v>
      </c>
      <c r="CQ60" s="154">
        <f t="shared" si="311"/>
        <v>196</v>
      </c>
      <c r="CR60" s="154">
        <v>41.0</v>
      </c>
      <c r="CS60" s="154">
        <f t="shared" si="312"/>
        <v>8</v>
      </c>
      <c r="CT60" s="154">
        <f t="shared" si="313"/>
        <v>49</v>
      </c>
      <c r="CU60" s="154"/>
      <c r="CV60" s="155"/>
      <c r="CW60" s="154">
        <f t="shared" si="314"/>
        <v>98</v>
      </c>
      <c r="CX60" s="154"/>
      <c r="CY60" s="154"/>
      <c r="CZ60" s="155"/>
      <c r="DA60" s="154">
        <f t="shared" si="315"/>
        <v>0</v>
      </c>
      <c r="DB60" s="154">
        <f t="shared" si="316"/>
        <v>373</v>
      </c>
      <c r="DC60" s="171">
        <f t="shared" si="317"/>
        <v>44726</v>
      </c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</row>
    <row r="61" ht="15.75" customHeight="1">
      <c r="A61" s="169" t="s">
        <v>131</v>
      </c>
      <c r="B61" s="154">
        <v>46.0</v>
      </c>
      <c r="C61" s="154">
        <v>1600.0</v>
      </c>
      <c r="D61" s="154">
        <v>2775.0</v>
      </c>
      <c r="E61" s="154">
        <v>7917.0</v>
      </c>
      <c r="F61" s="154">
        <v>16143.0</v>
      </c>
      <c r="G61" s="154">
        <f t="shared" si="283"/>
        <v>28481</v>
      </c>
      <c r="H61" s="154">
        <v>23050.0</v>
      </c>
      <c r="I61" s="154">
        <v>23769.0</v>
      </c>
      <c r="J61" s="154">
        <v>24833.0</v>
      </c>
      <c r="K61" s="156">
        <f t="shared" si="284"/>
        <v>71652</v>
      </c>
      <c r="L61" s="154">
        <v>22405.0</v>
      </c>
      <c r="M61" s="154">
        <v>20083.0</v>
      </c>
      <c r="N61" s="154">
        <v>7720.0</v>
      </c>
      <c r="O61" s="156">
        <f t="shared" si="285"/>
        <v>50208</v>
      </c>
      <c r="P61" s="154">
        <v>11204.0</v>
      </c>
      <c r="Q61" s="154">
        <v>16951.0</v>
      </c>
      <c r="R61" s="154">
        <v>33407.0</v>
      </c>
      <c r="S61" s="156">
        <f t="shared" si="286"/>
        <v>61562</v>
      </c>
      <c r="T61" s="154">
        <v>6964.0</v>
      </c>
      <c r="U61" s="154">
        <v>37688.0</v>
      </c>
      <c r="V61" s="154">
        <v>66539.0</v>
      </c>
      <c r="W61" s="156">
        <f t="shared" si="287"/>
        <v>111191</v>
      </c>
      <c r="X61" s="156">
        <f t="shared" si="288"/>
        <v>294613</v>
      </c>
      <c r="Y61" s="154">
        <v>10545.0</v>
      </c>
      <c r="Z61" s="154">
        <v>11828.0</v>
      </c>
      <c r="AA61" s="154">
        <v>12250.0</v>
      </c>
      <c r="AB61" s="156">
        <f t="shared" si="289"/>
        <v>34623</v>
      </c>
      <c r="AC61" s="154">
        <v>7250.0</v>
      </c>
      <c r="AD61" s="154">
        <v>6151.0</v>
      </c>
      <c r="AE61" s="154">
        <v>6712.0</v>
      </c>
      <c r="AF61" s="156">
        <f t="shared" si="290"/>
        <v>20113</v>
      </c>
      <c r="AG61" s="154">
        <v>5326.0</v>
      </c>
      <c r="AH61" s="154">
        <v>3403.0</v>
      </c>
      <c r="AI61" s="154">
        <v>5957.0</v>
      </c>
      <c r="AJ61" s="156">
        <f t="shared" si="291"/>
        <v>14686</v>
      </c>
      <c r="AK61" s="154">
        <v>3831.0</v>
      </c>
      <c r="AL61" s="154">
        <v>3982.0</v>
      </c>
      <c r="AM61" s="154">
        <v>3634.0</v>
      </c>
      <c r="AN61" s="156">
        <f t="shared" si="292"/>
        <v>11447</v>
      </c>
      <c r="AO61" s="156">
        <f t="shared" si="293"/>
        <v>80869</v>
      </c>
      <c r="AP61" s="154">
        <v>2468.0</v>
      </c>
      <c r="AQ61" s="154">
        <v>1004.0</v>
      </c>
      <c r="AR61" s="156">
        <v>1579.0</v>
      </c>
      <c r="AS61" s="154">
        <f t="shared" si="294"/>
        <v>5051</v>
      </c>
      <c r="AT61" s="154">
        <v>519.0</v>
      </c>
      <c r="AU61" s="154">
        <v>1030.0</v>
      </c>
      <c r="AV61" s="154">
        <v>169.0</v>
      </c>
      <c r="AW61" s="154">
        <f t="shared" si="295"/>
        <v>1718</v>
      </c>
      <c r="AX61" s="154">
        <v>3785.0</v>
      </c>
      <c r="AY61" s="154">
        <v>1948.0</v>
      </c>
      <c r="AZ61" s="154">
        <v>945.0</v>
      </c>
      <c r="BA61" s="154">
        <f t="shared" si="296"/>
        <v>6678</v>
      </c>
      <c r="BB61" s="154">
        <v>1723.0</v>
      </c>
      <c r="BC61" s="154">
        <v>1904.0</v>
      </c>
      <c r="BD61" s="154">
        <v>800.0</v>
      </c>
      <c r="BE61" s="154">
        <f t="shared" si="297"/>
        <v>4427</v>
      </c>
      <c r="BF61" s="154">
        <f t="shared" si="298"/>
        <v>17874</v>
      </c>
      <c r="BG61" s="154">
        <v>1116.0</v>
      </c>
      <c r="BH61" s="154">
        <v>491.0</v>
      </c>
      <c r="BI61" s="154">
        <v>515.0</v>
      </c>
      <c r="BJ61" s="154">
        <f t="shared" si="299"/>
        <v>2122</v>
      </c>
      <c r="BK61" s="154">
        <v>738.0</v>
      </c>
      <c r="BL61" s="154">
        <v>1311.0</v>
      </c>
      <c r="BM61" s="154">
        <v>871.0</v>
      </c>
      <c r="BN61" s="154">
        <f t="shared" si="300"/>
        <v>2920</v>
      </c>
      <c r="BO61" s="154">
        <v>1234.0</v>
      </c>
      <c r="BP61" s="154">
        <v>1219.0</v>
      </c>
      <c r="BQ61" s="154">
        <v>730.0</v>
      </c>
      <c r="BR61" s="154">
        <f t="shared" si="301"/>
        <v>3183</v>
      </c>
      <c r="BS61" s="154">
        <v>791.0</v>
      </c>
      <c r="BT61" s="154">
        <v>471.0</v>
      </c>
      <c r="BU61" s="154">
        <v>378.0</v>
      </c>
      <c r="BV61" s="154">
        <f t="shared" si="302"/>
        <v>1640</v>
      </c>
      <c r="BW61" s="154">
        <f t="shared" si="303"/>
        <v>9865</v>
      </c>
      <c r="BX61" s="154">
        <v>3.0</v>
      </c>
      <c r="BY61" s="154">
        <f>397+3</f>
        <v>400</v>
      </c>
      <c r="BZ61" s="154">
        <f t="shared" si="304"/>
        <v>397</v>
      </c>
      <c r="CA61" s="154">
        <v>5.0</v>
      </c>
      <c r="CB61" s="154">
        <f>469+4</f>
        <v>473</v>
      </c>
      <c r="CC61" s="154">
        <f t="shared" si="305"/>
        <v>468</v>
      </c>
      <c r="CD61" s="154">
        <v>296.0</v>
      </c>
      <c r="CE61" s="154">
        <f>809+13</f>
        <v>822</v>
      </c>
      <c r="CF61" s="154">
        <f t="shared" si="306"/>
        <v>526</v>
      </c>
      <c r="CG61" s="154">
        <f t="shared" ref="CG61:CG62" si="319">SUM(BX61:CD61)</f>
        <v>2042</v>
      </c>
      <c r="CH61" s="154">
        <v>632.0</v>
      </c>
      <c r="CI61" s="154">
        <f>617+15</f>
        <v>632</v>
      </c>
      <c r="CJ61" s="154">
        <f t="shared" si="308"/>
        <v>0</v>
      </c>
      <c r="CK61" s="154">
        <f t="shared" ref="CK61:CL61" si="318">614+13</f>
        <v>627</v>
      </c>
      <c r="CL61" s="154">
        <f t="shared" si="318"/>
        <v>627</v>
      </c>
      <c r="CM61" s="154">
        <f t="shared" si="309"/>
        <v>0</v>
      </c>
      <c r="CN61" s="154">
        <f>660+12</f>
        <v>672</v>
      </c>
      <c r="CO61" s="154">
        <f>662+12</f>
        <v>674</v>
      </c>
      <c r="CP61" s="154">
        <f t="shared" si="310"/>
        <v>2</v>
      </c>
      <c r="CQ61" s="154">
        <f t="shared" ref="CQ61:CQ62" si="321">SUM(CH61:CN61)</f>
        <v>3190</v>
      </c>
      <c r="CR61" s="154">
        <f>704+21</f>
        <v>725</v>
      </c>
      <c r="CS61" s="154">
        <f t="shared" si="312"/>
        <v>1393</v>
      </c>
      <c r="CT61" s="154">
        <f t="shared" si="313"/>
        <v>2118</v>
      </c>
      <c r="CU61" s="154"/>
      <c r="CV61" s="154"/>
      <c r="CW61" s="154">
        <f t="shared" si="314"/>
        <v>4236</v>
      </c>
      <c r="CX61" s="154"/>
      <c r="CY61" s="154"/>
      <c r="CZ61" s="154"/>
      <c r="DA61" s="154">
        <f t="shared" si="315"/>
        <v>0</v>
      </c>
      <c r="DB61" s="154">
        <f t="shared" si="316"/>
        <v>9468</v>
      </c>
      <c r="DC61" s="171">
        <f t="shared" si="317"/>
        <v>441170</v>
      </c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</row>
    <row r="62" ht="15.75" customHeight="1">
      <c r="A62" s="169" t="s">
        <v>132</v>
      </c>
      <c r="B62" s="154">
        <v>0.0</v>
      </c>
      <c r="C62" s="154">
        <v>0.0</v>
      </c>
      <c r="D62" s="154">
        <v>1667.0</v>
      </c>
      <c r="E62" s="154">
        <v>7646.0</v>
      </c>
      <c r="F62" s="154">
        <v>8503.0</v>
      </c>
      <c r="G62" s="154">
        <f t="shared" si="283"/>
        <v>17816</v>
      </c>
      <c r="H62" s="154">
        <v>14724.0</v>
      </c>
      <c r="I62" s="154">
        <v>18845.0</v>
      </c>
      <c r="J62" s="154">
        <v>10688.0</v>
      </c>
      <c r="K62" s="156">
        <f t="shared" si="284"/>
        <v>44257</v>
      </c>
      <c r="L62" s="154">
        <v>10347.0</v>
      </c>
      <c r="M62" s="154">
        <v>9287.0</v>
      </c>
      <c r="N62" s="154">
        <v>5466.0</v>
      </c>
      <c r="O62" s="156">
        <f t="shared" si="285"/>
        <v>25100</v>
      </c>
      <c r="P62" s="154">
        <v>10769.0</v>
      </c>
      <c r="Q62" s="154">
        <v>7923.0</v>
      </c>
      <c r="R62" s="154">
        <v>6649.0</v>
      </c>
      <c r="S62" s="156">
        <f t="shared" si="286"/>
        <v>25341</v>
      </c>
      <c r="T62" s="154">
        <v>7827.0</v>
      </c>
      <c r="U62" s="154">
        <v>6202.0</v>
      </c>
      <c r="V62" s="154">
        <v>14769.0</v>
      </c>
      <c r="W62" s="156">
        <f t="shared" si="287"/>
        <v>28798</v>
      </c>
      <c r="X62" s="156">
        <f t="shared" si="288"/>
        <v>123496</v>
      </c>
      <c r="Y62" s="154">
        <v>4349.0</v>
      </c>
      <c r="Z62" s="154">
        <v>3377.0</v>
      </c>
      <c r="AA62" s="154">
        <v>3014.0</v>
      </c>
      <c r="AB62" s="156">
        <f t="shared" si="289"/>
        <v>10740</v>
      </c>
      <c r="AC62" s="154">
        <v>1901.0</v>
      </c>
      <c r="AD62" s="154">
        <v>1900.0</v>
      </c>
      <c r="AE62" s="154">
        <v>1901.0</v>
      </c>
      <c r="AF62" s="156">
        <f t="shared" si="290"/>
        <v>5702</v>
      </c>
      <c r="AG62" s="154">
        <v>1904.0</v>
      </c>
      <c r="AH62" s="154">
        <v>1904.0</v>
      </c>
      <c r="AI62" s="154">
        <v>1902.0</v>
      </c>
      <c r="AJ62" s="156">
        <f t="shared" si="291"/>
        <v>5710</v>
      </c>
      <c r="AK62" s="154">
        <v>1902.0</v>
      </c>
      <c r="AL62" s="154">
        <v>3617.0</v>
      </c>
      <c r="AM62" s="154">
        <v>3704.0</v>
      </c>
      <c r="AN62" s="156">
        <f t="shared" si="292"/>
        <v>9223</v>
      </c>
      <c r="AO62" s="156">
        <f t="shared" si="293"/>
        <v>31375</v>
      </c>
      <c r="AP62" s="154">
        <v>1981.0</v>
      </c>
      <c r="AQ62" s="154">
        <v>1867.0</v>
      </c>
      <c r="AR62" s="156">
        <v>3136.0</v>
      </c>
      <c r="AS62" s="154">
        <f t="shared" si="294"/>
        <v>6984</v>
      </c>
      <c r="AT62" s="154">
        <v>930.0</v>
      </c>
      <c r="AU62" s="154">
        <v>1038.0</v>
      </c>
      <c r="AV62" s="154">
        <v>489.0</v>
      </c>
      <c r="AW62" s="154">
        <f t="shared" si="295"/>
        <v>2457</v>
      </c>
      <c r="AX62" s="154">
        <v>4150.0</v>
      </c>
      <c r="AY62" s="154">
        <v>4249.0</v>
      </c>
      <c r="AZ62" s="154">
        <v>4297.0</v>
      </c>
      <c r="BA62" s="154">
        <f t="shared" si="296"/>
        <v>12696</v>
      </c>
      <c r="BB62" s="154">
        <v>2444.0</v>
      </c>
      <c r="BC62" s="154">
        <v>2965.0</v>
      </c>
      <c r="BD62" s="154">
        <v>3649.0</v>
      </c>
      <c r="BE62" s="154">
        <f t="shared" si="297"/>
        <v>9058</v>
      </c>
      <c r="BF62" s="154">
        <f t="shared" si="298"/>
        <v>31195</v>
      </c>
      <c r="BG62" s="154">
        <v>332.0</v>
      </c>
      <c r="BH62" s="154">
        <v>602.0</v>
      </c>
      <c r="BI62" s="154">
        <v>566.0</v>
      </c>
      <c r="BJ62" s="154">
        <f t="shared" si="299"/>
        <v>1500</v>
      </c>
      <c r="BK62" s="154">
        <v>806.0</v>
      </c>
      <c r="BL62" s="154">
        <v>814.0</v>
      </c>
      <c r="BM62" s="154">
        <v>725.0</v>
      </c>
      <c r="BN62" s="154">
        <f t="shared" si="300"/>
        <v>2345</v>
      </c>
      <c r="BO62" s="154">
        <v>715.0</v>
      </c>
      <c r="BP62" s="154">
        <v>620.0</v>
      </c>
      <c r="BQ62" s="154">
        <v>878.0</v>
      </c>
      <c r="BR62" s="154">
        <f t="shared" si="301"/>
        <v>2213</v>
      </c>
      <c r="BS62" s="154">
        <v>1212.0</v>
      </c>
      <c r="BT62" s="154">
        <v>1358.0</v>
      </c>
      <c r="BU62" s="154">
        <v>145.0</v>
      </c>
      <c r="BV62" s="154">
        <f t="shared" si="302"/>
        <v>2715</v>
      </c>
      <c r="BW62" s="154">
        <f t="shared" si="303"/>
        <v>8773</v>
      </c>
      <c r="BX62" s="154">
        <v>480.0</v>
      </c>
      <c r="BY62" s="154">
        <f>711+63</f>
        <v>774</v>
      </c>
      <c r="BZ62" s="154">
        <f t="shared" si="304"/>
        <v>294</v>
      </c>
      <c r="CA62" s="154">
        <v>91.0</v>
      </c>
      <c r="CB62" s="154">
        <f>353+8</f>
        <v>361</v>
      </c>
      <c r="CC62" s="154">
        <f t="shared" si="305"/>
        <v>270</v>
      </c>
      <c r="CD62" s="154">
        <v>147.0</v>
      </c>
      <c r="CE62" s="154">
        <f>631+6</f>
        <v>637</v>
      </c>
      <c r="CF62" s="154">
        <f t="shared" si="306"/>
        <v>490</v>
      </c>
      <c r="CG62" s="154">
        <f t="shared" si="319"/>
        <v>2417</v>
      </c>
      <c r="CH62" s="154">
        <v>434.0</v>
      </c>
      <c r="CI62" s="154">
        <f>418+16</f>
        <v>434</v>
      </c>
      <c r="CJ62" s="154">
        <f t="shared" si="308"/>
        <v>0</v>
      </c>
      <c r="CK62" s="154">
        <f t="shared" ref="CK62:CL62" si="320">484+16</f>
        <v>500</v>
      </c>
      <c r="CL62" s="154">
        <f t="shared" si="320"/>
        <v>500</v>
      </c>
      <c r="CM62" s="154">
        <f t="shared" si="309"/>
        <v>0</v>
      </c>
      <c r="CN62" s="154">
        <f>422+102</f>
        <v>524</v>
      </c>
      <c r="CO62" s="154">
        <f>105+427</f>
        <v>532</v>
      </c>
      <c r="CP62" s="154">
        <f t="shared" si="310"/>
        <v>8</v>
      </c>
      <c r="CQ62" s="154">
        <f t="shared" si="321"/>
        <v>2392</v>
      </c>
      <c r="CR62" s="154">
        <f>455+10</f>
        <v>465</v>
      </c>
      <c r="CS62" s="154">
        <f t="shared" si="312"/>
        <v>1062</v>
      </c>
      <c r="CT62" s="154">
        <f t="shared" si="313"/>
        <v>1527</v>
      </c>
      <c r="CU62" s="154"/>
      <c r="CV62" s="154"/>
      <c r="CW62" s="154">
        <f t="shared" si="314"/>
        <v>3054</v>
      </c>
      <c r="CX62" s="154"/>
      <c r="CY62" s="154"/>
      <c r="CZ62" s="154"/>
      <c r="DA62" s="154">
        <f t="shared" si="315"/>
        <v>0</v>
      </c>
      <c r="DB62" s="154">
        <f t="shared" si="316"/>
        <v>7863</v>
      </c>
      <c r="DC62" s="171">
        <f t="shared" si="317"/>
        <v>220518</v>
      </c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</row>
    <row r="63" ht="15.75" customHeight="1">
      <c r="A63" s="137" t="s">
        <v>133</v>
      </c>
      <c r="B63" s="141">
        <f t="shared" ref="B63:DC63" si="322">SUM(B64:B67)</f>
        <v>135</v>
      </c>
      <c r="C63" s="141">
        <f t="shared" si="322"/>
        <v>670</v>
      </c>
      <c r="D63" s="141">
        <f t="shared" si="322"/>
        <v>21102</v>
      </c>
      <c r="E63" s="141">
        <f t="shared" si="322"/>
        <v>39789</v>
      </c>
      <c r="F63" s="141">
        <f t="shared" si="322"/>
        <v>35529</v>
      </c>
      <c r="G63" s="141">
        <f t="shared" si="322"/>
        <v>97225</v>
      </c>
      <c r="H63" s="141">
        <f t="shared" si="322"/>
        <v>8106</v>
      </c>
      <c r="I63" s="141">
        <f t="shared" si="322"/>
        <v>25626</v>
      </c>
      <c r="J63" s="141">
        <f t="shared" si="322"/>
        <v>34634</v>
      </c>
      <c r="K63" s="141">
        <f t="shared" si="322"/>
        <v>68366</v>
      </c>
      <c r="L63" s="141">
        <f t="shared" si="322"/>
        <v>36171</v>
      </c>
      <c r="M63" s="141">
        <f t="shared" si="322"/>
        <v>10818</v>
      </c>
      <c r="N63" s="141">
        <f t="shared" si="322"/>
        <v>11700</v>
      </c>
      <c r="O63" s="141">
        <f t="shared" si="322"/>
        <v>58689</v>
      </c>
      <c r="P63" s="141">
        <f t="shared" si="322"/>
        <v>17563</v>
      </c>
      <c r="Q63" s="141">
        <f t="shared" si="322"/>
        <v>23022</v>
      </c>
      <c r="R63" s="141">
        <f t="shared" si="322"/>
        <v>51450</v>
      </c>
      <c r="S63" s="141">
        <f t="shared" si="322"/>
        <v>92035</v>
      </c>
      <c r="T63" s="141">
        <f t="shared" si="322"/>
        <v>41375</v>
      </c>
      <c r="U63" s="141">
        <f t="shared" si="322"/>
        <v>26243</v>
      </c>
      <c r="V63" s="141">
        <f t="shared" si="322"/>
        <v>17021</v>
      </c>
      <c r="W63" s="141">
        <f t="shared" si="322"/>
        <v>84639</v>
      </c>
      <c r="X63" s="141">
        <f t="shared" si="322"/>
        <v>303729</v>
      </c>
      <c r="Y63" s="141">
        <f t="shared" si="322"/>
        <v>3677</v>
      </c>
      <c r="Z63" s="141">
        <f t="shared" si="322"/>
        <v>8676</v>
      </c>
      <c r="AA63" s="141">
        <f t="shared" si="322"/>
        <v>13821</v>
      </c>
      <c r="AB63" s="141">
        <f t="shared" si="322"/>
        <v>26174</v>
      </c>
      <c r="AC63" s="141">
        <f t="shared" si="322"/>
        <v>32528</v>
      </c>
      <c r="AD63" s="141">
        <f t="shared" si="322"/>
        <v>8592</v>
      </c>
      <c r="AE63" s="141">
        <f t="shared" si="322"/>
        <v>16023</v>
      </c>
      <c r="AF63" s="141">
        <f t="shared" si="322"/>
        <v>57143</v>
      </c>
      <c r="AG63" s="141">
        <f t="shared" si="322"/>
        <v>10979</v>
      </c>
      <c r="AH63" s="141">
        <f t="shared" si="322"/>
        <v>4277</v>
      </c>
      <c r="AI63" s="141">
        <f t="shared" si="322"/>
        <v>11981</v>
      </c>
      <c r="AJ63" s="141">
        <f t="shared" si="322"/>
        <v>27237</v>
      </c>
      <c r="AK63" s="141">
        <f t="shared" si="322"/>
        <v>9618</v>
      </c>
      <c r="AL63" s="141">
        <f t="shared" si="322"/>
        <v>9384</v>
      </c>
      <c r="AM63" s="141">
        <f t="shared" si="322"/>
        <v>6449</v>
      </c>
      <c r="AN63" s="141">
        <f t="shared" si="322"/>
        <v>25451</v>
      </c>
      <c r="AO63" s="141">
        <f t="shared" si="322"/>
        <v>136005</v>
      </c>
      <c r="AP63" s="141">
        <f t="shared" si="322"/>
        <v>7481</v>
      </c>
      <c r="AQ63" s="141">
        <f t="shared" si="322"/>
        <v>5061</v>
      </c>
      <c r="AR63" s="141">
        <f t="shared" si="322"/>
        <v>9750</v>
      </c>
      <c r="AS63" s="141">
        <f t="shared" si="322"/>
        <v>22292</v>
      </c>
      <c r="AT63" s="141">
        <f t="shared" si="322"/>
        <v>3229</v>
      </c>
      <c r="AU63" s="141">
        <f t="shared" si="322"/>
        <v>3052</v>
      </c>
      <c r="AV63" s="141">
        <f t="shared" si="322"/>
        <v>3075</v>
      </c>
      <c r="AW63" s="141">
        <f t="shared" si="322"/>
        <v>9356</v>
      </c>
      <c r="AX63" s="141">
        <f t="shared" si="322"/>
        <v>4281</v>
      </c>
      <c r="AY63" s="141">
        <f t="shared" si="322"/>
        <v>5269</v>
      </c>
      <c r="AZ63" s="141">
        <f t="shared" si="322"/>
        <v>9140</v>
      </c>
      <c r="BA63" s="141">
        <f t="shared" si="322"/>
        <v>18690</v>
      </c>
      <c r="BB63" s="141">
        <f t="shared" si="322"/>
        <v>6748</v>
      </c>
      <c r="BC63" s="141">
        <f t="shared" si="322"/>
        <v>5634</v>
      </c>
      <c r="BD63" s="141">
        <f t="shared" si="322"/>
        <v>1471</v>
      </c>
      <c r="BE63" s="141">
        <f t="shared" si="322"/>
        <v>13853</v>
      </c>
      <c r="BF63" s="141">
        <f t="shared" si="322"/>
        <v>64191</v>
      </c>
      <c r="BG63" s="141">
        <f t="shared" si="322"/>
        <v>1558</v>
      </c>
      <c r="BH63" s="141">
        <f t="shared" si="322"/>
        <v>1112</v>
      </c>
      <c r="BI63" s="141">
        <f t="shared" si="322"/>
        <v>1317</v>
      </c>
      <c r="BJ63" s="141">
        <f t="shared" si="322"/>
        <v>3987</v>
      </c>
      <c r="BK63" s="141">
        <f t="shared" si="322"/>
        <v>3069</v>
      </c>
      <c r="BL63" s="141">
        <f t="shared" si="322"/>
        <v>1698</v>
      </c>
      <c r="BM63" s="141">
        <f t="shared" si="322"/>
        <v>1733</v>
      </c>
      <c r="BN63" s="141">
        <f t="shared" si="322"/>
        <v>6500</v>
      </c>
      <c r="BO63" s="141">
        <f t="shared" si="322"/>
        <v>2616</v>
      </c>
      <c r="BP63" s="141">
        <f t="shared" si="322"/>
        <v>1695</v>
      </c>
      <c r="BQ63" s="141">
        <f t="shared" si="322"/>
        <v>1222</v>
      </c>
      <c r="BR63" s="141">
        <f t="shared" si="322"/>
        <v>5533</v>
      </c>
      <c r="BS63" s="141">
        <f t="shared" si="322"/>
        <v>1680</v>
      </c>
      <c r="BT63" s="141">
        <f t="shared" si="322"/>
        <v>893</v>
      </c>
      <c r="BU63" s="141">
        <f t="shared" si="322"/>
        <v>747</v>
      </c>
      <c r="BV63" s="141">
        <f t="shared" si="322"/>
        <v>3320</v>
      </c>
      <c r="BW63" s="141">
        <f t="shared" si="322"/>
        <v>19340</v>
      </c>
      <c r="BX63" s="141">
        <f t="shared" si="322"/>
        <v>3</v>
      </c>
      <c r="BY63" s="141">
        <f t="shared" si="322"/>
        <v>712</v>
      </c>
      <c r="BZ63" s="141">
        <f t="shared" si="322"/>
        <v>709</v>
      </c>
      <c r="CA63" s="141">
        <f t="shared" si="322"/>
        <v>411</v>
      </c>
      <c r="CB63" s="141">
        <f t="shared" si="322"/>
        <v>2154</v>
      </c>
      <c r="CC63" s="141">
        <f t="shared" si="322"/>
        <v>1743</v>
      </c>
      <c r="CD63" s="141">
        <f t="shared" si="322"/>
        <v>732</v>
      </c>
      <c r="CE63" s="141">
        <f t="shared" si="322"/>
        <v>3075</v>
      </c>
      <c r="CF63" s="141">
        <f t="shared" si="322"/>
        <v>2343</v>
      </c>
      <c r="CG63" s="141">
        <f t="shared" si="322"/>
        <v>8558</v>
      </c>
      <c r="CH63" s="141">
        <f t="shared" si="322"/>
        <v>1841</v>
      </c>
      <c r="CI63" s="141">
        <f t="shared" si="322"/>
        <v>1841</v>
      </c>
      <c r="CJ63" s="141">
        <f t="shared" si="322"/>
        <v>0</v>
      </c>
      <c r="CK63" s="141">
        <f t="shared" si="322"/>
        <v>4352</v>
      </c>
      <c r="CL63" s="141">
        <f t="shared" si="322"/>
        <v>4352</v>
      </c>
      <c r="CM63" s="141">
        <f t="shared" si="322"/>
        <v>0</v>
      </c>
      <c r="CN63" s="141">
        <f t="shared" si="322"/>
        <v>1947</v>
      </c>
      <c r="CO63" s="141">
        <f t="shared" si="322"/>
        <v>1950</v>
      </c>
      <c r="CP63" s="141">
        <f t="shared" si="322"/>
        <v>3</v>
      </c>
      <c r="CQ63" s="141">
        <f t="shared" si="322"/>
        <v>16283</v>
      </c>
      <c r="CR63" s="141">
        <f t="shared" si="322"/>
        <v>2192</v>
      </c>
      <c r="CS63" s="141">
        <f t="shared" si="322"/>
        <v>4798</v>
      </c>
      <c r="CT63" s="141">
        <f t="shared" si="322"/>
        <v>6990</v>
      </c>
      <c r="CU63" s="141">
        <f t="shared" si="322"/>
        <v>0</v>
      </c>
      <c r="CV63" s="141">
        <f t="shared" si="322"/>
        <v>0</v>
      </c>
      <c r="CW63" s="141">
        <f t="shared" si="322"/>
        <v>13980</v>
      </c>
      <c r="CX63" s="141">
        <f t="shared" si="322"/>
        <v>0</v>
      </c>
      <c r="CY63" s="141">
        <f t="shared" si="322"/>
        <v>0</v>
      </c>
      <c r="CZ63" s="141">
        <f t="shared" si="322"/>
        <v>0</v>
      </c>
      <c r="DA63" s="141">
        <f t="shared" si="322"/>
        <v>0</v>
      </c>
      <c r="DB63" s="141">
        <f t="shared" si="322"/>
        <v>38821</v>
      </c>
      <c r="DC63" s="141">
        <f t="shared" si="322"/>
        <v>659311</v>
      </c>
      <c r="DD63" s="4"/>
      <c r="DE63" s="20">
        <f>SUM(AJ63,AN63,BF63,BW63,DB63)</f>
        <v>175040</v>
      </c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</row>
    <row r="64" ht="15.75" customHeight="1">
      <c r="A64" s="167" t="s">
        <v>134</v>
      </c>
      <c r="B64" s="154">
        <v>95.0</v>
      </c>
      <c r="C64" s="154">
        <v>289.0</v>
      </c>
      <c r="D64" s="154">
        <v>1246.0</v>
      </c>
      <c r="E64" s="154">
        <v>7695.0</v>
      </c>
      <c r="F64" s="154">
        <v>12985.0</v>
      </c>
      <c r="G64" s="154">
        <f t="shared" ref="G64:G67" si="323">SUM(B64:F64)</f>
        <v>22310</v>
      </c>
      <c r="H64" s="154">
        <v>3693.0</v>
      </c>
      <c r="I64" s="154">
        <v>10106.0</v>
      </c>
      <c r="J64" s="154">
        <v>22680.0</v>
      </c>
      <c r="K64" s="156">
        <f t="shared" ref="K64:K67" si="324">SUM(H64:J64)</f>
        <v>36479</v>
      </c>
      <c r="L64" s="154">
        <v>20379.0</v>
      </c>
      <c r="M64" s="154">
        <v>2708.0</v>
      </c>
      <c r="N64" s="154">
        <v>3343.0</v>
      </c>
      <c r="O64" s="156">
        <f t="shared" ref="O64:O67" si="325">SUM(L64:N64)</f>
        <v>26430</v>
      </c>
      <c r="P64" s="154">
        <v>2822.0</v>
      </c>
      <c r="Q64" s="154">
        <v>7999.0</v>
      </c>
      <c r="R64" s="154">
        <v>15678.0</v>
      </c>
      <c r="S64" s="156">
        <f t="shared" ref="S64:S67" si="326">SUM(P64:R64)</f>
        <v>26499</v>
      </c>
      <c r="T64" s="154">
        <v>10205.0</v>
      </c>
      <c r="U64" s="154">
        <v>5058.0</v>
      </c>
      <c r="V64" s="154">
        <v>3581.0</v>
      </c>
      <c r="W64" s="156">
        <f t="shared" ref="W64:W67" si="327">SUM(T64:V64)</f>
        <v>18844</v>
      </c>
      <c r="X64" s="156">
        <f t="shared" ref="X64:X67" si="328">SUM(W64,S64,O64,K64)</f>
        <v>108252</v>
      </c>
      <c r="Y64" s="154">
        <v>3488.0</v>
      </c>
      <c r="Z64" s="154">
        <v>6247.0</v>
      </c>
      <c r="AA64" s="154">
        <v>2551.0</v>
      </c>
      <c r="AB64" s="156">
        <f t="shared" ref="AB64:AB67" si="329">SUM(Y64:AA64)</f>
        <v>12286</v>
      </c>
      <c r="AC64" s="154">
        <v>5436.0</v>
      </c>
      <c r="AD64" s="154">
        <v>299.0</v>
      </c>
      <c r="AE64" s="154">
        <v>8403.0</v>
      </c>
      <c r="AF64" s="156">
        <f t="shared" ref="AF64:AF67" si="330">SUM(AC64:AE64)</f>
        <v>14138</v>
      </c>
      <c r="AG64" s="154">
        <v>2896.0</v>
      </c>
      <c r="AH64" s="154">
        <v>660.0</v>
      </c>
      <c r="AI64" s="154">
        <v>4519.0</v>
      </c>
      <c r="AJ64" s="156">
        <f t="shared" ref="AJ64:AJ67" si="331">SUM(AG64:AI64)</f>
        <v>8075</v>
      </c>
      <c r="AK64" s="154">
        <v>3215.0</v>
      </c>
      <c r="AL64" s="154">
        <v>2612.0</v>
      </c>
      <c r="AM64" s="154">
        <v>1595.0</v>
      </c>
      <c r="AN64" s="156">
        <f t="shared" ref="AN64:AN67" si="332">SUM(AK64:AM64)</f>
        <v>7422</v>
      </c>
      <c r="AO64" s="156">
        <f t="shared" ref="AO64:AO67" si="333">SUM(AN64,AJ64,AF64,AB64)</f>
        <v>41921</v>
      </c>
      <c r="AP64" s="154">
        <v>1741.0</v>
      </c>
      <c r="AQ64" s="154">
        <v>1209.0</v>
      </c>
      <c r="AR64" s="156">
        <v>1900.0</v>
      </c>
      <c r="AS64" s="154">
        <f t="shared" ref="AS64:AS67" si="334">SUM(AP64:AR64)</f>
        <v>4850</v>
      </c>
      <c r="AT64" s="154">
        <v>311.0</v>
      </c>
      <c r="AU64" s="154">
        <v>640.0</v>
      </c>
      <c r="AV64" s="154">
        <v>581.0</v>
      </c>
      <c r="AW64" s="154">
        <f t="shared" ref="AW64:AW67" si="335">SUM(AT64:AV64)</f>
        <v>1532</v>
      </c>
      <c r="AX64" s="154">
        <v>1017.0</v>
      </c>
      <c r="AY64" s="154">
        <v>616.0</v>
      </c>
      <c r="AZ64" s="154">
        <v>1261.0</v>
      </c>
      <c r="BA64" s="154">
        <f t="shared" ref="BA64:BA67" si="336">SUM(AX64:AZ64)</f>
        <v>2894</v>
      </c>
      <c r="BB64" s="154">
        <v>831.0</v>
      </c>
      <c r="BC64" s="154">
        <v>1360.0</v>
      </c>
      <c r="BD64" s="154">
        <v>310.0</v>
      </c>
      <c r="BE64" s="154">
        <f t="shared" ref="BE64:BE67" si="337">SUM(BB64:BD64)</f>
        <v>2501</v>
      </c>
      <c r="BF64" s="154">
        <f t="shared" ref="BF64:BF67" si="338">SUM(AS64,AW64,BA64,BE64)</f>
        <v>11777</v>
      </c>
      <c r="BG64" s="154">
        <v>43.0</v>
      </c>
      <c r="BH64" s="154">
        <v>129.0</v>
      </c>
      <c r="BI64" s="154">
        <v>497.0</v>
      </c>
      <c r="BJ64" s="154">
        <f t="shared" ref="BJ64:BJ67" si="339">SUM(BG64:BI64)</f>
        <v>669</v>
      </c>
      <c r="BK64" s="154">
        <v>189.0</v>
      </c>
      <c r="BL64" s="154">
        <v>264.0</v>
      </c>
      <c r="BM64" s="154">
        <v>437.0</v>
      </c>
      <c r="BN64" s="154">
        <f t="shared" ref="BN64:BN67" si="340">SUM(BK64:BM64)</f>
        <v>890</v>
      </c>
      <c r="BO64" s="154">
        <v>1129.0</v>
      </c>
      <c r="BP64" s="154">
        <v>811.0</v>
      </c>
      <c r="BQ64" s="154">
        <v>669.0</v>
      </c>
      <c r="BR64" s="154">
        <f t="shared" ref="BR64:BR67" si="341">SUM(BO64:BQ64)</f>
        <v>2609</v>
      </c>
      <c r="BS64" s="154">
        <v>824.0</v>
      </c>
      <c r="BT64" s="154">
        <v>454.0</v>
      </c>
      <c r="BU64" s="154">
        <v>298.0</v>
      </c>
      <c r="BV64" s="154">
        <f t="shared" ref="BV64:BV67" si="342">SUM(BS64:BU64)</f>
        <v>1576</v>
      </c>
      <c r="BW64" s="154">
        <f t="shared" ref="BW64:BW67" si="343">SUM(BJ64,BN64,BR64,BV64)</f>
        <v>5744</v>
      </c>
      <c r="BX64" s="154">
        <v>0.0</v>
      </c>
      <c r="BY64" s="154">
        <v>227.0</v>
      </c>
      <c r="BZ64" s="154">
        <f t="shared" ref="BZ64:BZ67" si="344">BY64-BX64</f>
        <v>227</v>
      </c>
      <c r="CA64" s="154">
        <v>185.0</v>
      </c>
      <c r="CB64" s="154">
        <v>848.0</v>
      </c>
      <c r="CC64" s="154">
        <f t="shared" ref="CC64:CC67" si="345">CB64-CA64</f>
        <v>663</v>
      </c>
      <c r="CD64" s="154">
        <v>191.0</v>
      </c>
      <c r="CE64" s="154">
        <v>969.0</v>
      </c>
      <c r="CF64" s="154">
        <f t="shared" ref="CF64:CF67" si="346">CE64-CD64</f>
        <v>778</v>
      </c>
      <c r="CG64" s="154">
        <f>SUM(BX64:CE64)</f>
        <v>3310</v>
      </c>
      <c r="CH64" s="154">
        <v>603.0</v>
      </c>
      <c r="CI64" s="154">
        <v>603.0</v>
      </c>
      <c r="CJ64" s="154">
        <f t="shared" ref="CJ64:CJ67" si="347">CI64-CH64</f>
        <v>0</v>
      </c>
      <c r="CK64" s="154">
        <v>508.0</v>
      </c>
      <c r="CL64" s="154">
        <v>508.0</v>
      </c>
      <c r="CM64" s="154">
        <f t="shared" ref="CM64:CM67" si="348">CL64-CK64</f>
        <v>0</v>
      </c>
      <c r="CN64" s="154">
        <v>625.0</v>
      </c>
      <c r="CO64" s="154">
        <v>626.0</v>
      </c>
      <c r="CP64" s="154">
        <f t="shared" ref="CP64:CP67" si="349">CO64-CN64</f>
        <v>1</v>
      </c>
      <c r="CQ64" s="154">
        <f t="shared" ref="CQ64:CQ67" si="350">SUM(CH64:CO64)</f>
        <v>3473</v>
      </c>
      <c r="CR64" s="154">
        <v>652.0</v>
      </c>
      <c r="CS64" s="154">
        <f t="shared" ref="CS64:CS67" si="351">SUM(BZ64,CC64,CF64,CJ64,CM64,CP64)</f>
        <v>1669</v>
      </c>
      <c r="CT64" s="154">
        <f t="shared" ref="CT64:CT67" si="352">CR64+CS64</f>
        <v>2321</v>
      </c>
      <c r="CU64" s="154"/>
      <c r="CV64" s="154"/>
      <c r="CW64" s="154">
        <f t="shared" ref="CW64:CW67" si="353">SUM(CR64:CV64)</f>
        <v>4642</v>
      </c>
      <c r="CX64" s="154"/>
      <c r="CY64" s="154"/>
      <c r="CZ64" s="154"/>
      <c r="DA64" s="154">
        <f t="shared" ref="DA64:DA67" si="354">SUM(CX64:CZ64)</f>
        <v>0</v>
      </c>
      <c r="DB64" s="154">
        <f t="shared" ref="DB64:DB67" si="355">SUM(CG64,CQ64,CW64,DA64)</f>
        <v>11425</v>
      </c>
      <c r="DC64" s="171">
        <f t="shared" ref="DC64:DC67" si="356">SUM(A64,G64,X64,AO64,BF64,BW64,DB64)</f>
        <v>201429</v>
      </c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</row>
    <row r="65" ht="15.75" customHeight="1">
      <c r="A65" s="169" t="s">
        <v>135</v>
      </c>
      <c r="B65" s="154">
        <v>40.0</v>
      </c>
      <c r="C65" s="154">
        <v>335.0</v>
      </c>
      <c r="D65" s="154">
        <v>15622.0</v>
      </c>
      <c r="E65" s="154">
        <v>9225.0</v>
      </c>
      <c r="F65" s="154">
        <v>8956.0</v>
      </c>
      <c r="G65" s="154">
        <f t="shared" si="323"/>
        <v>34178</v>
      </c>
      <c r="H65" s="154">
        <v>1894.0</v>
      </c>
      <c r="I65" s="154">
        <v>12005.0</v>
      </c>
      <c r="J65" s="154">
        <v>9710.0</v>
      </c>
      <c r="K65" s="156">
        <f t="shared" si="324"/>
        <v>23609</v>
      </c>
      <c r="L65" s="154">
        <v>11005.0</v>
      </c>
      <c r="M65" s="154">
        <v>6510.0</v>
      </c>
      <c r="N65" s="154">
        <v>7727.0</v>
      </c>
      <c r="O65" s="156">
        <f t="shared" si="325"/>
        <v>25242</v>
      </c>
      <c r="P65" s="154">
        <v>8938.0</v>
      </c>
      <c r="Q65" s="154">
        <v>8162.0</v>
      </c>
      <c r="R65" s="154">
        <v>18826.0</v>
      </c>
      <c r="S65" s="156">
        <f t="shared" si="326"/>
        <v>35926</v>
      </c>
      <c r="T65" s="154">
        <v>21491.0</v>
      </c>
      <c r="U65" s="154">
        <v>12730.0</v>
      </c>
      <c r="V65" s="154">
        <v>9932.0</v>
      </c>
      <c r="W65" s="156">
        <f t="shared" si="327"/>
        <v>44153</v>
      </c>
      <c r="X65" s="156">
        <f t="shared" si="328"/>
        <v>128930</v>
      </c>
      <c r="Y65" s="154">
        <v>153.0</v>
      </c>
      <c r="Z65" s="154">
        <v>1682.0</v>
      </c>
      <c r="AA65" s="154">
        <v>9430.0</v>
      </c>
      <c r="AB65" s="156">
        <f t="shared" si="329"/>
        <v>11265</v>
      </c>
      <c r="AC65" s="154">
        <v>16678.0</v>
      </c>
      <c r="AD65" s="154">
        <v>6239.0</v>
      </c>
      <c r="AE65" s="154">
        <v>5161.0</v>
      </c>
      <c r="AF65" s="156">
        <f t="shared" si="330"/>
        <v>28078</v>
      </c>
      <c r="AG65" s="154">
        <v>3420.0</v>
      </c>
      <c r="AH65" s="154">
        <v>1673.0</v>
      </c>
      <c r="AI65" s="154">
        <v>4156.0</v>
      </c>
      <c r="AJ65" s="156">
        <f t="shared" si="331"/>
        <v>9249</v>
      </c>
      <c r="AK65" s="154">
        <v>4358.0</v>
      </c>
      <c r="AL65" s="154">
        <v>2474.0</v>
      </c>
      <c r="AM65" s="154">
        <v>3166.0</v>
      </c>
      <c r="AN65" s="156">
        <f t="shared" si="332"/>
        <v>9998</v>
      </c>
      <c r="AO65" s="156">
        <f t="shared" si="333"/>
        <v>58590</v>
      </c>
      <c r="AP65" s="154">
        <v>2803.0</v>
      </c>
      <c r="AQ65" s="154">
        <v>2835.0</v>
      </c>
      <c r="AR65" s="156">
        <v>4101.0</v>
      </c>
      <c r="AS65" s="154">
        <f t="shared" si="334"/>
        <v>9739</v>
      </c>
      <c r="AT65" s="154">
        <v>2492.0</v>
      </c>
      <c r="AU65" s="154">
        <v>1972.0</v>
      </c>
      <c r="AV65" s="154">
        <v>1415.0</v>
      </c>
      <c r="AW65" s="154">
        <f t="shared" si="335"/>
        <v>5879</v>
      </c>
      <c r="AX65" s="154">
        <v>2561.0</v>
      </c>
      <c r="AY65" s="154">
        <v>2971.0</v>
      </c>
      <c r="AZ65" s="154">
        <v>2659.0</v>
      </c>
      <c r="BA65" s="154">
        <f t="shared" si="336"/>
        <v>8191</v>
      </c>
      <c r="BB65" s="154">
        <v>1664.0</v>
      </c>
      <c r="BC65" s="154">
        <v>3498.0</v>
      </c>
      <c r="BD65" s="154">
        <v>987.0</v>
      </c>
      <c r="BE65" s="154">
        <f t="shared" si="337"/>
        <v>6149</v>
      </c>
      <c r="BF65" s="154">
        <f t="shared" si="338"/>
        <v>29958</v>
      </c>
      <c r="BG65" s="154">
        <v>848.0</v>
      </c>
      <c r="BH65" s="154">
        <v>573.0</v>
      </c>
      <c r="BI65" s="154">
        <v>763.0</v>
      </c>
      <c r="BJ65" s="154">
        <f t="shared" si="339"/>
        <v>2184</v>
      </c>
      <c r="BK65" s="154">
        <v>1697.0</v>
      </c>
      <c r="BL65" s="154">
        <v>1148.0</v>
      </c>
      <c r="BM65" s="154">
        <v>825.0</v>
      </c>
      <c r="BN65" s="154">
        <f t="shared" si="340"/>
        <v>3670</v>
      </c>
      <c r="BO65" s="154">
        <v>766.0</v>
      </c>
      <c r="BP65" s="154">
        <v>286.0</v>
      </c>
      <c r="BQ65" s="154">
        <v>360.0</v>
      </c>
      <c r="BR65" s="154">
        <f t="shared" si="341"/>
        <v>1412</v>
      </c>
      <c r="BS65" s="154">
        <v>705.0</v>
      </c>
      <c r="BT65" s="154">
        <v>281.0</v>
      </c>
      <c r="BU65" s="154">
        <v>267.0</v>
      </c>
      <c r="BV65" s="154">
        <f t="shared" si="342"/>
        <v>1253</v>
      </c>
      <c r="BW65" s="154">
        <f t="shared" si="343"/>
        <v>8519</v>
      </c>
      <c r="BX65" s="154">
        <v>3.0</v>
      </c>
      <c r="BY65" s="154">
        <f>290</f>
        <v>290</v>
      </c>
      <c r="BZ65" s="154">
        <f t="shared" si="344"/>
        <v>287</v>
      </c>
      <c r="CA65" s="154">
        <v>0.0</v>
      </c>
      <c r="CB65" s="154">
        <f>636+1</f>
        <v>637</v>
      </c>
      <c r="CC65" s="154">
        <f t="shared" si="345"/>
        <v>637</v>
      </c>
      <c r="CD65" s="154">
        <v>404.0</v>
      </c>
      <c r="CE65" s="154">
        <f>981</f>
        <v>981</v>
      </c>
      <c r="CF65" s="154">
        <f t="shared" si="346"/>
        <v>577</v>
      </c>
      <c r="CG65" s="154">
        <f>SUM(BX65:CD65)</f>
        <v>2258</v>
      </c>
      <c r="CH65" s="154">
        <v>596.0</v>
      </c>
      <c r="CI65" s="154">
        <f>595+1</f>
        <v>596</v>
      </c>
      <c r="CJ65" s="154">
        <f t="shared" si="347"/>
        <v>0</v>
      </c>
      <c r="CK65" s="154">
        <f>793+7</f>
        <v>800</v>
      </c>
      <c r="CL65" s="154">
        <f>793+3+4</f>
        <v>800</v>
      </c>
      <c r="CM65" s="154">
        <f t="shared" si="348"/>
        <v>0</v>
      </c>
      <c r="CN65" s="154">
        <v>743.0</v>
      </c>
      <c r="CO65" s="154">
        <v>745.0</v>
      </c>
      <c r="CP65" s="154">
        <f t="shared" si="349"/>
        <v>2</v>
      </c>
      <c r="CQ65" s="154">
        <f t="shared" si="350"/>
        <v>4280</v>
      </c>
      <c r="CR65" s="154">
        <f>583+17</f>
        <v>600</v>
      </c>
      <c r="CS65" s="154">
        <f t="shared" si="351"/>
        <v>1503</v>
      </c>
      <c r="CT65" s="154">
        <f t="shared" si="352"/>
        <v>2103</v>
      </c>
      <c r="CU65" s="154"/>
      <c r="CV65" s="154"/>
      <c r="CW65" s="154">
        <f t="shared" si="353"/>
        <v>4206</v>
      </c>
      <c r="CX65" s="154"/>
      <c r="CY65" s="154"/>
      <c r="CZ65" s="154"/>
      <c r="DA65" s="154">
        <f t="shared" si="354"/>
        <v>0</v>
      </c>
      <c r="DB65" s="154">
        <f t="shared" si="355"/>
        <v>10744</v>
      </c>
      <c r="DC65" s="171">
        <f t="shared" si="356"/>
        <v>270919</v>
      </c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</row>
    <row r="66" ht="15.75" customHeight="1">
      <c r="A66" s="167" t="s">
        <v>136</v>
      </c>
      <c r="B66" s="154">
        <v>0.0</v>
      </c>
      <c r="C66" s="154">
        <v>46.0</v>
      </c>
      <c r="D66" s="154">
        <v>4089.0</v>
      </c>
      <c r="E66" s="154">
        <v>22862.0</v>
      </c>
      <c r="F66" s="154">
        <v>13571.0</v>
      </c>
      <c r="G66" s="154">
        <f t="shared" si="323"/>
        <v>40568</v>
      </c>
      <c r="H66" s="154">
        <v>1318.0</v>
      </c>
      <c r="I66" s="154">
        <v>2510.0</v>
      </c>
      <c r="J66" s="154">
        <v>1755.0</v>
      </c>
      <c r="K66" s="156">
        <f t="shared" si="324"/>
        <v>5583</v>
      </c>
      <c r="L66" s="154">
        <v>4535.0</v>
      </c>
      <c r="M66" s="154">
        <v>1240.0</v>
      </c>
      <c r="N66" s="154">
        <v>113.0</v>
      </c>
      <c r="O66" s="156">
        <f t="shared" si="325"/>
        <v>5888</v>
      </c>
      <c r="P66" s="154">
        <v>5516.0</v>
      </c>
      <c r="Q66" s="154">
        <v>6729.0</v>
      </c>
      <c r="R66" s="154">
        <v>15002.0</v>
      </c>
      <c r="S66" s="156">
        <f t="shared" si="326"/>
        <v>27247</v>
      </c>
      <c r="T66" s="154">
        <v>9193.0</v>
      </c>
      <c r="U66" s="154">
        <v>7485.0</v>
      </c>
      <c r="V66" s="154">
        <v>2824.0</v>
      </c>
      <c r="W66" s="156">
        <f t="shared" si="327"/>
        <v>19502</v>
      </c>
      <c r="X66" s="156">
        <f t="shared" si="328"/>
        <v>58220</v>
      </c>
      <c r="Y66" s="154">
        <v>35.0</v>
      </c>
      <c r="Z66" s="154">
        <v>314.0</v>
      </c>
      <c r="AA66" s="154">
        <v>1206.0</v>
      </c>
      <c r="AB66" s="156">
        <f t="shared" si="329"/>
        <v>1555</v>
      </c>
      <c r="AC66" s="154">
        <v>9085.0</v>
      </c>
      <c r="AD66" s="154">
        <v>1923.0</v>
      </c>
      <c r="AE66" s="154">
        <v>2116.0</v>
      </c>
      <c r="AF66" s="156">
        <f t="shared" si="330"/>
        <v>13124</v>
      </c>
      <c r="AG66" s="154">
        <v>4268.0</v>
      </c>
      <c r="AH66" s="154">
        <v>1888.0</v>
      </c>
      <c r="AI66" s="154">
        <v>3298.0</v>
      </c>
      <c r="AJ66" s="156">
        <f t="shared" si="331"/>
        <v>9454</v>
      </c>
      <c r="AK66" s="154">
        <v>1826.0</v>
      </c>
      <c r="AL66" s="154">
        <v>4228.0</v>
      </c>
      <c r="AM66" s="154">
        <v>1648.0</v>
      </c>
      <c r="AN66" s="156">
        <f t="shared" si="332"/>
        <v>7702</v>
      </c>
      <c r="AO66" s="156">
        <f t="shared" si="333"/>
        <v>31835</v>
      </c>
      <c r="AP66" s="154">
        <v>2892.0</v>
      </c>
      <c r="AQ66" s="154">
        <v>1009.0</v>
      </c>
      <c r="AR66" s="156">
        <v>3682.0</v>
      </c>
      <c r="AS66" s="154">
        <f t="shared" si="334"/>
        <v>7583</v>
      </c>
      <c r="AT66" s="154">
        <v>414.0</v>
      </c>
      <c r="AU66" s="154">
        <v>440.0</v>
      </c>
      <c r="AV66" s="154">
        <v>1079.0</v>
      </c>
      <c r="AW66" s="154">
        <f t="shared" si="335"/>
        <v>1933</v>
      </c>
      <c r="AX66" s="154">
        <v>634.0</v>
      </c>
      <c r="AY66" s="154">
        <v>1610.0</v>
      </c>
      <c r="AZ66" s="154">
        <v>5114.0</v>
      </c>
      <c r="BA66" s="154">
        <f t="shared" si="336"/>
        <v>7358</v>
      </c>
      <c r="BB66" s="154">
        <v>3908.0</v>
      </c>
      <c r="BC66" s="154">
        <v>580.0</v>
      </c>
      <c r="BD66" s="154">
        <v>169.0</v>
      </c>
      <c r="BE66" s="154">
        <f t="shared" si="337"/>
        <v>4657</v>
      </c>
      <c r="BF66" s="154">
        <f t="shared" si="338"/>
        <v>21531</v>
      </c>
      <c r="BG66" s="154">
        <v>667.0</v>
      </c>
      <c r="BH66" s="154">
        <v>368.0</v>
      </c>
      <c r="BI66" s="154">
        <v>0.0</v>
      </c>
      <c r="BJ66" s="154">
        <f t="shared" si="339"/>
        <v>1035</v>
      </c>
      <c r="BK66" s="154">
        <v>1109.0</v>
      </c>
      <c r="BL66" s="154">
        <v>234.0</v>
      </c>
      <c r="BM66" s="154">
        <v>436.0</v>
      </c>
      <c r="BN66" s="154">
        <f t="shared" si="340"/>
        <v>1779</v>
      </c>
      <c r="BO66" s="154">
        <v>673.0</v>
      </c>
      <c r="BP66" s="154">
        <v>441.0</v>
      </c>
      <c r="BQ66" s="154">
        <v>183.0</v>
      </c>
      <c r="BR66" s="154">
        <f t="shared" si="341"/>
        <v>1297</v>
      </c>
      <c r="BS66" s="154">
        <v>111.0</v>
      </c>
      <c r="BT66" s="154">
        <v>144.0</v>
      </c>
      <c r="BU66" s="154">
        <v>167.0</v>
      </c>
      <c r="BV66" s="154">
        <f t="shared" si="342"/>
        <v>422</v>
      </c>
      <c r="BW66" s="154">
        <f t="shared" si="343"/>
        <v>4533</v>
      </c>
      <c r="BX66" s="154">
        <v>0.0</v>
      </c>
      <c r="BY66" s="154">
        <v>150.0</v>
      </c>
      <c r="BZ66" s="154">
        <f t="shared" si="344"/>
        <v>150</v>
      </c>
      <c r="CA66" s="154">
        <v>226.0</v>
      </c>
      <c r="CB66" s="154">
        <v>585.0</v>
      </c>
      <c r="CC66" s="154">
        <f t="shared" si="345"/>
        <v>359</v>
      </c>
      <c r="CD66" s="154">
        <v>110.0</v>
      </c>
      <c r="CE66" s="154">
        <v>1063.0</v>
      </c>
      <c r="CF66" s="154">
        <f t="shared" si="346"/>
        <v>953</v>
      </c>
      <c r="CG66" s="154">
        <f t="shared" ref="CG66:CG67" si="357">SUM(BX66:CE66)</f>
        <v>2643</v>
      </c>
      <c r="CH66" s="154">
        <v>606.0</v>
      </c>
      <c r="CI66" s="154">
        <v>606.0</v>
      </c>
      <c r="CJ66" s="154">
        <f t="shared" si="347"/>
        <v>0</v>
      </c>
      <c r="CK66" s="154">
        <v>2971.0</v>
      </c>
      <c r="CL66" s="154">
        <v>2971.0</v>
      </c>
      <c r="CM66" s="154">
        <f t="shared" si="348"/>
        <v>0</v>
      </c>
      <c r="CN66" s="154">
        <v>572.0</v>
      </c>
      <c r="CO66" s="154">
        <v>572.0</v>
      </c>
      <c r="CP66" s="154">
        <f t="shared" si="349"/>
        <v>0</v>
      </c>
      <c r="CQ66" s="154">
        <f t="shared" si="350"/>
        <v>8298</v>
      </c>
      <c r="CR66" s="154">
        <v>904.0</v>
      </c>
      <c r="CS66" s="154">
        <f t="shared" si="351"/>
        <v>1462</v>
      </c>
      <c r="CT66" s="154">
        <f t="shared" si="352"/>
        <v>2366</v>
      </c>
      <c r="CU66" s="154"/>
      <c r="CV66" s="154"/>
      <c r="CW66" s="154">
        <f t="shared" si="353"/>
        <v>4732</v>
      </c>
      <c r="CX66" s="154"/>
      <c r="CY66" s="154"/>
      <c r="CZ66" s="154"/>
      <c r="DA66" s="154">
        <f t="shared" si="354"/>
        <v>0</v>
      </c>
      <c r="DB66" s="154">
        <f t="shared" si="355"/>
        <v>15673</v>
      </c>
      <c r="DC66" s="171">
        <f t="shared" si="356"/>
        <v>172360</v>
      </c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</row>
    <row r="67" ht="15.75" customHeight="1">
      <c r="A67" s="167" t="s">
        <v>137</v>
      </c>
      <c r="B67" s="154">
        <v>0.0</v>
      </c>
      <c r="C67" s="154">
        <v>0.0</v>
      </c>
      <c r="D67" s="154">
        <v>145.0</v>
      </c>
      <c r="E67" s="154">
        <v>7.0</v>
      </c>
      <c r="F67" s="154">
        <v>17.0</v>
      </c>
      <c r="G67" s="154">
        <f t="shared" si="323"/>
        <v>169</v>
      </c>
      <c r="H67" s="154">
        <v>1201.0</v>
      </c>
      <c r="I67" s="154">
        <v>1005.0</v>
      </c>
      <c r="J67" s="154">
        <v>489.0</v>
      </c>
      <c r="K67" s="156">
        <f t="shared" si="324"/>
        <v>2695</v>
      </c>
      <c r="L67" s="154">
        <v>252.0</v>
      </c>
      <c r="M67" s="154">
        <v>360.0</v>
      </c>
      <c r="N67" s="154">
        <v>517.0</v>
      </c>
      <c r="O67" s="156">
        <f t="shared" si="325"/>
        <v>1129</v>
      </c>
      <c r="P67" s="154">
        <v>287.0</v>
      </c>
      <c r="Q67" s="154">
        <v>132.0</v>
      </c>
      <c r="R67" s="154">
        <v>1944.0</v>
      </c>
      <c r="S67" s="156">
        <f t="shared" si="326"/>
        <v>2363</v>
      </c>
      <c r="T67" s="154">
        <v>486.0</v>
      </c>
      <c r="U67" s="154">
        <v>970.0</v>
      </c>
      <c r="V67" s="154">
        <v>684.0</v>
      </c>
      <c r="W67" s="156">
        <f t="shared" si="327"/>
        <v>2140</v>
      </c>
      <c r="X67" s="156">
        <f t="shared" si="328"/>
        <v>8327</v>
      </c>
      <c r="Y67" s="154">
        <v>1.0</v>
      </c>
      <c r="Z67" s="154">
        <v>433.0</v>
      </c>
      <c r="AA67" s="154">
        <v>634.0</v>
      </c>
      <c r="AB67" s="156">
        <f t="shared" si="329"/>
        <v>1068</v>
      </c>
      <c r="AC67" s="154">
        <v>1329.0</v>
      </c>
      <c r="AD67" s="154">
        <v>131.0</v>
      </c>
      <c r="AE67" s="154">
        <v>343.0</v>
      </c>
      <c r="AF67" s="156">
        <f t="shared" si="330"/>
        <v>1803</v>
      </c>
      <c r="AG67" s="154">
        <v>395.0</v>
      </c>
      <c r="AH67" s="154">
        <v>56.0</v>
      </c>
      <c r="AI67" s="154">
        <v>8.0</v>
      </c>
      <c r="AJ67" s="156">
        <f t="shared" si="331"/>
        <v>459</v>
      </c>
      <c r="AK67" s="154">
        <v>219.0</v>
      </c>
      <c r="AL67" s="154">
        <v>70.0</v>
      </c>
      <c r="AM67" s="154">
        <v>40.0</v>
      </c>
      <c r="AN67" s="156">
        <f t="shared" si="332"/>
        <v>329</v>
      </c>
      <c r="AO67" s="156">
        <f t="shared" si="333"/>
        <v>3659</v>
      </c>
      <c r="AP67" s="154">
        <v>45.0</v>
      </c>
      <c r="AQ67" s="154">
        <v>8.0</v>
      </c>
      <c r="AR67" s="156">
        <v>67.0</v>
      </c>
      <c r="AS67" s="154">
        <f t="shared" si="334"/>
        <v>120</v>
      </c>
      <c r="AT67" s="154">
        <v>12.0</v>
      </c>
      <c r="AU67" s="154">
        <v>0.0</v>
      </c>
      <c r="AV67" s="154">
        <v>0.0</v>
      </c>
      <c r="AW67" s="154">
        <f t="shared" si="335"/>
        <v>12</v>
      </c>
      <c r="AX67" s="154">
        <v>69.0</v>
      </c>
      <c r="AY67" s="154">
        <v>72.0</v>
      </c>
      <c r="AZ67" s="154">
        <v>106.0</v>
      </c>
      <c r="BA67" s="154">
        <f t="shared" si="336"/>
        <v>247</v>
      </c>
      <c r="BB67" s="154">
        <v>345.0</v>
      </c>
      <c r="BC67" s="154">
        <v>196.0</v>
      </c>
      <c r="BD67" s="154">
        <v>5.0</v>
      </c>
      <c r="BE67" s="154">
        <f t="shared" si="337"/>
        <v>546</v>
      </c>
      <c r="BF67" s="154">
        <f t="shared" si="338"/>
        <v>925</v>
      </c>
      <c r="BG67" s="154">
        <v>0.0</v>
      </c>
      <c r="BH67" s="154">
        <v>42.0</v>
      </c>
      <c r="BI67" s="154">
        <v>57.0</v>
      </c>
      <c r="BJ67" s="154">
        <f t="shared" si="339"/>
        <v>99</v>
      </c>
      <c r="BK67" s="154">
        <v>74.0</v>
      </c>
      <c r="BL67" s="154">
        <v>52.0</v>
      </c>
      <c r="BM67" s="154">
        <v>35.0</v>
      </c>
      <c r="BN67" s="154">
        <f t="shared" si="340"/>
        <v>161</v>
      </c>
      <c r="BO67" s="154">
        <v>48.0</v>
      </c>
      <c r="BP67" s="154">
        <v>157.0</v>
      </c>
      <c r="BQ67" s="154">
        <v>10.0</v>
      </c>
      <c r="BR67" s="154">
        <f t="shared" si="341"/>
        <v>215</v>
      </c>
      <c r="BS67" s="154">
        <v>40.0</v>
      </c>
      <c r="BT67" s="154">
        <v>14.0</v>
      </c>
      <c r="BU67" s="154">
        <v>15.0</v>
      </c>
      <c r="BV67" s="154">
        <f t="shared" si="342"/>
        <v>69</v>
      </c>
      <c r="BW67" s="154">
        <f t="shared" si="343"/>
        <v>544</v>
      </c>
      <c r="BX67" s="154">
        <v>0.0</v>
      </c>
      <c r="BY67" s="154">
        <v>45.0</v>
      </c>
      <c r="BZ67" s="154">
        <f t="shared" si="344"/>
        <v>45</v>
      </c>
      <c r="CA67" s="154">
        <v>0.0</v>
      </c>
      <c r="CB67" s="154">
        <v>84.0</v>
      </c>
      <c r="CC67" s="154">
        <f t="shared" si="345"/>
        <v>84</v>
      </c>
      <c r="CD67" s="154">
        <v>27.0</v>
      </c>
      <c r="CE67" s="154">
        <v>62.0</v>
      </c>
      <c r="CF67" s="154">
        <f t="shared" si="346"/>
        <v>35</v>
      </c>
      <c r="CG67" s="154">
        <f t="shared" si="357"/>
        <v>347</v>
      </c>
      <c r="CH67" s="154">
        <v>36.0</v>
      </c>
      <c r="CI67" s="154">
        <v>36.0</v>
      </c>
      <c r="CJ67" s="154">
        <f t="shared" si="347"/>
        <v>0</v>
      </c>
      <c r="CK67" s="154">
        <v>73.0</v>
      </c>
      <c r="CL67" s="154">
        <v>73.0</v>
      </c>
      <c r="CM67" s="154">
        <f t="shared" si="348"/>
        <v>0</v>
      </c>
      <c r="CN67" s="154">
        <v>7.0</v>
      </c>
      <c r="CO67" s="154">
        <v>7.0</v>
      </c>
      <c r="CP67" s="154">
        <f t="shared" si="349"/>
        <v>0</v>
      </c>
      <c r="CQ67" s="154">
        <f t="shared" si="350"/>
        <v>232</v>
      </c>
      <c r="CR67" s="154">
        <v>36.0</v>
      </c>
      <c r="CS67" s="154">
        <f t="shared" si="351"/>
        <v>164</v>
      </c>
      <c r="CT67" s="154">
        <f t="shared" si="352"/>
        <v>200</v>
      </c>
      <c r="CU67" s="154"/>
      <c r="CV67" s="154"/>
      <c r="CW67" s="154">
        <f t="shared" si="353"/>
        <v>400</v>
      </c>
      <c r="CX67" s="154"/>
      <c r="CY67" s="154"/>
      <c r="CZ67" s="154"/>
      <c r="DA67" s="154">
        <f t="shared" si="354"/>
        <v>0</v>
      </c>
      <c r="DB67" s="154">
        <f t="shared" si="355"/>
        <v>979</v>
      </c>
      <c r="DC67" s="171">
        <f t="shared" si="356"/>
        <v>14603</v>
      </c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</row>
    <row r="68" ht="15.75" customHeight="1">
      <c r="A68" s="137" t="s">
        <v>138</v>
      </c>
      <c r="B68" s="141">
        <f t="shared" ref="B68:DC68" si="358">SUM(B69:B74)</f>
        <v>3095</v>
      </c>
      <c r="C68" s="141">
        <f t="shared" si="358"/>
        <v>13034</v>
      </c>
      <c r="D68" s="141">
        <f t="shared" si="358"/>
        <v>12037</v>
      </c>
      <c r="E68" s="141">
        <f t="shared" si="358"/>
        <v>14169</v>
      </c>
      <c r="F68" s="141">
        <f t="shared" si="358"/>
        <v>59502</v>
      </c>
      <c r="G68" s="141">
        <f t="shared" si="358"/>
        <v>101837</v>
      </c>
      <c r="H68" s="141">
        <f t="shared" si="358"/>
        <v>23109</v>
      </c>
      <c r="I68" s="141">
        <f t="shared" si="358"/>
        <v>11333</v>
      </c>
      <c r="J68" s="141">
        <f t="shared" si="358"/>
        <v>6455</v>
      </c>
      <c r="K68" s="142">
        <f t="shared" si="358"/>
        <v>40897</v>
      </c>
      <c r="L68" s="141">
        <f t="shared" si="358"/>
        <v>7781</v>
      </c>
      <c r="M68" s="141">
        <f t="shared" si="358"/>
        <v>17033</v>
      </c>
      <c r="N68" s="141">
        <f t="shared" si="358"/>
        <v>21432</v>
      </c>
      <c r="O68" s="142">
        <f t="shared" si="358"/>
        <v>46246</v>
      </c>
      <c r="P68" s="141">
        <f t="shared" si="358"/>
        <v>16664</v>
      </c>
      <c r="Q68" s="141">
        <f t="shared" si="358"/>
        <v>14142</v>
      </c>
      <c r="R68" s="141">
        <f t="shared" si="358"/>
        <v>64857</v>
      </c>
      <c r="S68" s="142">
        <f t="shared" si="358"/>
        <v>95663</v>
      </c>
      <c r="T68" s="141">
        <f t="shared" si="358"/>
        <v>10886</v>
      </c>
      <c r="U68" s="141">
        <f t="shared" si="358"/>
        <v>10272</v>
      </c>
      <c r="V68" s="141">
        <f t="shared" si="358"/>
        <v>15255</v>
      </c>
      <c r="W68" s="142">
        <f t="shared" si="358"/>
        <v>36413</v>
      </c>
      <c r="X68" s="142">
        <f t="shared" si="358"/>
        <v>219219</v>
      </c>
      <c r="Y68" s="141">
        <f t="shared" si="358"/>
        <v>22242</v>
      </c>
      <c r="Z68" s="141">
        <f t="shared" si="358"/>
        <v>13906</v>
      </c>
      <c r="AA68" s="141">
        <f t="shared" si="358"/>
        <v>7560</v>
      </c>
      <c r="AB68" s="142">
        <f t="shared" si="358"/>
        <v>43708</v>
      </c>
      <c r="AC68" s="141">
        <f t="shared" si="358"/>
        <v>3481</v>
      </c>
      <c r="AD68" s="141">
        <f t="shared" si="358"/>
        <v>4317</v>
      </c>
      <c r="AE68" s="141">
        <f t="shared" si="358"/>
        <v>8882</v>
      </c>
      <c r="AF68" s="142">
        <f t="shared" si="358"/>
        <v>16680</v>
      </c>
      <c r="AG68" s="141">
        <f t="shared" si="358"/>
        <v>12287</v>
      </c>
      <c r="AH68" s="141">
        <f t="shared" si="358"/>
        <v>7158</v>
      </c>
      <c r="AI68" s="141">
        <f t="shared" si="358"/>
        <v>14843</v>
      </c>
      <c r="AJ68" s="142">
        <f t="shared" si="358"/>
        <v>34288</v>
      </c>
      <c r="AK68" s="141">
        <f t="shared" si="358"/>
        <v>5624</v>
      </c>
      <c r="AL68" s="141">
        <f t="shared" si="358"/>
        <v>2373</v>
      </c>
      <c r="AM68" s="141">
        <f t="shared" si="358"/>
        <v>1777</v>
      </c>
      <c r="AN68" s="142">
        <f t="shared" si="358"/>
        <v>9774</v>
      </c>
      <c r="AO68" s="142">
        <f t="shared" si="358"/>
        <v>104450</v>
      </c>
      <c r="AP68" s="141">
        <f t="shared" si="358"/>
        <v>3916</v>
      </c>
      <c r="AQ68" s="141">
        <f t="shared" si="358"/>
        <v>5271</v>
      </c>
      <c r="AR68" s="142">
        <f t="shared" si="358"/>
        <v>4050</v>
      </c>
      <c r="AS68" s="141">
        <f t="shared" si="358"/>
        <v>13237</v>
      </c>
      <c r="AT68" s="141">
        <f t="shared" si="358"/>
        <v>1425</v>
      </c>
      <c r="AU68" s="141">
        <f t="shared" si="358"/>
        <v>3257</v>
      </c>
      <c r="AV68" s="141">
        <f t="shared" si="358"/>
        <v>3148</v>
      </c>
      <c r="AW68" s="142">
        <f t="shared" si="358"/>
        <v>7830</v>
      </c>
      <c r="AX68" s="141">
        <f t="shared" si="358"/>
        <v>6900</v>
      </c>
      <c r="AY68" s="141">
        <f t="shared" si="358"/>
        <v>5400</v>
      </c>
      <c r="AZ68" s="141">
        <f t="shared" si="358"/>
        <v>4952</v>
      </c>
      <c r="BA68" s="142">
        <f t="shared" si="358"/>
        <v>17252</v>
      </c>
      <c r="BB68" s="141">
        <f t="shared" si="358"/>
        <v>2840</v>
      </c>
      <c r="BC68" s="141">
        <f t="shared" si="358"/>
        <v>2598</v>
      </c>
      <c r="BD68" s="141">
        <f t="shared" si="358"/>
        <v>1804</v>
      </c>
      <c r="BE68" s="142">
        <f t="shared" si="358"/>
        <v>7242</v>
      </c>
      <c r="BF68" s="141">
        <f t="shared" si="358"/>
        <v>45561</v>
      </c>
      <c r="BG68" s="141">
        <f t="shared" si="358"/>
        <v>1160</v>
      </c>
      <c r="BH68" s="141">
        <f t="shared" si="358"/>
        <v>2915</v>
      </c>
      <c r="BI68" s="141">
        <f t="shared" si="358"/>
        <v>2826</v>
      </c>
      <c r="BJ68" s="141">
        <f t="shared" si="358"/>
        <v>6901</v>
      </c>
      <c r="BK68" s="141">
        <f t="shared" si="358"/>
        <v>5608</v>
      </c>
      <c r="BL68" s="141">
        <f t="shared" si="358"/>
        <v>2240</v>
      </c>
      <c r="BM68" s="141">
        <f t="shared" si="358"/>
        <v>1935</v>
      </c>
      <c r="BN68" s="141">
        <f t="shared" si="358"/>
        <v>9783</v>
      </c>
      <c r="BO68" s="141">
        <f t="shared" si="358"/>
        <v>2389</v>
      </c>
      <c r="BP68" s="141">
        <f t="shared" si="358"/>
        <v>1272</v>
      </c>
      <c r="BQ68" s="141">
        <f t="shared" si="358"/>
        <v>1365</v>
      </c>
      <c r="BR68" s="141">
        <f t="shared" si="358"/>
        <v>5026</v>
      </c>
      <c r="BS68" s="141">
        <f t="shared" si="358"/>
        <v>4126</v>
      </c>
      <c r="BT68" s="141">
        <f t="shared" si="358"/>
        <v>4325</v>
      </c>
      <c r="BU68" s="141">
        <f t="shared" si="358"/>
        <v>3492</v>
      </c>
      <c r="BV68" s="141">
        <f t="shared" si="358"/>
        <v>11943</v>
      </c>
      <c r="BW68" s="141">
        <f t="shared" si="358"/>
        <v>33653</v>
      </c>
      <c r="BX68" s="141">
        <f t="shared" si="358"/>
        <v>0</v>
      </c>
      <c r="BY68" s="141">
        <f t="shared" si="358"/>
        <v>1033</v>
      </c>
      <c r="BZ68" s="141">
        <f t="shared" si="358"/>
        <v>1033</v>
      </c>
      <c r="CA68" s="141">
        <f t="shared" si="358"/>
        <v>57</v>
      </c>
      <c r="CB68" s="141">
        <f t="shared" si="358"/>
        <v>1852</v>
      </c>
      <c r="CC68" s="141">
        <f t="shared" si="358"/>
        <v>1795</v>
      </c>
      <c r="CD68" s="141">
        <f t="shared" si="358"/>
        <v>452</v>
      </c>
      <c r="CE68" s="141">
        <f t="shared" si="358"/>
        <v>2321</v>
      </c>
      <c r="CF68" s="141">
        <f t="shared" si="358"/>
        <v>1869</v>
      </c>
      <c r="CG68" s="141">
        <f t="shared" si="358"/>
        <v>7933</v>
      </c>
      <c r="CH68" s="141">
        <f t="shared" si="358"/>
        <v>1453</v>
      </c>
      <c r="CI68" s="141">
        <f t="shared" si="358"/>
        <v>1453</v>
      </c>
      <c r="CJ68" s="141">
        <f t="shared" si="358"/>
        <v>0</v>
      </c>
      <c r="CK68" s="141">
        <f t="shared" si="358"/>
        <v>1918</v>
      </c>
      <c r="CL68" s="141">
        <f t="shared" si="358"/>
        <v>1918</v>
      </c>
      <c r="CM68" s="141">
        <f t="shared" si="358"/>
        <v>0</v>
      </c>
      <c r="CN68" s="141">
        <f t="shared" si="358"/>
        <v>1526</v>
      </c>
      <c r="CO68" s="141">
        <f t="shared" si="358"/>
        <v>1565</v>
      </c>
      <c r="CP68" s="141">
        <f t="shared" si="358"/>
        <v>39</v>
      </c>
      <c r="CQ68" s="141">
        <f t="shared" si="358"/>
        <v>9405</v>
      </c>
      <c r="CR68" s="141">
        <f t="shared" si="358"/>
        <v>483</v>
      </c>
      <c r="CS68" s="141">
        <f t="shared" si="358"/>
        <v>4736</v>
      </c>
      <c r="CT68" s="141">
        <f t="shared" si="358"/>
        <v>5219</v>
      </c>
      <c r="CU68" s="141">
        <f t="shared" si="358"/>
        <v>0</v>
      </c>
      <c r="CV68" s="141">
        <f t="shared" si="358"/>
        <v>0</v>
      </c>
      <c r="CW68" s="141">
        <f t="shared" si="358"/>
        <v>10438</v>
      </c>
      <c r="CX68" s="141">
        <f t="shared" si="358"/>
        <v>0</v>
      </c>
      <c r="CY68" s="141">
        <f t="shared" si="358"/>
        <v>0</v>
      </c>
      <c r="CZ68" s="141">
        <f t="shared" si="358"/>
        <v>0</v>
      </c>
      <c r="DA68" s="141">
        <f t="shared" si="358"/>
        <v>0</v>
      </c>
      <c r="DB68" s="141">
        <f t="shared" si="358"/>
        <v>27776</v>
      </c>
      <c r="DC68" s="141">
        <f t="shared" si="358"/>
        <v>532496</v>
      </c>
      <c r="DD68" s="4"/>
      <c r="DE68" s="20">
        <f>SUM(AJ68,AN68,BF68,BW68,DB68)</f>
        <v>151052</v>
      </c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</row>
    <row r="69" ht="15.75" customHeight="1">
      <c r="A69" s="167" t="s">
        <v>139</v>
      </c>
      <c r="B69" s="154">
        <v>341.0</v>
      </c>
      <c r="C69" s="154">
        <v>712.0</v>
      </c>
      <c r="D69" s="154">
        <v>242.0</v>
      </c>
      <c r="E69" s="154">
        <v>510.0</v>
      </c>
      <c r="F69" s="154">
        <v>3433.0</v>
      </c>
      <c r="G69" s="154">
        <f t="shared" ref="G69:G74" si="359">SUM(B69:F69)</f>
        <v>5238</v>
      </c>
      <c r="H69" s="154">
        <v>1078.0</v>
      </c>
      <c r="I69" s="154">
        <v>1015.0</v>
      </c>
      <c r="J69" s="155">
        <v>447.0</v>
      </c>
      <c r="K69" s="156">
        <f t="shared" ref="K69:K74" si="360">SUM(H69:J69)</f>
        <v>2540</v>
      </c>
      <c r="L69" s="154">
        <v>303.0</v>
      </c>
      <c r="M69" s="154">
        <v>742.0</v>
      </c>
      <c r="N69" s="154">
        <v>1189.0</v>
      </c>
      <c r="O69" s="156">
        <f t="shared" ref="O69:O74" si="361">SUM(L69:N69)</f>
        <v>2234</v>
      </c>
      <c r="P69" s="154">
        <v>945.0</v>
      </c>
      <c r="Q69" s="154">
        <v>691.0</v>
      </c>
      <c r="R69" s="154">
        <v>3530.0</v>
      </c>
      <c r="S69" s="156">
        <f t="shared" ref="S69:S74" si="362">SUM(P69:R69)</f>
        <v>5166</v>
      </c>
      <c r="T69" s="154">
        <v>591.0</v>
      </c>
      <c r="U69" s="154">
        <v>21.0</v>
      </c>
      <c r="V69" s="154">
        <v>554.0</v>
      </c>
      <c r="W69" s="156">
        <f t="shared" ref="W69:W74" si="363">SUM(T69:V69)</f>
        <v>1166</v>
      </c>
      <c r="X69" s="156">
        <f t="shared" ref="X69:X74" si="364">SUM(W69,S69,O69,K69)</f>
        <v>11106</v>
      </c>
      <c r="Y69" s="154">
        <v>1039.0</v>
      </c>
      <c r="Z69" s="154">
        <v>387.0</v>
      </c>
      <c r="AA69" s="155">
        <v>514.0</v>
      </c>
      <c r="AB69" s="156">
        <f t="shared" ref="AB69:AB74" si="365">SUM(Y69:AA69)</f>
        <v>1940</v>
      </c>
      <c r="AC69" s="154">
        <v>70.0</v>
      </c>
      <c r="AD69" s="154">
        <v>76.0</v>
      </c>
      <c r="AE69" s="154">
        <v>254.0</v>
      </c>
      <c r="AF69" s="156">
        <f t="shared" ref="AF69:AF74" si="366">SUM(AC69:AE69)</f>
        <v>400</v>
      </c>
      <c r="AG69" s="154">
        <v>132.0</v>
      </c>
      <c r="AH69" s="154">
        <v>315.0</v>
      </c>
      <c r="AI69" s="154">
        <v>813.0</v>
      </c>
      <c r="AJ69" s="156">
        <f t="shared" ref="AJ69:AJ74" si="367">SUM(AG69:AI69)</f>
        <v>1260</v>
      </c>
      <c r="AK69" s="154">
        <v>157.0</v>
      </c>
      <c r="AL69" s="154">
        <v>377.0</v>
      </c>
      <c r="AM69" s="154">
        <v>0.0</v>
      </c>
      <c r="AN69" s="156">
        <f t="shared" ref="AN69:AN74" si="368">SUM(AK69:AM69)</f>
        <v>534</v>
      </c>
      <c r="AO69" s="156">
        <f t="shared" ref="AO69:AO74" si="369">SUM(AN69,AJ69,AF69,AB69)</f>
        <v>4134</v>
      </c>
      <c r="AP69" s="154">
        <v>591.0</v>
      </c>
      <c r="AQ69" s="154">
        <v>931.0</v>
      </c>
      <c r="AR69" s="156">
        <v>295.0</v>
      </c>
      <c r="AS69" s="154">
        <f t="shared" ref="AS69:AS74" si="370">SUM(AP69:AR69)</f>
        <v>1817</v>
      </c>
      <c r="AT69" s="154">
        <v>26.0</v>
      </c>
      <c r="AU69" s="154">
        <v>33.0</v>
      </c>
      <c r="AV69" s="154">
        <v>113.0</v>
      </c>
      <c r="AW69" s="154">
        <f t="shared" ref="AW69:AW74" si="371">SUM(AT69:AV69)</f>
        <v>172</v>
      </c>
      <c r="AX69" s="154">
        <v>204.0</v>
      </c>
      <c r="AY69" s="154">
        <v>80.0</v>
      </c>
      <c r="AZ69" s="154">
        <v>57.0</v>
      </c>
      <c r="BA69" s="154">
        <f t="shared" ref="BA69:BA74" si="372">SUM(AX69:AZ69)</f>
        <v>341</v>
      </c>
      <c r="BB69" s="154">
        <v>53.0</v>
      </c>
      <c r="BC69" s="154">
        <v>56.0</v>
      </c>
      <c r="BD69" s="154">
        <v>0.0</v>
      </c>
      <c r="BE69" s="154">
        <f t="shared" ref="BE69:BE74" si="373">SUM(BB69:BD69)</f>
        <v>109</v>
      </c>
      <c r="BF69" s="154">
        <f t="shared" ref="BF69:BF74" si="374">SUM(AS69,AW69,BA69,BE69)</f>
        <v>2439</v>
      </c>
      <c r="BG69" s="154">
        <v>74.0</v>
      </c>
      <c r="BH69" s="154">
        <v>77.0</v>
      </c>
      <c r="BI69" s="154">
        <v>227.0</v>
      </c>
      <c r="BJ69" s="154">
        <f t="shared" ref="BJ69:BJ74" si="375">SUM(BG69:BI69)</f>
        <v>378</v>
      </c>
      <c r="BK69" s="154">
        <v>418.0</v>
      </c>
      <c r="BL69" s="154">
        <v>200.0</v>
      </c>
      <c r="BM69" s="154">
        <v>71.0</v>
      </c>
      <c r="BN69" s="154">
        <f t="shared" ref="BN69:BN74" si="376">SUM(BK69:BM69)</f>
        <v>689</v>
      </c>
      <c r="BO69" s="154">
        <v>46.0</v>
      </c>
      <c r="BP69" s="154">
        <v>55.0</v>
      </c>
      <c r="BQ69" s="154">
        <v>16.0</v>
      </c>
      <c r="BR69" s="154">
        <f t="shared" ref="BR69:BR74" si="377">SUM(BO69:BQ69)</f>
        <v>117</v>
      </c>
      <c r="BS69" s="154">
        <v>59.0</v>
      </c>
      <c r="BT69" s="154">
        <v>105.0</v>
      </c>
      <c r="BU69" s="154">
        <v>94.0</v>
      </c>
      <c r="BV69" s="154">
        <f t="shared" ref="BV69:BV74" si="378">SUM(BS69:BU69)</f>
        <v>258</v>
      </c>
      <c r="BW69" s="154">
        <f t="shared" ref="BW69:BW74" si="379">SUM(BJ69,BN69,BR69,BV69)</f>
        <v>1442</v>
      </c>
      <c r="BX69" s="154">
        <v>0.0</v>
      </c>
      <c r="BY69" s="154">
        <v>0.0</v>
      </c>
      <c r="BZ69" s="154">
        <f t="shared" ref="BZ69:BZ74" si="380">BY69-BX69</f>
        <v>0</v>
      </c>
      <c r="CA69" s="154">
        <v>0.0</v>
      </c>
      <c r="CB69" s="154">
        <v>53.0</v>
      </c>
      <c r="CC69" s="154">
        <f t="shared" ref="CC69:CC74" si="381">CB69-CA69</f>
        <v>53</v>
      </c>
      <c r="CD69" s="154">
        <v>5.0</v>
      </c>
      <c r="CE69" s="154">
        <v>185.0</v>
      </c>
      <c r="CF69" s="154">
        <f t="shared" ref="CF69:CF74" si="382">CE69-CD69</f>
        <v>180</v>
      </c>
      <c r="CG69" s="154">
        <f t="shared" ref="CG69:CG70" si="383">SUM(BX69:CE69)</f>
        <v>296</v>
      </c>
      <c r="CH69" s="154">
        <v>21.0</v>
      </c>
      <c r="CI69" s="154">
        <v>21.0</v>
      </c>
      <c r="CJ69" s="154">
        <f t="shared" ref="CJ69:CJ74" si="384">CI69-CH69</f>
        <v>0</v>
      </c>
      <c r="CK69" s="154">
        <v>66.0</v>
      </c>
      <c r="CL69" s="155">
        <v>66.0</v>
      </c>
      <c r="CM69" s="154">
        <f t="shared" ref="CM69:CM74" si="385">CL69-CK69</f>
        <v>0</v>
      </c>
      <c r="CN69" s="155">
        <v>305.0</v>
      </c>
      <c r="CO69" s="155">
        <v>305.0</v>
      </c>
      <c r="CP69" s="154">
        <f t="shared" ref="CP69:CP74" si="386">CO69-CN69</f>
        <v>0</v>
      </c>
      <c r="CQ69" s="154">
        <f t="shared" ref="CQ69:CQ70" si="387">SUM(CH69:CO69)</f>
        <v>784</v>
      </c>
      <c r="CR69" s="154">
        <v>34.0</v>
      </c>
      <c r="CS69" s="154">
        <f t="shared" ref="CS69:CS74" si="388">SUM(BZ69,CC69,CF69,CJ69,CM69,CP69)</f>
        <v>233</v>
      </c>
      <c r="CT69" s="154">
        <f t="shared" ref="CT69:CT74" si="389">CR69+CS69</f>
        <v>267</v>
      </c>
      <c r="CU69" s="154"/>
      <c r="CV69" s="155"/>
      <c r="CW69" s="154">
        <f t="shared" ref="CW69:CW74" si="390">SUM(CR69:CV69)</f>
        <v>534</v>
      </c>
      <c r="CX69" s="154"/>
      <c r="CY69" s="154"/>
      <c r="CZ69" s="155"/>
      <c r="DA69" s="154">
        <f t="shared" ref="DA69:DA74" si="391">SUM(CX69:CZ69)</f>
        <v>0</v>
      </c>
      <c r="DB69" s="154">
        <f t="shared" ref="DB69:DB74" si="392">SUM(CG69,CQ69,CW69,DA69)</f>
        <v>1614</v>
      </c>
      <c r="DC69" s="171">
        <f t="shared" ref="DC69:DC74" si="393">SUM(A69,G69,X69,AO69,BF69,BW69,DB69)</f>
        <v>25973</v>
      </c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</row>
    <row r="70" ht="15.75" customHeight="1">
      <c r="A70" s="167" t="s">
        <v>140</v>
      </c>
      <c r="B70" s="154">
        <v>218.0</v>
      </c>
      <c r="C70" s="154">
        <v>1302.0</v>
      </c>
      <c r="D70" s="154">
        <v>1814.0</v>
      </c>
      <c r="E70" s="154">
        <v>1444.0</v>
      </c>
      <c r="F70" s="154">
        <v>13848.0</v>
      </c>
      <c r="G70" s="154">
        <f t="shared" si="359"/>
        <v>18626</v>
      </c>
      <c r="H70" s="154">
        <v>6898.0</v>
      </c>
      <c r="I70" s="154">
        <v>1964.0</v>
      </c>
      <c r="J70" s="155">
        <v>2552.0</v>
      </c>
      <c r="K70" s="156">
        <f t="shared" si="360"/>
        <v>11414</v>
      </c>
      <c r="L70" s="154">
        <v>2507.0</v>
      </c>
      <c r="M70" s="154">
        <v>4125.0</v>
      </c>
      <c r="N70" s="154">
        <v>4946.0</v>
      </c>
      <c r="O70" s="156">
        <f t="shared" si="361"/>
        <v>11578</v>
      </c>
      <c r="P70" s="154">
        <v>2117.0</v>
      </c>
      <c r="Q70" s="154">
        <v>2377.0</v>
      </c>
      <c r="R70" s="154">
        <v>3308.0</v>
      </c>
      <c r="S70" s="156">
        <f t="shared" si="362"/>
        <v>7802</v>
      </c>
      <c r="T70" s="154">
        <v>2311.0</v>
      </c>
      <c r="U70" s="154">
        <v>1811.0</v>
      </c>
      <c r="V70" s="154">
        <v>172.0</v>
      </c>
      <c r="W70" s="156">
        <f t="shared" si="363"/>
        <v>4294</v>
      </c>
      <c r="X70" s="156">
        <f t="shared" si="364"/>
        <v>35088</v>
      </c>
      <c r="Y70" s="154">
        <v>1569.0</v>
      </c>
      <c r="Z70" s="154">
        <v>1674.0</v>
      </c>
      <c r="AA70" s="155">
        <v>472.0</v>
      </c>
      <c r="AB70" s="156">
        <f t="shared" si="365"/>
        <v>3715</v>
      </c>
      <c r="AC70" s="154">
        <v>236.0</v>
      </c>
      <c r="AD70" s="154">
        <v>604.0</v>
      </c>
      <c r="AE70" s="154">
        <v>1013.0</v>
      </c>
      <c r="AF70" s="156">
        <f t="shared" si="366"/>
        <v>1853</v>
      </c>
      <c r="AG70" s="154">
        <v>2490.0</v>
      </c>
      <c r="AH70" s="154">
        <v>720.0</v>
      </c>
      <c r="AI70" s="154">
        <v>1424.0</v>
      </c>
      <c r="AJ70" s="156">
        <f t="shared" si="367"/>
        <v>4634</v>
      </c>
      <c r="AK70" s="154">
        <v>1323.0</v>
      </c>
      <c r="AL70" s="154">
        <v>29.0</v>
      </c>
      <c r="AM70" s="154">
        <v>51.0</v>
      </c>
      <c r="AN70" s="156">
        <f t="shared" si="368"/>
        <v>1403</v>
      </c>
      <c r="AO70" s="156">
        <f t="shared" si="369"/>
        <v>11605</v>
      </c>
      <c r="AP70" s="154">
        <v>330.0</v>
      </c>
      <c r="AQ70" s="154">
        <v>588.0</v>
      </c>
      <c r="AR70" s="156">
        <v>526.0</v>
      </c>
      <c r="AS70" s="154">
        <f t="shared" si="370"/>
        <v>1444</v>
      </c>
      <c r="AT70" s="154">
        <v>66.0</v>
      </c>
      <c r="AU70" s="154">
        <v>721.0</v>
      </c>
      <c r="AV70" s="154">
        <v>509.0</v>
      </c>
      <c r="AW70" s="154">
        <f t="shared" si="371"/>
        <v>1296</v>
      </c>
      <c r="AX70" s="154">
        <v>1162.0</v>
      </c>
      <c r="AY70" s="154">
        <v>379.0</v>
      </c>
      <c r="AZ70" s="154">
        <v>374.0</v>
      </c>
      <c r="BA70" s="154">
        <f t="shared" si="372"/>
        <v>1915</v>
      </c>
      <c r="BB70" s="154">
        <v>367.0</v>
      </c>
      <c r="BC70" s="154">
        <v>620.0</v>
      </c>
      <c r="BD70" s="154">
        <v>380.0</v>
      </c>
      <c r="BE70" s="154">
        <f t="shared" si="373"/>
        <v>1367</v>
      </c>
      <c r="BF70" s="154">
        <f t="shared" si="374"/>
        <v>6022</v>
      </c>
      <c r="BG70" s="154">
        <v>458.0</v>
      </c>
      <c r="BH70" s="154">
        <v>790.0</v>
      </c>
      <c r="BI70" s="154">
        <v>228.0</v>
      </c>
      <c r="BJ70" s="154">
        <f t="shared" si="375"/>
        <v>1476</v>
      </c>
      <c r="BK70" s="154">
        <v>516.0</v>
      </c>
      <c r="BL70" s="154">
        <v>193.0</v>
      </c>
      <c r="BM70" s="154">
        <v>298.0</v>
      </c>
      <c r="BN70" s="154">
        <f t="shared" si="376"/>
        <v>1007</v>
      </c>
      <c r="BO70" s="154">
        <v>294.0</v>
      </c>
      <c r="BP70" s="154">
        <v>358.0</v>
      </c>
      <c r="BQ70" s="154">
        <v>436.0</v>
      </c>
      <c r="BR70" s="154">
        <f t="shared" si="377"/>
        <v>1088</v>
      </c>
      <c r="BS70" s="154">
        <v>651.0</v>
      </c>
      <c r="BT70" s="154">
        <v>650.0</v>
      </c>
      <c r="BU70" s="154">
        <v>684.0</v>
      </c>
      <c r="BV70" s="154">
        <f t="shared" si="378"/>
        <v>1985</v>
      </c>
      <c r="BW70" s="154">
        <f t="shared" si="379"/>
        <v>5556</v>
      </c>
      <c r="BX70" s="154">
        <v>0.0</v>
      </c>
      <c r="BY70" s="154">
        <v>339.0</v>
      </c>
      <c r="BZ70" s="154">
        <f t="shared" si="380"/>
        <v>339</v>
      </c>
      <c r="CA70" s="154">
        <v>0.0</v>
      </c>
      <c r="CB70" s="154">
        <v>274.0</v>
      </c>
      <c r="CC70" s="154">
        <f t="shared" si="381"/>
        <v>274</v>
      </c>
      <c r="CD70" s="154">
        <v>31.0</v>
      </c>
      <c r="CE70" s="154">
        <v>257.0</v>
      </c>
      <c r="CF70" s="154">
        <f t="shared" si="382"/>
        <v>226</v>
      </c>
      <c r="CG70" s="154">
        <f t="shared" si="383"/>
        <v>1514</v>
      </c>
      <c r="CH70" s="154">
        <v>54.0</v>
      </c>
      <c r="CI70" s="154">
        <v>54.0</v>
      </c>
      <c r="CJ70" s="154">
        <f t="shared" si="384"/>
        <v>0</v>
      </c>
      <c r="CK70" s="154">
        <v>265.0</v>
      </c>
      <c r="CL70" s="155">
        <v>265.0</v>
      </c>
      <c r="CM70" s="154">
        <f t="shared" si="385"/>
        <v>0</v>
      </c>
      <c r="CN70" s="155">
        <v>82.0</v>
      </c>
      <c r="CO70" s="155">
        <v>82.0</v>
      </c>
      <c r="CP70" s="154">
        <f t="shared" si="386"/>
        <v>0</v>
      </c>
      <c r="CQ70" s="154">
        <f t="shared" si="387"/>
        <v>802</v>
      </c>
      <c r="CR70" s="154">
        <v>39.0</v>
      </c>
      <c r="CS70" s="154">
        <f t="shared" si="388"/>
        <v>839</v>
      </c>
      <c r="CT70" s="154">
        <f t="shared" si="389"/>
        <v>878</v>
      </c>
      <c r="CU70" s="154"/>
      <c r="CV70" s="155"/>
      <c r="CW70" s="154">
        <f t="shared" si="390"/>
        <v>1756</v>
      </c>
      <c r="CX70" s="154"/>
      <c r="CY70" s="154"/>
      <c r="CZ70" s="155"/>
      <c r="DA70" s="154">
        <f t="shared" si="391"/>
        <v>0</v>
      </c>
      <c r="DB70" s="154">
        <f t="shared" si="392"/>
        <v>4072</v>
      </c>
      <c r="DC70" s="171">
        <f t="shared" si="393"/>
        <v>80969</v>
      </c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</row>
    <row r="71" ht="15.75" customHeight="1">
      <c r="A71" s="169" t="s">
        <v>141</v>
      </c>
      <c r="B71" s="154">
        <v>1668.0</v>
      </c>
      <c r="C71" s="154">
        <v>6331.0</v>
      </c>
      <c r="D71" s="154">
        <v>5789.0</v>
      </c>
      <c r="E71" s="154">
        <v>6376.0</v>
      </c>
      <c r="F71" s="154">
        <v>16284.0</v>
      </c>
      <c r="G71" s="154">
        <f t="shared" si="359"/>
        <v>36448</v>
      </c>
      <c r="H71" s="154">
        <v>8887.0</v>
      </c>
      <c r="I71" s="154">
        <v>3944.0</v>
      </c>
      <c r="J71" s="155">
        <v>2100.0</v>
      </c>
      <c r="K71" s="156">
        <f t="shared" si="360"/>
        <v>14931</v>
      </c>
      <c r="L71" s="154">
        <v>2764.0</v>
      </c>
      <c r="M71" s="154">
        <v>5312.0</v>
      </c>
      <c r="N71" s="154">
        <v>7657.0</v>
      </c>
      <c r="O71" s="156">
        <f t="shared" si="361"/>
        <v>15733</v>
      </c>
      <c r="P71" s="154">
        <v>5931.0</v>
      </c>
      <c r="Q71" s="154">
        <v>4285.0</v>
      </c>
      <c r="R71" s="154">
        <v>29264.0</v>
      </c>
      <c r="S71" s="156">
        <f t="shared" si="362"/>
        <v>39480</v>
      </c>
      <c r="T71" s="154">
        <v>2879.0</v>
      </c>
      <c r="U71" s="154">
        <v>3382.0</v>
      </c>
      <c r="V71" s="154">
        <v>4701.0</v>
      </c>
      <c r="W71" s="156">
        <f t="shared" si="363"/>
        <v>10962</v>
      </c>
      <c r="X71" s="156">
        <f t="shared" si="364"/>
        <v>81106</v>
      </c>
      <c r="Y71" s="154">
        <v>10201.0</v>
      </c>
      <c r="Z71" s="154">
        <v>6165.0</v>
      </c>
      <c r="AA71" s="155">
        <v>1297.0</v>
      </c>
      <c r="AB71" s="156">
        <f t="shared" si="365"/>
        <v>17663</v>
      </c>
      <c r="AC71" s="154">
        <v>1027.0</v>
      </c>
      <c r="AD71" s="154">
        <v>2174.0</v>
      </c>
      <c r="AE71" s="154">
        <v>4526.0</v>
      </c>
      <c r="AF71" s="156">
        <f t="shared" si="366"/>
        <v>7727</v>
      </c>
      <c r="AG71" s="154">
        <v>4324.0</v>
      </c>
      <c r="AH71" s="154">
        <v>3282.0</v>
      </c>
      <c r="AI71" s="154">
        <v>5962.0</v>
      </c>
      <c r="AJ71" s="156">
        <f t="shared" si="367"/>
        <v>13568</v>
      </c>
      <c r="AK71" s="154">
        <v>2082.0</v>
      </c>
      <c r="AL71" s="154">
        <v>723.0</v>
      </c>
      <c r="AM71" s="154">
        <v>560.0</v>
      </c>
      <c r="AN71" s="156">
        <f t="shared" si="368"/>
        <v>3365</v>
      </c>
      <c r="AO71" s="156">
        <f t="shared" si="369"/>
        <v>42323</v>
      </c>
      <c r="AP71" s="154">
        <v>1491.0</v>
      </c>
      <c r="AQ71" s="154">
        <v>2966.0</v>
      </c>
      <c r="AR71" s="156">
        <v>2001.0</v>
      </c>
      <c r="AS71" s="154">
        <f t="shared" si="370"/>
        <v>6458</v>
      </c>
      <c r="AT71" s="154">
        <v>960.0</v>
      </c>
      <c r="AU71" s="154">
        <v>1639.0</v>
      </c>
      <c r="AV71" s="154">
        <v>1826.0</v>
      </c>
      <c r="AW71" s="154">
        <f t="shared" si="371"/>
        <v>4425</v>
      </c>
      <c r="AX71" s="154">
        <v>1996.0</v>
      </c>
      <c r="AY71" s="154">
        <v>2694.0</v>
      </c>
      <c r="AZ71" s="154">
        <v>2415.0</v>
      </c>
      <c r="BA71" s="154">
        <f t="shared" si="372"/>
        <v>7105</v>
      </c>
      <c r="BB71" s="154">
        <v>929.0</v>
      </c>
      <c r="BC71" s="154">
        <v>904.0</v>
      </c>
      <c r="BD71" s="154">
        <v>543.0</v>
      </c>
      <c r="BE71" s="154">
        <f t="shared" si="373"/>
        <v>2376</v>
      </c>
      <c r="BF71" s="154">
        <f t="shared" si="374"/>
        <v>20364</v>
      </c>
      <c r="BG71" s="154">
        <v>370.0</v>
      </c>
      <c r="BH71" s="154">
        <v>1042.0</v>
      </c>
      <c r="BI71" s="154">
        <v>1149.0</v>
      </c>
      <c r="BJ71" s="154">
        <f t="shared" si="375"/>
        <v>2561</v>
      </c>
      <c r="BK71" s="154">
        <v>1998.0</v>
      </c>
      <c r="BL71" s="154">
        <v>921.0</v>
      </c>
      <c r="BM71" s="154">
        <v>661.0</v>
      </c>
      <c r="BN71" s="154">
        <f t="shared" si="376"/>
        <v>3580</v>
      </c>
      <c r="BO71" s="154">
        <v>1197.0</v>
      </c>
      <c r="BP71" s="154">
        <v>500.0</v>
      </c>
      <c r="BQ71" s="154">
        <v>414.0</v>
      </c>
      <c r="BR71" s="154">
        <f t="shared" si="377"/>
        <v>2111</v>
      </c>
      <c r="BS71" s="154">
        <v>1745.0</v>
      </c>
      <c r="BT71" s="154">
        <v>1456.0</v>
      </c>
      <c r="BU71" s="154">
        <v>1158.0</v>
      </c>
      <c r="BV71" s="154">
        <f t="shared" si="378"/>
        <v>4359</v>
      </c>
      <c r="BW71" s="154">
        <f t="shared" si="379"/>
        <v>12611</v>
      </c>
      <c r="BX71" s="154">
        <v>0.0</v>
      </c>
      <c r="BY71" s="154">
        <f>308+38</f>
        <v>346</v>
      </c>
      <c r="BZ71" s="154">
        <f t="shared" si="380"/>
        <v>346</v>
      </c>
      <c r="CA71" s="154">
        <v>57.0</v>
      </c>
      <c r="CB71" s="154">
        <f>496+198</f>
        <v>694</v>
      </c>
      <c r="CC71" s="154">
        <f t="shared" si="381"/>
        <v>637</v>
      </c>
      <c r="CD71" s="154">
        <v>200.0</v>
      </c>
      <c r="CE71" s="154">
        <f>363+247</f>
        <v>610</v>
      </c>
      <c r="CF71" s="154">
        <f t="shared" si="382"/>
        <v>410</v>
      </c>
      <c r="CG71" s="154">
        <f>SUM(BX71:CD71)</f>
        <v>2280</v>
      </c>
      <c r="CH71" s="154">
        <v>327.0</v>
      </c>
      <c r="CI71" s="154">
        <f>327+0</f>
        <v>327</v>
      </c>
      <c r="CJ71" s="154">
        <f t="shared" si="384"/>
        <v>0</v>
      </c>
      <c r="CK71" s="154">
        <f t="shared" ref="CK71:CL71" si="394">454+1</f>
        <v>455</v>
      </c>
      <c r="CL71" s="155">
        <f t="shared" si="394"/>
        <v>455</v>
      </c>
      <c r="CM71" s="154">
        <f t="shared" si="385"/>
        <v>0</v>
      </c>
      <c r="CN71" s="155">
        <v>398.0</v>
      </c>
      <c r="CO71" s="155">
        <f>428+0</f>
        <v>428</v>
      </c>
      <c r="CP71" s="154">
        <f t="shared" si="386"/>
        <v>30</v>
      </c>
      <c r="CQ71" s="154">
        <f>SUM(CH71:CN71)</f>
        <v>1962</v>
      </c>
      <c r="CR71" s="154">
        <f>164+1</f>
        <v>165</v>
      </c>
      <c r="CS71" s="154">
        <f t="shared" si="388"/>
        <v>1423</v>
      </c>
      <c r="CT71" s="154">
        <f t="shared" si="389"/>
        <v>1588</v>
      </c>
      <c r="CU71" s="154"/>
      <c r="CV71" s="155"/>
      <c r="CW71" s="154">
        <f t="shared" si="390"/>
        <v>3176</v>
      </c>
      <c r="CX71" s="154"/>
      <c r="CY71" s="154"/>
      <c r="CZ71" s="155"/>
      <c r="DA71" s="154">
        <f t="shared" si="391"/>
        <v>0</v>
      </c>
      <c r="DB71" s="154">
        <f t="shared" si="392"/>
        <v>7418</v>
      </c>
      <c r="DC71" s="171">
        <f t="shared" si="393"/>
        <v>200270</v>
      </c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</row>
    <row r="72" ht="15.75" customHeight="1">
      <c r="A72" s="167" t="s">
        <v>142</v>
      </c>
      <c r="B72" s="154">
        <v>76.0</v>
      </c>
      <c r="C72" s="154">
        <v>729.0</v>
      </c>
      <c r="D72" s="154">
        <v>707.0</v>
      </c>
      <c r="E72" s="154">
        <v>816.0</v>
      </c>
      <c r="F72" s="154">
        <v>8581.0</v>
      </c>
      <c r="G72" s="154">
        <f t="shared" si="359"/>
        <v>10909</v>
      </c>
      <c r="H72" s="154">
        <v>3315.0</v>
      </c>
      <c r="I72" s="154">
        <v>875.0</v>
      </c>
      <c r="J72" s="154">
        <v>662.0</v>
      </c>
      <c r="K72" s="156">
        <f t="shared" si="360"/>
        <v>4852</v>
      </c>
      <c r="L72" s="154">
        <v>623.0</v>
      </c>
      <c r="M72" s="154">
        <v>2909.0</v>
      </c>
      <c r="N72" s="154">
        <v>2196.0</v>
      </c>
      <c r="O72" s="156">
        <f t="shared" si="361"/>
        <v>5728</v>
      </c>
      <c r="P72" s="154">
        <v>1716.0</v>
      </c>
      <c r="Q72" s="154">
        <v>1664.0</v>
      </c>
      <c r="R72" s="154">
        <v>4101.0</v>
      </c>
      <c r="S72" s="156">
        <f t="shared" si="362"/>
        <v>7481</v>
      </c>
      <c r="T72" s="154">
        <v>2873.0</v>
      </c>
      <c r="U72" s="154">
        <v>1592.0</v>
      </c>
      <c r="V72" s="154">
        <v>1526.0</v>
      </c>
      <c r="W72" s="156">
        <f t="shared" si="363"/>
        <v>5991</v>
      </c>
      <c r="X72" s="156">
        <f t="shared" si="364"/>
        <v>24052</v>
      </c>
      <c r="Y72" s="154">
        <v>1477.0</v>
      </c>
      <c r="Z72" s="154">
        <v>1866.0</v>
      </c>
      <c r="AA72" s="154">
        <v>1223.0</v>
      </c>
      <c r="AB72" s="156">
        <f t="shared" si="365"/>
        <v>4566</v>
      </c>
      <c r="AC72" s="154">
        <v>1115.0</v>
      </c>
      <c r="AD72" s="154">
        <v>532.0</v>
      </c>
      <c r="AE72" s="154">
        <v>573.0</v>
      </c>
      <c r="AF72" s="156">
        <f t="shared" si="366"/>
        <v>2220</v>
      </c>
      <c r="AG72" s="154">
        <v>566.0</v>
      </c>
      <c r="AH72" s="154">
        <v>694.0</v>
      </c>
      <c r="AI72" s="154">
        <v>1029.0</v>
      </c>
      <c r="AJ72" s="156">
        <f t="shared" si="367"/>
        <v>2289</v>
      </c>
      <c r="AK72" s="154">
        <v>850.0</v>
      </c>
      <c r="AL72" s="154">
        <v>776.0</v>
      </c>
      <c r="AM72" s="154">
        <v>643.0</v>
      </c>
      <c r="AN72" s="156">
        <f t="shared" si="368"/>
        <v>2269</v>
      </c>
      <c r="AO72" s="156">
        <f t="shared" si="369"/>
        <v>11344</v>
      </c>
      <c r="AP72" s="154">
        <v>312.0</v>
      </c>
      <c r="AQ72" s="154">
        <v>97.0</v>
      </c>
      <c r="AR72" s="156">
        <v>257.0</v>
      </c>
      <c r="AS72" s="154">
        <f t="shared" si="370"/>
        <v>666</v>
      </c>
      <c r="AT72" s="154">
        <v>98.0</v>
      </c>
      <c r="AU72" s="154">
        <v>122.0</v>
      </c>
      <c r="AV72" s="154">
        <v>390.0</v>
      </c>
      <c r="AW72" s="154">
        <f t="shared" si="371"/>
        <v>610</v>
      </c>
      <c r="AX72" s="154">
        <v>1064.0</v>
      </c>
      <c r="AY72" s="154">
        <v>467.0</v>
      </c>
      <c r="AZ72" s="154">
        <v>558.0</v>
      </c>
      <c r="BA72" s="154">
        <f t="shared" si="372"/>
        <v>2089</v>
      </c>
      <c r="BB72" s="154">
        <v>221.0</v>
      </c>
      <c r="BC72" s="154">
        <v>153.0</v>
      </c>
      <c r="BD72" s="154">
        <v>53.0</v>
      </c>
      <c r="BE72" s="154">
        <f t="shared" si="373"/>
        <v>427</v>
      </c>
      <c r="BF72" s="154">
        <f t="shared" si="374"/>
        <v>3792</v>
      </c>
      <c r="BG72" s="154">
        <v>43.0</v>
      </c>
      <c r="BH72" s="154">
        <v>325.0</v>
      </c>
      <c r="BI72" s="154">
        <v>184.0</v>
      </c>
      <c r="BJ72" s="154">
        <f t="shared" si="375"/>
        <v>552</v>
      </c>
      <c r="BK72" s="154">
        <v>964.0</v>
      </c>
      <c r="BL72" s="154">
        <v>145.0</v>
      </c>
      <c r="BM72" s="154">
        <v>156.0</v>
      </c>
      <c r="BN72" s="154">
        <f t="shared" si="376"/>
        <v>1265</v>
      </c>
      <c r="BO72" s="154">
        <v>220.0</v>
      </c>
      <c r="BP72" s="154">
        <v>47.0</v>
      </c>
      <c r="BQ72" s="154">
        <v>17.0</v>
      </c>
      <c r="BR72" s="154">
        <f t="shared" si="377"/>
        <v>284</v>
      </c>
      <c r="BS72" s="154">
        <v>400.0</v>
      </c>
      <c r="BT72" s="154">
        <v>935.0</v>
      </c>
      <c r="BU72" s="154">
        <v>712.0</v>
      </c>
      <c r="BV72" s="154">
        <f t="shared" si="378"/>
        <v>2047</v>
      </c>
      <c r="BW72" s="154">
        <f t="shared" si="379"/>
        <v>4148</v>
      </c>
      <c r="BX72" s="154">
        <v>0.0</v>
      </c>
      <c r="BY72" s="154">
        <v>184.0</v>
      </c>
      <c r="BZ72" s="154">
        <f t="shared" si="380"/>
        <v>184</v>
      </c>
      <c r="CA72" s="154">
        <v>0.0</v>
      </c>
      <c r="CB72" s="154">
        <v>311.0</v>
      </c>
      <c r="CC72" s="154">
        <f t="shared" si="381"/>
        <v>311</v>
      </c>
      <c r="CD72" s="154">
        <v>97.0</v>
      </c>
      <c r="CE72" s="154">
        <v>433.0</v>
      </c>
      <c r="CF72" s="154">
        <f t="shared" si="382"/>
        <v>336</v>
      </c>
      <c r="CG72" s="154">
        <f t="shared" ref="CG72:CG74" si="395">SUM(BX72:CE72)</f>
        <v>1520</v>
      </c>
      <c r="CH72" s="154">
        <v>410.0</v>
      </c>
      <c r="CI72" s="154">
        <v>410.0</v>
      </c>
      <c r="CJ72" s="154">
        <f t="shared" si="384"/>
        <v>0</v>
      </c>
      <c r="CK72" s="154">
        <v>478.0</v>
      </c>
      <c r="CL72" s="154">
        <v>478.0</v>
      </c>
      <c r="CM72" s="154">
        <f t="shared" si="385"/>
        <v>0</v>
      </c>
      <c r="CN72" s="154">
        <v>444.0</v>
      </c>
      <c r="CO72" s="154">
        <v>451.0</v>
      </c>
      <c r="CP72" s="154">
        <f t="shared" si="386"/>
        <v>7</v>
      </c>
      <c r="CQ72" s="154">
        <f t="shared" ref="CQ72:CQ74" si="396">SUM(CH72:CO72)</f>
        <v>2671</v>
      </c>
      <c r="CR72" s="154">
        <v>8.0</v>
      </c>
      <c r="CS72" s="154">
        <f t="shared" si="388"/>
        <v>838</v>
      </c>
      <c r="CT72" s="154">
        <f t="shared" si="389"/>
        <v>846</v>
      </c>
      <c r="CU72" s="154"/>
      <c r="CV72" s="154"/>
      <c r="CW72" s="154">
        <f t="shared" si="390"/>
        <v>1692</v>
      </c>
      <c r="CX72" s="154"/>
      <c r="CY72" s="154"/>
      <c r="CZ72" s="154"/>
      <c r="DA72" s="154">
        <f t="shared" si="391"/>
        <v>0</v>
      </c>
      <c r="DB72" s="154">
        <f t="shared" si="392"/>
        <v>5883</v>
      </c>
      <c r="DC72" s="171">
        <f t="shared" si="393"/>
        <v>60128</v>
      </c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</row>
    <row r="73" ht="15.75" customHeight="1">
      <c r="A73" s="167" t="s">
        <v>143</v>
      </c>
      <c r="B73" s="154">
        <v>511.0</v>
      </c>
      <c r="C73" s="154">
        <v>3099.0</v>
      </c>
      <c r="D73" s="154">
        <v>2457.0</v>
      </c>
      <c r="E73" s="154">
        <v>3798.0</v>
      </c>
      <c r="F73" s="154">
        <v>9332.0</v>
      </c>
      <c r="G73" s="154">
        <f t="shared" si="359"/>
        <v>19197</v>
      </c>
      <c r="H73" s="154">
        <v>1124.0</v>
      </c>
      <c r="I73" s="154">
        <v>2778.0</v>
      </c>
      <c r="J73" s="154">
        <v>580.0</v>
      </c>
      <c r="K73" s="156">
        <f t="shared" si="360"/>
        <v>4482</v>
      </c>
      <c r="L73" s="154">
        <v>1537.0</v>
      </c>
      <c r="M73" s="154">
        <v>2901.0</v>
      </c>
      <c r="N73" s="154">
        <v>3140.0</v>
      </c>
      <c r="O73" s="156">
        <f t="shared" si="361"/>
        <v>7578</v>
      </c>
      <c r="P73" s="154">
        <v>2526.0</v>
      </c>
      <c r="Q73" s="154">
        <v>3375.0</v>
      </c>
      <c r="R73" s="154">
        <v>17668.0</v>
      </c>
      <c r="S73" s="156">
        <f t="shared" si="362"/>
        <v>23569</v>
      </c>
      <c r="T73" s="154">
        <v>1496.0</v>
      </c>
      <c r="U73" s="154">
        <v>2717.0</v>
      </c>
      <c r="V73" s="154">
        <v>6297.0</v>
      </c>
      <c r="W73" s="156">
        <f t="shared" si="363"/>
        <v>10510</v>
      </c>
      <c r="X73" s="156">
        <f t="shared" si="364"/>
        <v>46139</v>
      </c>
      <c r="Y73" s="154">
        <v>4995.0</v>
      </c>
      <c r="Z73" s="154">
        <v>2422.0</v>
      </c>
      <c r="AA73" s="154">
        <v>1620.0</v>
      </c>
      <c r="AB73" s="156">
        <f t="shared" si="365"/>
        <v>9037</v>
      </c>
      <c r="AC73" s="154">
        <v>379.0</v>
      </c>
      <c r="AD73" s="154">
        <v>109.0</v>
      </c>
      <c r="AE73" s="154">
        <v>2016.0</v>
      </c>
      <c r="AF73" s="156">
        <f t="shared" si="366"/>
        <v>2504</v>
      </c>
      <c r="AG73" s="154">
        <v>2687.0</v>
      </c>
      <c r="AH73" s="154">
        <v>1434.0</v>
      </c>
      <c r="AI73" s="154">
        <v>3319.0</v>
      </c>
      <c r="AJ73" s="156">
        <f t="shared" si="367"/>
        <v>7440</v>
      </c>
      <c r="AK73" s="154">
        <v>971.0</v>
      </c>
      <c r="AL73" s="154">
        <v>293.0</v>
      </c>
      <c r="AM73" s="154">
        <v>191.0</v>
      </c>
      <c r="AN73" s="156">
        <f t="shared" si="368"/>
        <v>1455</v>
      </c>
      <c r="AO73" s="156">
        <f t="shared" si="369"/>
        <v>20436</v>
      </c>
      <c r="AP73" s="154">
        <v>703.0</v>
      </c>
      <c r="AQ73" s="154">
        <v>306.0</v>
      </c>
      <c r="AR73" s="156">
        <v>655.0</v>
      </c>
      <c r="AS73" s="154">
        <f t="shared" si="370"/>
        <v>1664</v>
      </c>
      <c r="AT73" s="154">
        <v>263.0</v>
      </c>
      <c r="AU73" s="154">
        <v>128.0</v>
      </c>
      <c r="AV73" s="154">
        <v>171.0</v>
      </c>
      <c r="AW73" s="154">
        <f t="shared" si="371"/>
        <v>562</v>
      </c>
      <c r="AX73" s="154">
        <v>1147.0</v>
      </c>
      <c r="AY73" s="154">
        <v>1037.0</v>
      </c>
      <c r="AZ73" s="154">
        <v>1301.0</v>
      </c>
      <c r="BA73" s="154">
        <f t="shared" si="372"/>
        <v>3485</v>
      </c>
      <c r="BB73" s="154">
        <v>629.0</v>
      </c>
      <c r="BC73" s="154">
        <v>522.0</v>
      </c>
      <c r="BD73" s="154">
        <v>708.0</v>
      </c>
      <c r="BE73" s="154">
        <f t="shared" si="373"/>
        <v>1859</v>
      </c>
      <c r="BF73" s="154">
        <f t="shared" si="374"/>
        <v>7570</v>
      </c>
      <c r="BG73" s="154">
        <v>206.0</v>
      </c>
      <c r="BH73" s="154">
        <v>431.0</v>
      </c>
      <c r="BI73" s="154">
        <v>593.0</v>
      </c>
      <c r="BJ73" s="154">
        <f t="shared" si="375"/>
        <v>1230</v>
      </c>
      <c r="BK73" s="154">
        <v>308.0</v>
      </c>
      <c r="BL73" s="154">
        <v>445.0</v>
      </c>
      <c r="BM73" s="154">
        <v>494.0</v>
      </c>
      <c r="BN73" s="154">
        <f t="shared" si="376"/>
        <v>1247</v>
      </c>
      <c r="BO73" s="154">
        <v>361.0</v>
      </c>
      <c r="BP73" s="154">
        <v>237.0</v>
      </c>
      <c r="BQ73" s="154">
        <v>276.0</v>
      </c>
      <c r="BR73" s="154">
        <f t="shared" si="377"/>
        <v>874</v>
      </c>
      <c r="BS73" s="154">
        <v>512.0</v>
      </c>
      <c r="BT73" s="154">
        <v>648.0</v>
      </c>
      <c r="BU73" s="154">
        <v>516.0</v>
      </c>
      <c r="BV73" s="154">
        <f t="shared" si="378"/>
        <v>1676</v>
      </c>
      <c r="BW73" s="154">
        <f t="shared" si="379"/>
        <v>5027</v>
      </c>
      <c r="BX73" s="154">
        <v>0.0</v>
      </c>
      <c r="BY73" s="154">
        <v>73.0</v>
      </c>
      <c r="BZ73" s="154">
        <f t="shared" si="380"/>
        <v>73</v>
      </c>
      <c r="CA73" s="154">
        <v>0.0</v>
      </c>
      <c r="CB73" s="154">
        <v>303.0</v>
      </c>
      <c r="CC73" s="154">
        <f t="shared" si="381"/>
        <v>303</v>
      </c>
      <c r="CD73" s="154">
        <v>113.0</v>
      </c>
      <c r="CE73" s="154">
        <v>776.0</v>
      </c>
      <c r="CF73" s="154">
        <f t="shared" si="382"/>
        <v>663</v>
      </c>
      <c r="CG73" s="154">
        <f t="shared" si="395"/>
        <v>1641</v>
      </c>
      <c r="CH73" s="154">
        <v>404.0</v>
      </c>
      <c r="CI73" s="154">
        <v>404.0</v>
      </c>
      <c r="CJ73" s="154">
        <f t="shared" si="384"/>
        <v>0</v>
      </c>
      <c r="CK73" s="154">
        <v>272.0</v>
      </c>
      <c r="CL73" s="154">
        <v>272.0</v>
      </c>
      <c r="CM73" s="154">
        <f t="shared" si="385"/>
        <v>0</v>
      </c>
      <c r="CN73" s="154">
        <v>133.0</v>
      </c>
      <c r="CO73" s="154">
        <v>135.0</v>
      </c>
      <c r="CP73" s="154">
        <f t="shared" si="386"/>
        <v>2</v>
      </c>
      <c r="CQ73" s="154">
        <f t="shared" si="396"/>
        <v>1620</v>
      </c>
      <c r="CR73" s="154">
        <v>200.0</v>
      </c>
      <c r="CS73" s="154">
        <f t="shared" si="388"/>
        <v>1041</v>
      </c>
      <c r="CT73" s="154">
        <f t="shared" si="389"/>
        <v>1241</v>
      </c>
      <c r="CU73" s="154"/>
      <c r="CV73" s="154"/>
      <c r="CW73" s="154">
        <f t="shared" si="390"/>
        <v>2482</v>
      </c>
      <c r="CX73" s="154"/>
      <c r="CY73" s="154"/>
      <c r="CZ73" s="154"/>
      <c r="DA73" s="154">
        <f t="shared" si="391"/>
        <v>0</v>
      </c>
      <c r="DB73" s="154">
        <f t="shared" si="392"/>
        <v>5743</v>
      </c>
      <c r="DC73" s="171">
        <f t="shared" si="393"/>
        <v>104112</v>
      </c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</row>
    <row r="74" ht="15.75" customHeight="1">
      <c r="A74" s="167" t="s">
        <v>144</v>
      </c>
      <c r="B74" s="154">
        <v>281.0</v>
      </c>
      <c r="C74" s="154">
        <v>861.0</v>
      </c>
      <c r="D74" s="154">
        <v>1028.0</v>
      </c>
      <c r="E74" s="154">
        <v>1225.0</v>
      </c>
      <c r="F74" s="154">
        <v>8024.0</v>
      </c>
      <c r="G74" s="154">
        <f t="shared" si="359"/>
        <v>11419</v>
      </c>
      <c r="H74" s="154">
        <v>1807.0</v>
      </c>
      <c r="I74" s="154">
        <v>757.0</v>
      </c>
      <c r="J74" s="154">
        <v>114.0</v>
      </c>
      <c r="K74" s="156">
        <f t="shared" si="360"/>
        <v>2678</v>
      </c>
      <c r="L74" s="154">
        <v>47.0</v>
      </c>
      <c r="M74" s="154">
        <v>1044.0</v>
      </c>
      <c r="N74" s="154">
        <v>2304.0</v>
      </c>
      <c r="O74" s="156">
        <f t="shared" si="361"/>
        <v>3395</v>
      </c>
      <c r="P74" s="154">
        <v>3429.0</v>
      </c>
      <c r="Q74" s="154">
        <v>1750.0</v>
      </c>
      <c r="R74" s="154">
        <v>6986.0</v>
      </c>
      <c r="S74" s="156">
        <f t="shared" si="362"/>
        <v>12165</v>
      </c>
      <c r="T74" s="154">
        <v>736.0</v>
      </c>
      <c r="U74" s="154">
        <v>749.0</v>
      </c>
      <c r="V74" s="154">
        <v>2005.0</v>
      </c>
      <c r="W74" s="156">
        <f t="shared" si="363"/>
        <v>3490</v>
      </c>
      <c r="X74" s="156">
        <f t="shared" si="364"/>
        <v>21728</v>
      </c>
      <c r="Y74" s="154">
        <v>2961.0</v>
      </c>
      <c r="Z74" s="154">
        <v>1392.0</v>
      </c>
      <c r="AA74" s="154">
        <v>2434.0</v>
      </c>
      <c r="AB74" s="156">
        <f t="shared" si="365"/>
        <v>6787</v>
      </c>
      <c r="AC74" s="154">
        <v>654.0</v>
      </c>
      <c r="AD74" s="154">
        <v>822.0</v>
      </c>
      <c r="AE74" s="154">
        <v>500.0</v>
      </c>
      <c r="AF74" s="156">
        <f t="shared" si="366"/>
        <v>1976</v>
      </c>
      <c r="AG74" s="154">
        <v>2088.0</v>
      </c>
      <c r="AH74" s="154">
        <v>713.0</v>
      </c>
      <c r="AI74" s="154">
        <v>2296.0</v>
      </c>
      <c r="AJ74" s="156">
        <f t="shared" si="367"/>
        <v>5097</v>
      </c>
      <c r="AK74" s="154">
        <v>241.0</v>
      </c>
      <c r="AL74" s="154">
        <v>175.0</v>
      </c>
      <c r="AM74" s="154">
        <v>332.0</v>
      </c>
      <c r="AN74" s="156">
        <f t="shared" si="368"/>
        <v>748</v>
      </c>
      <c r="AO74" s="156">
        <f t="shared" si="369"/>
        <v>14608</v>
      </c>
      <c r="AP74" s="154">
        <v>489.0</v>
      </c>
      <c r="AQ74" s="154">
        <v>383.0</v>
      </c>
      <c r="AR74" s="156">
        <v>316.0</v>
      </c>
      <c r="AS74" s="154">
        <f t="shared" si="370"/>
        <v>1188</v>
      </c>
      <c r="AT74" s="154">
        <v>12.0</v>
      </c>
      <c r="AU74" s="154">
        <v>614.0</v>
      </c>
      <c r="AV74" s="154">
        <v>139.0</v>
      </c>
      <c r="AW74" s="154">
        <f t="shared" si="371"/>
        <v>765</v>
      </c>
      <c r="AX74" s="154">
        <v>1327.0</v>
      </c>
      <c r="AY74" s="154">
        <v>743.0</v>
      </c>
      <c r="AZ74" s="154">
        <v>247.0</v>
      </c>
      <c r="BA74" s="154">
        <f t="shared" si="372"/>
        <v>2317</v>
      </c>
      <c r="BB74" s="154">
        <v>641.0</v>
      </c>
      <c r="BC74" s="154">
        <v>343.0</v>
      </c>
      <c r="BD74" s="154">
        <v>120.0</v>
      </c>
      <c r="BE74" s="154">
        <f t="shared" si="373"/>
        <v>1104</v>
      </c>
      <c r="BF74" s="154">
        <f t="shared" si="374"/>
        <v>5374</v>
      </c>
      <c r="BG74" s="154">
        <v>9.0</v>
      </c>
      <c r="BH74" s="154">
        <v>250.0</v>
      </c>
      <c r="BI74" s="154">
        <v>445.0</v>
      </c>
      <c r="BJ74" s="154">
        <f t="shared" si="375"/>
        <v>704</v>
      </c>
      <c r="BK74" s="154">
        <v>1404.0</v>
      </c>
      <c r="BL74" s="154">
        <v>336.0</v>
      </c>
      <c r="BM74" s="154">
        <v>255.0</v>
      </c>
      <c r="BN74" s="154">
        <f t="shared" si="376"/>
        <v>1995</v>
      </c>
      <c r="BO74" s="154">
        <v>271.0</v>
      </c>
      <c r="BP74" s="154">
        <v>75.0</v>
      </c>
      <c r="BQ74" s="154">
        <v>206.0</v>
      </c>
      <c r="BR74" s="154">
        <f t="shared" si="377"/>
        <v>552</v>
      </c>
      <c r="BS74" s="154">
        <v>759.0</v>
      </c>
      <c r="BT74" s="154">
        <v>531.0</v>
      </c>
      <c r="BU74" s="154">
        <v>328.0</v>
      </c>
      <c r="BV74" s="154">
        <f t="shared" si="378"/>
        <v>1618</v>
      </c>
      <c r="BW74" s="154">
        <f t="shared" si="379"/>
        <v>4869</v>
      </c>
      <c r="BX74" s="154">
        <v>0.0</v>
      </c>
      <c r="BY74" s="154">
        <v>91.0</v>
      </c>
      <c r="BZ74" s="154">
        <f t="shared" si="380"/>
        <v>91</v>
      </c>
      <c r="CA74" s="154">
        <v>0.0</v>
      </c>
      <c r="CB74" s="154">
        <v>217.0</v>
      </c>
      <c r="CC74" s="154">
        <f t="shared" si="381"/>
        <v>217</v>
      </c>
      <c r="CD74" s="154">
        <v>6.0</v>
      </c>
      <c r="CE74" s="154">
        <v>60.0</v>
      </c>
      <c r="CF74" s="154">
        <f t="shared" si="382"/>
        <v>54</v>
      </c>
      <c r="CG74" s="154">
        <f t="shared" si="395"/>
        <v>682</v>
      </c>
      <c r="CH74" s="154">
        <v>237.0</v>
      </c>
      <c r="CI74" s="154">
        <v>237.0</v>
      </c>
      <c r="CJ74" s="154">
        <f t="shared" si="384"/>
        <v>0</v>
      </c>
      <c r="CK74" s="154">
        <v>382.0</v>
      </c>
      <c r="CL74" s="154">
        <v>382.0</v>
      </c>
      <c r="CM74" s="154">
        <f t="shared" si="385"/>
        <v>0</v>
      </c>
      <c r="CN74" s="154">
        <v>164.0</v>
      </c>
      <c r="CO74" s="154">
        <v>164.0</v>
      </c>
      <c r="CP74" s="154">
        <f t="shared" si="386"/>
        <v>0</v>
      </c>
      <c r="CQ74" s="154">
        <f t="shared" si="396"/>
        <v>1566</v>
      </c>
      <c r="CR74" s="154">
        <v>37.0</v>
      </c>
      <c r="CS74" s="154">
        <f t="shared" si="388"/>
        <v>362</v>
      </c>
      <c r="CT74" s="154">
        <f t="shared" si="389"/>
        <v>399</v>
      </c>
      <c r="CU74" s="154"/>
      <c r="CV74" s="154"/>
      <c r="CW74" s="154">
        <f t="shared" si="390"/>
        <v>798</v>
      </c>
      <c r="CX74" s="154"/>
      <c r="CY74" s="154"/>
      <c r="CZ74" s="154"/>
      <c r="DA74" s="154">
        <f t="shared" si="391"/>
        <v>0</v>
      </c>
      <c r="DB74" s="154">
        <f t="shared" si="392"/>
        <v>3046</v>
      </c>
      <c r="DC74" s="171">
        <f t="shared" si="393"/>
        <v>61044</v>
      </c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</row>
    <row r="75" ht="15.75" customHeight="1">
      <c r="A75" s="137" t="s">
        <v>145</v>
      </c>
      <c r="B75" s="141">
        <f t="shared" ref="B75:O75" si="397">SUM(B76:B80)</f>
        <v>129</v>
      </c>
      <c r="C75" s="141">
        <f t="shared" si="397"/>
        <v>1873</v>
      </c>
      <c r="D75" s="141">
        <f t="shared" si="397"/>
        <v>20256</v>
      </c>
      <c r="E75" s="141">
        <f t="shared" si="397"/>
        <v>21294</v>
      </c>
      <c r="F75" s="141">
        <f t="shared" si="397"/>
        <v>20398</v>
      </c>
      <c r="G75" s="141">
        <f t="shared" si="397"/>
        <v>63950</v>
      </c>
      <c r="H75" s="141">
        <f t="shared" si="397"/>
        <v>9641</v>
      </c>
      <c r="I75" s="141">
        <f t="shared" si="397"/>
        <v>14337</v>
      </c>
      <c r="J75" s="141">
        <f t="shared" si="397"/>
        <v>16984</v>
      </c>
      <c r="K75" s="142">
        <f t="shared" si="397"/>
        <v>40962</v>
      </c>
      <c r="L75" s="141">
        <f t="shared" si="397"/>
        <v>18490</v>
      </c>
      <c r="M75" s="141">
        <f t="shared" si="397"/>
        <v>19726</v>
      </c>
      <c r="N75" s="141">
        <f t="shared" si="397"/>
        <v>11332</v>
      </c>
      <c r="O75" s="142">
        <f t="shared" si="397"/>
        <v>49548</v>
      </c>
      <c r="P75" s="141">
        <f t="shared" ref="P75:R75" si="398">SUM(P77:P80)</f>
        <v>8001</v>
      </c>
      <c r="Q75" s="141">
        <f t="shared" si="398"/>
        <v>5344</v>
      </c>
      <c r="R75" s="141">
        <f t="shared" si="398"/>
        <v>5819</v>
      </c>
      <c r="S75" s="142">
        <f>SUM(S76:S80)</f>
        <v>19164</v>
      </c>
      <c r="T75" s="141">
        <f t="shared" ref="T75:V75" si="399">SUM(T77:T80)</f>
        <v>6271</v>
      </c>
      <c r="U75" s="141">
        <f t="shared" si="399"/>
        <v>6534</v>
      </c>
      <c r="V75" s="141">
        <f t="shared" si="399"/>
        <v>2447</v>
      </c>
      <c r="W75" s="142">
        <f t="shared" ref="W75:DC75" si="400">SUM(W76:W80)</f>
        <v>15252</v>
      </c>
      <c r="X75" s="142">
        <f t="shared" si="400"/>
        <v>124926</v>
      </c>
      <c r="Y75" s="141">
        <f t="shared" si="400"/>
        <v>1284</v>
      </c>
      <c r="Z75" s="141">
        <f t="shared" si="400"/>
        <v>1357</v>
      </c>
      <c r="AA75" s="141">
        <f t="shared" si="400"/>
        <v>633</v>
      </c>
      <c r="AB75" s="142">
        <f t="shared" si="400"/>
        <v>3274</v>
      </c>
      <c r="AC75" s="141">
        <f t="shared" si="400"/>
        <v>2820</v>
      </c>
      <c r="AD75" s="141">
        <f t="shared" si="400"/>
        <v>1217</v>
      </c>
      <c r="AE75" s="141">
        <f t="shared" si="400"/>
        <v>5111</v>
      </c>
      <c r="AF75" s="142">
        <f t="shared" si="400"/>
        <v>9148</v>
      </c>
      <c r="AG75" s="141">
        <f t="shared" si="400"/>
        <v>3565</v>
      </c>
      <c r="AH75" s="141">
        <f t="shared" si="400"/>
        <v>2837</v>
      </c>
      <c r="AI75" s="141">
        <f t="shared" si="400"/>
        <v>2045</v>
      </c>
      <c r="AJ75" s="142">
        <f t="shared" si="400"/>
        <v>8447</v>
      </c>
      <c r="AK75" s="141">
        <f t="shared" si="400"/>
        <v>1239</v>
      </c>
      <c r="AL75" s="141">
        <f t="shared" si="400"/>
        <v>1797</v>
      </c>
      <c r="AM75" s="141">
        <f t="shared" si="400"/>
        <v>1313</v>
      </c>
      <c r="AN75" s="142">
        <f t="shared" si="400"/>
        <v>4349</v>
      </c>
      <c r="AO75" s="142">
        <f t="shared" si="400"/>
        <v>25218</v>
      </c>
      <c r="AP75" s="141">
        <f t="shared" si="400"/>
        <v>2432</v>
      </c>
      <c r="AQ75" s="141">
        <f t="shared" si="400"/>
        <v>11343</v>
      </c>
      <c r="AR75" s="142">
        <f t="shared" si="400"/>
        <v>9422</v>
      </c>
      <c r="AS75" s="141">
        <f t="shared" si="400"/>
        <v>23197</v>
      </c>
      <c r="AT75" s="141">
        <f t="shared" si="400"/>
        <v>446</v>
      </c>
      <c r="AU75" s="141">
        <f t="shared" si="400"/>
        <v>111</v>
      </c>
      <c r="AV75" s="141">
        <f t="shared" si="400"/>
        <v>1560</v>
      </c>
      <c r="AW75" s="142">
        <f t="shared" si="400"/>
        <v>2117</v>
      </c>
      <c r="AX75" s="141">
        <f t="shared" si="400"/>
        <v>4222</v>
      </c>
      <c r="AY75" s="141">
        <f t="shared" si="400"/>
        <v>4599</v>
      </c>
      <c r="AZ75" s="141">
        <f t="shared" si="400"/>
        <v>3041</v>
      </c>
      <c r="BA75" s="142">
        <f t="shared" si="400"/>
        <v>11862</v>
      </c>
      <c r="BB75" s="141">
        <f t="shared" si="400"/>
        <v>1179</v>
      </c>
      <c r="BC75" s="141">
        <f t="shared" si="400"/>
        <v>2311</v>
      </c>
      <c r="BD75" s="141">
        <f t="shared" si="400"/>
        <v>1947</v>
      </c>
      <c r="BE75" s="142">
        <f t="shared" si="400"/>
        <v>5437</v>
      </c>
      <c r="BF75" s="141">
        <f t="shared" si="400"/>
        <v>42613</v>
      </c>
      <c r="BG75" s="141">
        <f t="shared" si="400"/>
        <v>2520</v>
      </c>
      <c r="BH75" s="141">
        <f t="shared" si="400"/>
        <v>685</v>
      </c>
      <c r="BI75" s="141">
        <f t="shared" si="400"/>
        <v>804</v>
      </c>
      <c r="BJ75" s="141">
        <f t="shared" si="400"/>
        <v>4009</v>
      </c>
      <c r="BK75" s="141">
        <f t="shared" si="400"/>
        <v>1136</v>
      </c>
      <c r="BL75" s="141">
        <f t="shared" si="400"/>
        <v>925</v>
      </c>
      <c r="BM75" s="141">
        <f t="shared" si="400"/>
        <v>1489</v>
      </c>
      <c r="BN75" s="141">
        <f t="shared" si="400"/>
        <v>3550</v>
      </c>
      <c r="BO75" s="141">
        <f t="shared" si="400"/>
        <v>3628</v>
      </c>
      <c r="BP75" s="141">
        <f t="shared" si="400"/>
        <v>1258</v>
      </c>
      <c r="BQ75" s="141">
        <f t="shared" si="400"/>
        <v>2105</v>
      </c>
      <c r="BR75" s="141">
        <f t="shared" si="400"/>
        <v>6991</v>
      </c>
      <c r="BS75" s="141">
        <f t="shared" si="400"/>
        <v>1762</v>
      </c>
      <c r="BT75" s="141">
        <f t="shared" si="400"/>
        <v>1515</v>
      </c>
      <c r="BU75" s="141">
        <f t="shared" si="400"/>
        <v>334</v>
      </c>
      <c r="BV75" s="141">
        <f t="shared" si="400"/>
        <v>3611</v>
      </c>
      <c r="BW75" s="141">
        <f t="shared" si="400"/>
        <v>18161</v>
      </c>
      <c r="BX75" s="141">
        <f t="shared" si="400"/>
        <v>967</v>
      </c>
      <c r="BY75" s="141">
        <f t="shared" si="400"/>
        <v>1403</v>
      </c>
      <c r="BZ75" s="141">
        <f t="shared" si="400"/>
        <v>436</v>
      </c>
      <c r="CA75" s="141">
        <f t="shared" si="400"/>
        <v>1151</v>
      </c>
      <c r="CB75" s="141">
        <f t="shared" si="400"/>
        <v>1309</v>
      </c>
      <c r="CC75" s="141">
        <f t="shared" si="400"/>
        <v>158</v>
      </c>
      <c r="CD75" s="141">
        <f t="shared" si="400"/>
        <v>223</v>
      </c>
      <c r="CE75" s="141">
        <f t="shared" si="400"/>
        <v>1045</v>
      </c>
      <c r="CF75" s="141">
        <f t="shared" si="400"/>
        <v>822</v>
      </c>
      <c r="CG75" s="141">
        <f t="shared" si="400"/>
        <v>6692</v>
      </c>
      <c r="CH75" s="141">
        <f t="shared" si="400"/>
        <v>666</v>
      </c>
      <c r="CI75" s="141">
        <f t="shared" si="400"/>
        <v>666</v>
      </c>
      <c r="CJ75" s="141">
        <f t="shared" si="400"/>
        <v>0</v>
      </c>
      <c r="CK75" s="141">
        <f t="shared" si="400"/>
        <v>651</v>
      </c>
      <c r="CL75" s="141">
        <f t="shared" si="400"/>
        <v>651</v>
      </c>
      <c r="CM75" s="141">
        <f t="shared" si="400"/>
        <v>0</v>
      </c>
      <c r="CN75" s="141">
        <f t="shared" si="400"/>
        <v>404</v>
      </c>
      <c r="CO75" s="141">
        <f t="shared" si="400"/>
        <v>424</v>
      </c>
      <c r="CP75" s="141">
        <f t="shared" si="400"/>
        <v>20</v>
      </c>
      <c r="CQ75" s="141">
        <f t="shared" si="400"/>
        <v>3354</v>
      </c>
      <c r="CR75" s="141">
        <f t="shared" si="400"/>
        <v>740</v>
      </c>
      <c r="CS75" s="141">
        <f t="shared" si="400"/>
        <v>1436</v>
      </c>
      <c r="CT75" s="141">
        <f t="shared" si="400"/>
        <v>2176</v>
      </c>
      <c r="CU75" s="141">
        <f t="shared" si="400"/>
        <v>0</v>
      </c>
      <c r="CV75" s="141">
        <f t="shared" si="400"/>
        <v>0</v>
      </c>
      <c r="CW75" s="141">
        <f t="shared" si="400"/>
        <v>4352</v>
      </c>
      <c r="CX75" s="141">
        <f t="shared" si="400"/>
        <v>0</v>
      </c>
      <c r="CY75" s="141">
        <f t="shared" si="400"/>
        <v>0</v>
      </c>
      <c r="CZ75" s="141">
        <f t="shared" si="400"/>
        <v>0</v>
      </c>
      <c r="DA75" s="141">
        <f t="shared" si="400"/>
        <v>0</v>
      </c>
      <c r="DB75" s="141">
        <f t="shared" si="400"/>
        <v>14398</v>
      </c>
      <c r="DC75" s="141">
        <f t="shared" si="400"/>
        <v>289266</v>
      </c>
      <c r="DD75" s="4"/>
      <c r="DE75" s="20">
        <f>SUM(AJ75,AN75,BF75,BW75,DB75)</f>
        <v>87968</v>
      </c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</row>
    <row r="76" ht="15.75" customHeight="1">
      <c r="A76" s="167" t="s">
        <v>146</v>
      </c>
      <c r="B76" s="154">
        <v>0.0</v>
      </c>
      <c r="C76" s="154">
        <v>0.0</v>
      </c>
      <c r="D76" s="154">
        <v>0.0</v>
      </c>
      <c r="E76" s="154">
        <v>0.0</v>
      </c>
      <c r="F76" s="154">
        <v>0.0</v>
      </c>
      <c r="G76" s="154">
        <f t="shared" ref="G76:G80" si="401">SUM(B76:F76)</f>
        <v>0</v>
      </c>
      <c r="H76" s="154">
        <v>0.0</v>
      </c>
      <c r="I76" s="154">
        <v>0.0</v>
      </c>
      <c r="J76" s="154">
        <v>0.0</v>
      </c>
      <c r="K76" s="156">
        <f t="shared" ref="K76:K80" si="402">SUM(H76:J76)</f>
        <v>0</v>
      </c>
      <c r="L76" s="154">
        <v>0.0</v>
      </c>
      <c r="M76" s="154">
        <v>0.0</v>
      </c>
      <c r="N76" s="154">
        <v>0.0</v>
      </c>
      <c r="O76" s="156">
        <f t="shared" ref="O76:O80" si="403">SUM(L76:N76)</f>
        <v>0</v>
      </c>
      <c r="P76" s="154">
        <v>0.0</v>
      </c>
      <c r="Q76" s="154">
        <v>0.0</v>
      </c>
      <c r="R76" s="154">
        <v>0.0</v>
      </c>
      <c r="S76" s="156">
        <f t="shared" ref="S76:S80" si="404">SUM(P76:R76)</f>
        <v>0</v>
      </c>
      <c r="T76" s="154">
        <v>0.0</v>
      </c>
      <c r="U76" s="154">
        <v>0.0</v>
      </c>
      <c r="V76" s="154">
        <v>0.0</v>
      </c>
      <c r="W76" s="156">
        <f t="shared" ref="W76:W80" si="405">SUM(T76:V76)</f>
        <v>0</v>
      </c>
      <c r="X76" s="156">
        <f t="shared" ref="X76:X80" si="406">SUM(W76,S76,O76,K76)</f>
        <v>0</v>
      </c>
      <c r="Y76" s="154">
        <v>0.0</v>
      </c>
      <c r="Z76" s="154">
        <v>0.0</v>
      </c>
      <c r="AA76" s="154">
        <v>0.0</v>
      </c>
      <c r="AB76" s="156">
        <f t="shared" ref="AB76:AB80" si="407">SUM(Y76:AA76)</f>
        <v>0</v>
      </c>
      <c r="AC76" s="154">
        <v>0.0</v>
      </c>
      <c r="AD76" s="154">
        <v>0.0</v>
      </c>
      <c r="AE76" s="154">
        <v>0.0</v>
      </c>
      <c r="AF76" s="156">
        <f t="shared" ref="AF76:AF80" si="408">SUM(AC76:AE76)</f>
        <v>0</v>
      </c>
      <c r="AG76" s="154">
        <v>0.0</v>
      </c>
      <c r="AH76" s="154">
        <v>0.0</v>
      </c>
      <c r="AI76" s="154">
        <v>0.0</v>
      </c>
      <c r="AJ76" s="156">
        <f t="shared" ref="AJ76:AJ80" si="409">SUM(AG76:AI76)</f>
        <v>0</v>
      </c>
      <c r="AK76" s="154">
        <v>0.0</v>
      </c>
      <c r="AL76" s="154">
        <v>0.0</v>
      </c>
      <c r="AM76" s="154">
        <v>0.0</v>
      </c>
      <c r="AN76" s="156">
        <f t="shared" ref="AN76:AN80" si="410">SUM(AK76:AM76)</f>
        <v>0</v>
      </c>
      <c r="AO76" s="156">
        <f t="shared" ref="AO76:AO80" si="411">SUM(AN76,AJ76,AF76,AB76)</f>
        <v>0</v>
      </c>
      <c r="AP76" s="154">
        <v>0.0</v>
      </c>
      <c r="AQ76" s="154">
        <v>0.0</v>
      </c>
      <c r="AR76" s="156">
        <v>0.0</v>
      </c>
      <c r="AS76" s="154">
        <f t="shared" ref="AS76:AS80" si="412">SUM(AP76:AR76)</f>
        <v>0</v>
      </c>
      <c r="AT76" s="154">
        <v>0.0</v>
      </c>
      <c r="AU76" s="154">
        <v>0.0</v>
      </c>
      <c r="AV76" s="154">
        <v>0.0</v>
      </c>
      <c r="AW76" s="154">
        <f t="shared" ref="AW76:AW80" si="413">SUM(AT76:AV76)</f>
        <v>0</v>
      </c>
      <c r="AX76" s="154">
        <v>0.0</v>
      </c>
      <c r="AY76" s="154">
        <v>0.0</v>
      </c>
      <c r="AZ76" s="154">
        <v>0.0</v>
      </c>
      <c r="BA76" s="154">
        <f t="shared" ref="BA76:BA80" si="414">SUM(AX76:AZ76)</f>
        <v>0</v>
      </c>
      <c r="BB76" s="154">
        <v>0.0</v>
      </c>
      <c r="BC76" s="154">
        <v>0.0</v>
      </c>
      <c r="BD76" s="154">
        <v>0.0</v>
      </c>
      <c r="BE76" s="154">
        <f t="shared" ref="BE76:BE80" si="415">SUM(BB76:BD76)</f>
        <v>0</v>
      </c>
      <c r="BF76" s="154">
        <f t="shared" ref="BF76:BF80" si="416">SUM(AS76,AW76,BA76,BE76)</f>
        <v>0</v>
      </c>
      <c r="BG76" s="154">
        <v>0.0</v>
      </c>
      <c r="BH76" s="154">
        <v>0.0</v>
      </c>
      <c r="BI76" s="154">
        <v>0.0</v>
      </c>
      <c r="BJ76" s="154">
        <f t="shared" ref="BJ76:BJ80" si="417">SUM(BG76:BI76)</f>
        <v>0</v>
      </c>
      <c r="BK76" s="154">
        <v>0.0</v>
      </c>
      <c r="BL76" s="154">
        <v>0.0</v>
      </c>
      <c r="BM76" s="154">
        <v>0.0</v>
      </c>
      <c r="BN76" s="154">
        <f t="shared" ref="BN76:BN80" si="418">SUM(BK76:BM76)</f>
        <v>0</v>
      </c>
      <c r="BO76" s="154">
        <v>0.0</v>
      </c>
      <c r="BP76" s="154">
        <v>0.0</v>
      </c>
      <c r="BQ76" s="154">
        <v>0.0</v>
      </c>
      <c r="BR76" s="154">
        <f t="shared" ref="BR76:BR80" si="419">SUM(BO76:BQ76)</f>
        <v>0</v>
      </c>
      <c r="BS76" s="154">
        <v>0.0</v>
      </c>
      <c r="BT76" s="154">
        <v>0.0</v>
      </c>
      <c r="BU76" s="154">
        <v>0.0</v>
      </c>
      <c r="BV76" s="154">
        <f t="shared" ref="BV76:BV80" si="420">SUM(BS76:BU76)</f>
        <v>0</v>
      </c>
      <c r="BW76" s="154">
        <f t="shared" ref="BW76:BW80" si="421">SUM(BJ76,BN76,BR76,BV76)</f>
        <v>0</v>
      </c>
      <c r="BX76" s="154">
        <v>0.0</v>
      </c>
      <c r="BY76" s="154">
        <v>0.0</v>
      </c>
      <c r="BZ76" s="154">
        <f t="shared" ref="BZ76:BZ80" si="422">BY76-BX76</f>
        <v>0</v>
      </c>
      <c r="CA76" s="154">
        <v>0.0</v>
      </c>
      <c r="CB76" s="154">
        <v>0.0</v>
      </c>
      <c r="CC76" s="154">
        <f t="shared" ref="CC76:CC80" si="423">CB76-CA76</f>
        <v>0</v>
      </c>
      <c r="CD76" s="154">
        <v>0.0</v>
      </c>
      <c r="CE76" s="154">
        <v>0.0</v>
      </c>
      <c r="CF76" s="154">
        <f t="shared" ref="CF76:CF80" si="424">CE76-CD76</f>
        <v>0</v>
      </c>
      <c r="CG76" s="154">
        <f t="shared" ref="CG76:CG80" si="425">SUM(BX76:CE76)</f>
        <v>0</v>
      </c>
      <c r="CH76" s="125">
        <v>0.0</v>
      </c>
      <c r="CI76" s="125">
        <v>0.0</v>
      </c>
      <c r="CJ76" s="154">
        <f t="shared" ref="CJ76:CJ80" si="426">CI76-CH76</f>
        <v>0</v>
      </c>
      <c r="CK76" s="125">
        <v>0.0</v>
      </c>
      <c r="CL76" s="125">
        <v>0.0</v>
      </c>
      <c r="CM76" s="154">
        <f t="shared" ref="CM76:CM80" si="427">CL76-CK76</f>
        <v>0</v>
      </c>
      <c r="CN76" s="125">
        <v>20.0</v>
      </c>
      <c r="CO76" s="125">
        <v>0.0</v>
      </c>
      <c r="CP76" s="154">
        <f t="shared" ref="CP76:CP80" si="428">CO76-CN76</f>
        <v>-20</v>
      </c>
      <c r="CQ76" s="154">
        <f t="shared" ref="CQ76:CQ77" si="429">SUM(CH76:CO76)</f>
        <v>20</v>
      </c>
      <c r="CR76" s="125">
        <v>0.0</v>
      </c>
      <c r="CS76" s="154">
        <v>0.0</v>
      </c>
      <c r="CT76" s="154">
        <f t="shared" ref="CT76:CT80" si="430">CR76+CS76</f>
        <v>0</v>
      </c>
      <c r="CU76" s="125"/>
      <c r="CV76" s="125"/>
      <c r="CW76" s="154">
        <f t="shared" ref="CW76:CW80" si="431">SUM(CR76:CV76)</f>
        <v>0</v>
      </c>
      <c r="CX76" s="125"/>
      <c r="CY76" s="125"/>
      <c r="CZ76" s="125"/>
      <c r="DA76" s="154">
        <f t="shared" ref="DA76:DA80" si="432">SUM(CX76:CZ76)</f>
        <v>0</v>
      </c>
      <c r="DB76" s="154">
        <f t="shared" ref="DB76:DB80" si="433">SUM(CG76,CQ76,CW76,DA76)</f>
        <v>20</v>
      </c>
      <c r="DC76" s="171">
        <f t="shared" ref="DC76:DC80" si="434">SUM(A76,G76,X76,AO76,BF76,BW76,DB76)</f>
        <v>20</v>
      </c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</row>
    <row r="77" ht="15.75" customHeight="1">
      <c r="A77" s="167" t="s">
        <v>147</v>
      </c>
      <c r="B77" s="154">
        <v>109.0</v>
      </c>
      <c r="C77" s="154">
        <v>1023.0</v>
      </c>
      <c r="D77" s="154">
        <v>4457.0</v>
      </c>
      <c r="E77" s="154">
        <v>8694.0</v>
      </c>
      <c r="F77" s="154">
        <v>11318.0</v>
      </c>
      <c r="G77" s="154">
        <f t="shared" si="401"/>
        <v>25601</v>
      </c>
      <c r="H77" s="154">
        <v>4936.0</v>
      </c>
      <c r="I77" s="154">
        <v>4644.0</v>
      </c>
      <c r="J77" s="154">
        <v>6199.0</v>
      </c>
      <c r="K77" s="156">
        <f t="shared" si="402"/>
        <v>15779</v>
      </c>
      <c r="L77" s="154">
        <v>7616.0</v>
      </c>
      <c r="M77" s="154">
        <v>14591.0</v>
      </c>
      <c r="N77" s="154">
        <v>7148.0</v>
      </c>
      <c r="O77" s="156">
        <f t="shared" si="403"/>
        <v>29355</v>
      </c>
      <c r="P77" s="154">
        <v>5542.0</v>
      </c>
      <c r="Q77" s="154">
        <v>3519.0</v>
      </c>
      <c r="R77" s="154">
        <v>2564.0</v>
      </c>
      <c r="S77" s="156">
        <f t="shared" si="404"/>
        <v>11625</v>
      </c>
      <c r="T77" s="154">
        <v>4341.0</v>
      </c>
      <c r="U77" s="154">
        <v>4942.0</v>
      </c>
      <c r="V77" s="154">
        <v>1511.0</v>
      </c>
      <c r="W77" s="156">
        <f t="shared" si="405"/>
        <v>10794</v>
      </c>
      <c r="X77" s="156">
        <f t="shared" si="406"/>
        <v>67553</v>
      </c>
      <c r="Y77" s="154">
        <v>349.0</v>
      </c>
      <c r="Z77" s="154">
        <v>260.0</v>
      </c>
      <c r="AA77" s="154">
        <v>418.0</v>
      </c>
      <c r="AB77" s="156">
        <f t="shared" si="407"/>
        <v>1027</v>
      </c>
      <c r="AC77" s="154">
        <v>1630.0</v>
      </c>
      <c r="AD77" s="154">
        <v>330.0</v>
      </c>
      <c r="AE77" s="154">
        <v>1262.0</v>
      </c>
      <c r="AF77" s="156">
        <f t="shared" si="408"/>
        <v>3222</v>
      </c>
      <c r="AG77" s="154">
        <v>511.0</v>
      </c>
      <c r="AH77" s="154">
        <v>2460.0</v>
      </c>
      <c r="AI77" s="154">
        <v>1046.0</v>
      </c>
      <c r="AJ77" s="156">
        <f t="shared" si="409"/>
        <v>4017</v>
      </c>
      <c r="AK77" s="154">
        <v>817.0</v>
      </c>
      <c r="AL77" s="154">
        <v>666.0</v>
      </c>
      <c r="AM77" s="154">
        <v>534.0</v>
      </c>
      <c r="AN77" s="156">
        <f t="shared" si="410"/>
        <v>2017</v>
      </c>
      <c r="AO77" s="156">
        <f t="shared" si="411"/>
        <v>10283</v>
      </c>
      <c r="AP77" s="154">
        <v>1214.0</v>
      </c>
      <c r="AQ77" s="154">
        <v>5853.0</v>
      </c>
      <c r="AR77" s="156">
        <v>3355.0</v>
      </c>
      <c r="AS77" s="154">
        <f t="shared" si="412"/>
        <v>10422</v>
      </c>
      <c r="AT77" s="154">
        <v>150.0</v>
      </c>
      <c r="AU77" s="154">
        <v>66.0</v>
      </c>
      <c r="AV77" s="154">
        <v>806.0</v>
      </c>
      <c r="AW77" s="154">
        <f t="shared" si="413"/>
        <v>1022</v>
      </c>
      <c r="AX77" s="154">
        <v>1012.0</v>
      </c>
      <c r="AY77" s="154">
        <v>1439.0</v>
      </c>
      <c r="AZ77" s="154">
        <v>324.0</v>
      </c>
      <c r="BA77" s="154">
        <f t="shared" si="414"/>
        <v>2775</v>
      </c>
      <c r="BB77" s="154">
        <v>276.0</v>
      </c>
      <c r="BC77" s="154">
        <v>246.0</v>
      </c>
      <c r="BD77" s="154">
        <v>256.0</v>
      </c>
      <c r="BE77" s="154">
        <f t="shared" si="415"/>
        <v>778</v>
      </c>
      <c r="BF77" s="154">
        <f t="shared" si="416"/>
        <v>14997</v>
      </c>
      <c r="BG77" s="154">
        <v>578.0</v>
      </c>
      <c r="BH77" s="154">
        <v>107.0</v>
      </c>
      <c r="BI77" s="154">
        <v>283.0</v>
      </c>
      <c r="BJ77" s="154">
        <f t="shared" si="417"/>
        <v>968</v>
      </c>
      <c r="BK77" s="154">
        <v>287.0</v>
      </c>
      <c r="BL77" s="154">
        <v>216.0</v>
      </c>
      <c r="BM77" s="154">
        <v>546.0</v>
      </c>
      <c r="BN77" s="154">
        <f t="shared" si="418"/>
        <v>1049</v>
      </c>
      <c r="BO77" s="154">
        <v>1550.0</v>
      </c>
      <c r="BP77" s="154">
        <v>257.0</v>
      </c>
      <c r="BQ77" s="154">
        <v>510.0</v>
      </c>
      <c r="BR77" s="154">
        <f t="shared" si="419"/>
        <v>2317</v>
      </c>
      <c r="BS77" s="154">
        <v>800.0</v>
      </c>
      <c r="BT77" s="154">
        <v>303.0</v>
      </c>
      <c r="BU77" s="154">
        <v>3.0</v>
      </c>
      <c r="BV77" s="154">
        <f t="shared" si="420"/>
        <v>1106</v>
      </c>
      <c r="BW77" s="154">
        <f t="shared" si="421"/>
        <v>5440</v>
      </c>
      <c r="BX77" s="154">
        <v>667.0</v>
      </c>
      <c r="BY77" s="154">
        <v>764.0</v>
      </c>
      <c r="BZ77" s="154">
        <f t="shared" si="422"/>
        <v>97</v>
      </c>
      <c r="CA77" s="154">
        <v>606.0</v>
      </c>
      <c r="CB77" s="154">
        <v>605.0</v>
      </c>
      <c r="CC77" s="154">
        <f t="shared" si="423"/>
        <v>-1</v>
      </c>
      <c r="CD77" s="154">
        <v>156.0</v>
      </c>
      <c r="CE77" s="154">
        <v>435.0</v>
      </c>
      <c r="CF77" s="154">
        <f t="shared" si="424"/>
        <v>279</v>
      </c>
      <c r="CG77" s="154">
        <f t="shared" si="425"/>
        <v>3329</v>
      </c>
      <c r="CH77" s="154">
        <v>166.0</v>
      </c>
      <c r="CI77" s="154">
        <v>166.0</v>
      </c>
      <c r="CJ77" s="154">
        <f t="shared" si="426"/>
        <v>0</v>
      </c>
      <c r="CK77" s="154">
        <v>129.0</v>
      </c>
      <c r="CL77" s="154">
        <v>129.0</v>
      </c>
      <c r="CM77" s="154">
        <f t="shared" si="427"/>
        <v>0</v>
      </c>
      <c r="CN77" s="154">
        <v>159.0</v>
      </c>
      <c r="CO77" s="154">
        <v>159.0</v>
      </c>
      <c r="CP77" s="154">
        <f t="shared" si="428"/>
        <v>0</v>
      </c>
      <c r="CQ77" s="154">
        <f t="shared" si="429"/>
        <v>908</v>
      </c>
      <c r="CR77" s="154">
        <v>120.0</v>
      </c>
      <c r="CS77" s="154">
        <f>SUM(BZ77,CC77,CF77,CJ77,CM77,CP77)-20</f>
        <v>355</v>
      </c>
      <c r="CT77" s="154">
        <f t="shared" si="430"/>
        <v>475</v>
      </c>
      <c r="CU77" s="154"/>
      <c r="CV77" s="154"/>
      <c r="CW77" s="154">
        <f t="shared" si="431"/>
        <v>950</v>
      </c>
      <c r="CX77" s="154"/>
      <c r="CY77" s="154"/>
      <c r="CZ77" s="154"/>
      <c r="DA77" s="154">
        <f t="shared" si="432"/>
        <v>0</v>
      </c>
      <c r="DB77" s="154">
        <f t="shared" si="433"/>
        <v>5187</v>
      </c>
      <c r="DC77" s="171">
        <f t="shared" si="434"/>
        <v>129061</v>
      </c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</row>
    <row r="78" ht="15.75" customHeight="1">
      <c r="A78" s="169" t="s">
        <v>148</v>
      </c>
      <c r="B78" s="154">
        <v>8.0</v>
      </c>
      <c r="C78" s="154">
        <v>680.0</v>
      </c>
      <c r="D78" s="154">
        <v>11173.0</v>
      </c>
      <c r="E78" s="154">
        <v>10402.0</v>
      </c>
      <c r="F78" s="154">
        <v>6930.0</v>
      </c>
      <c r="G78" s="154">
        <f t="shared" si="401"/>
        <v>29193</v>
      </c>
      <c r="H78" s="154">
        <v>3498.0</v>
      </c>
      <c r="I78" s="154">
        <v>8748.0</v>
      </c>
      <c r="J78" s="154">
        <v>8734.0</v>
      </c>
      <c r="K78" s="156">
        <f t="shared" si="402"/>
        <v>20980</v>
      </c>
      <c r="L78" s="154">
        <v>8093.0</v>
      </c>
      <c r="M78" s="154">
        <v>3913.0</v>
      </c>
      <c r="N78" s="154">
        <v>3546.0</v>
      </c>
      <c r="O78" s="156">
        <f t="shared" si="403"/>
        <v>15552</v>
      </c>
      <c r="P78" s="154">
        <v>1943.0</v>
      </c>
      <c r="Q78" s="154">
        <v>1152.0</v>
      </c>
      <c r="R78" s="154">
        <v>2051.0</v>
      </c>
      <c r="S78" s="156">
        <f t="shared" si="404"/>
        <v>5146</v>
      </c>
      <c r="T78" s="154">
        <v>1323.0</v>
      </c>
      <c r="U78" s="154">
        <v>845.0</v>
      </c>
      <c r="V78" s="154">
        <v>382.0</v>
      </c>
      <c r="W78" s="156">
        <f t="shared" si="405"/>
        <v>2550</v>
      </c>
      <c r="X78" s="156">
        <f t="shared" si="406"/>
        <v>44228</v>
      </c>
      <c r="Y78" s="154">
        <v>684.0</v>
      </c>
      <c r="Z78" s="154">
        <v>848.0</v>
      </c>
      <c r="AA78" s="154">
        <v>197.0</v>
      </c>
      <c r="AB78" s="156">
        <f t="shared" si="407"/>
        <v>1729</v>
      </c>
      <c r="AC78" s="154">
        <v>451.0</v>
      </c>
      <c r="AD78" s="154">
        <v>210.0</v>
      </c>
      <c r="AE78" s="154">
        <v>1678.0</v>
      </c>
      <c r="AF78" s="156">
        <f t="shared" si="408"/>
        <v>2339</v>
      </c>
      <c r="AG78" s="154">
        <v>1975.0</v>
      </c>
      <c r="AH78" s="154">
        <v>295.0</v>
      </c>
      <c r="AI78" s="154">
        <v>544.0</v>
      </c>
      <c r="AJ78" s="156">
        <f t="shared" si="409"/>
        <v>2814</v>
      </c>
      <c r="AK78" s="154">
        <v>167.0</v>
      </c>
      <c r="AL78" s="154">
        <v>562.0</v>
      </c>
      <c r="AM78" s="154">
        <v>522.0</v>
      </c>
      <c r="AN78" s="156">
        <f t="shared" si="410"/>
        <v>1251</v>
      </c>
      <c r="AO78" s="156">
        <f t="shared" si="411"/>
        <v>8133</v>
      </c>
      <c r="AP78" s="154">
        <v>749.0</v>
      </c>
      <c r="AQ78" s="154">
        <v>5238.0</v>
      </c>
      <c r="AR78" s="156">
        <v>4048.0</v>
      </c>
      <c r="AS78" s="154">
        <f t="shared" si="412"/>
        <v>10035</v>
      </c>
      <c r="AT78" s="154">
        <v>136.0</v>
      </c>
      <c r="AU78" s="154">
        <v>5.0</v>
      </c>
      <c r="AV78" s="154">
        <v>120.0</v>
      </c>
      <c r="AW78" s="154">
        <f t="shared" si="413"/>
        <v>261</v>
      </c>
      <c r="AX78" s="154">
        <v>1848.0</v>
      </c>
      <c r="AY78" s="154">
        <v>2332.0</v>
      </c>
      <c r="AZ78" s="154">
        <v>2269.0</v>
      </c>
      <c r="BA78" s="154">
        <f t="shared" si="414"/>
        <v>6449</v>
      </c>
      <c r="BB78" s="154">
        <v>879.0</v>
      </c>
      <c r="BC78" s="154">
        <v>1803.0</v>
      </c>
      <c r="BD78" s="154">
        <v>1433.0</v>
      </c>
      <c r="BE78" s="154">
        <f t="shared" si="415"/>
        <v>4115</v>
      </c>
      <c r="BF78" s="154">
        <f t="shared" si="416"/>
        <v>20860</v>
      </c>
      <c r="BG78" s="154">
        <v>1387.0</v>
      </c>
      <c r="BH78" s="154">
        <v>558.0</v>
      </c>
      <c r="BI78" s="154">
        <v>313.0</v>
      </c>
      <c r="BJ78" s="154">
        <f t="shared" si="417"/>
        <v>2258</v>
      </c>
      <c r="BK78" s="154">
        <v>426.0</v>
      </c>
      <c r="BL78" s="154">
        <v>375.0</v>
      </c>
      <c r="BM78" s="154">
        <v>826.0</v>
      </c>
      <c r="BN78" s="154">
        <f t="shared" si="418"/>
        <v>1627</v>
      </c>
      <c r="BO78" s="154">
        <v>1433.0</v>
      </c>
      <c r="BP78" s="154">
        <v>661.0</v>
      </c>
      <c r="BQ78" s="154">
        <v>967.0</v>
      </c>
      <c r="BR78" s="154">
        <f t="shared" si="419"/>
        <v>3061</v>
      </c>
      <c r="BS78" s="154">
        <v>421.0</v>
      </c>
      <c r="BT78" s="154">
        <v>331.0</v>
      </c>
      <c r="BU78" s="154">
        <v>170.0</v>
      </c>
      <c r="BV78" s="154">
        <f t="shared" si="420"/>
        <v>922</v>
      </c>
      <c r="BW78" s="154">
        <f t="shared" si="421"/>
        <v>7868</v>
      </c>
      <c r="BX78" s="154">
        <v>0.0</v>
      </c>
      <c r="BY78" s="154">
        <v>283.0</v>
      </c>
      <c r="BZ78" s="154">
        <f t="shared" si="422"/>
        <v>283</v>
      </c>
      <c r="CA78" s="154">
        <v>426.0</v>
      </c>
      <c r="CB78" s="154">
        <f>346+154</f>
        <v>500</v>
      </c>
      <c r="CC78" s="154">
        <f t="shared" si="423"/>
        <v>74</v>
      </c>
      <c r="CD78" s="154">
        <v>58.0</v>
      </c>
      <c r="CE78" s="154">
        <v>339.0</v>
      </c>
      <c r="CF78" s="154">
        <f t="shared" si="424"/>
        <v>281</v>
      </c>
      <c r="CG78" s="154">
        <f t="shared" si="425"/>
        <v>1963</v>
      </c>
      <c r="CH78" s="154">
        <v>222.0</v>
      </c>
      <c r="CI78" s="154">
        <f>222+0</f>
        <v>222</v>
      </c>
      <c r="CJ78" s="154">
        <f t="shared" si="426"/>
        <v>0</v>
      </c>
      <c r="CK78" s="154">
        <f t="shared" ref="CK78:CL78" si="435">246+209</f>
        <v>455</v>
      </c>
      <c r="CL78" s="154">
        <f t="shared" si="435"/>
        <v>455</v>
      </c>
      <c r="CM78" s="154">
        <f t="shared" si="427"/>
        <v>0</v>
      </c>
      <c r="CN78" s="154">
        <f>72</f>
        <v>72</v>
      </c>
      <c r="CO78" s="154">
        <f>76+32</f>
        <v>108</v>
      </c>
      <c r="CP78" s="154">
        <f t="shared" si="428"/>
        <v>36</v>
      </c>
      <c r="CQ78" s="154">
        <f>SUM(CH78:CN78)</f>
        <v>1426</v>
      </c>
      <c r="CR78" s="154">
        <f>337+209</f>
        <v>546</v>
      </c>
      <c r="CS78" s="154">
        <f t="shared" ref="CS78:CS80" si="436">SUM(BZ78,CC78,CF78,CJ78,CM78,CP78)</f>
        <v>674</v>
      </c>
      <c r="CT78" s="154">
        <f t="shared" si="430"/>
        <v>1220</v>
      </c>
      <c r="CU78" s="154"/>
      <c r="CV78" s="154"/>
      <c r="CW78" s="154">
        <f t="shared" si="431"/>
        <v>2440</v>
      </c>
      <c r="CX78" s="154"/>
      <c r="CY78" s="154"/>
      <c r="CZ78" s="154"/>
      <c r="DA78" s="154">
        <f t="shared" si="432"/>
        <v>0</v>
      </c>
      <c r="DB78" s="154">
        <f t="shared" si="433"/>
        <v>5829</v>
      </c>
      <c r="DC78" s="171">
        <f t="shared" si="434"/>
        <v>116111</v>
      </c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</row>
    <row r="79" ht="15.75" customHeight="1">
      <c r="A79" s="167" t="s">
        <v>149</v>
      </c>
      <c r="B79" s="154">
        <v>12.0</v>
      </c>
      <c r="C79" s="154">
        <v>170.0</v>
      </c>
      <c r="D79" s="154">
        <v>4626.0</v>
      </c>
      <c r="E79" s="154">
        <v>2198.0</v>
      </c>
      <c r="F79" s="154">
        <v>2149.0</v>
      </c>
      <c r="G79" s="154">
        <f t="shared" si="401"/>
        <v>9155</v>
      </c>
      <c r="H79" s="154">
        <v>1133.0</v>
      </c>
      <c r="I79" s="154">
        <v>945.0</v>
      </c>
      <c r="J79" s="154">
        <v>2050.0</v>
      </c>
      <c r="K79" s="156">
        <f t="shared" si="402"/>
        <v>4128</v>
      </c>
      <c r="L79" s="154">
        <v>2781.0</v>
      </c>
      <c r="M79" s="154">
        <v>1222.0</v>
      </c>
      <c r="N79" s="154">
        <v>638.0</v>
      </c>
      <c r="O79" s="156">
        <f t="shared" si="403"/>
        <v>4641</v>
      </c>
      <c r="P79" s="154">
        <v>516.0</v>
      </c>
      <c r="Q79" s="154">
        <v>673.0</v>
      </c>
      <c r="R79" s="154">
        <v>1204.0</v>
      </c>
      <c r="S79" s="156">
        <f t="shared" si="404"/>
        <v>2393</v>
      </c>
      <c r="T79" s="154">
        <v>607.0</v>
      </c>
      <c r="U79" s="154">
        <v>747.0</v>
      </c>
      <c r="V79" s="154">
        <v>554.0</v>
      </c>
      <c r="W79" s="156">
        <f t="shared" si="405"/>
        <v>1908</v>
      </c>
      <c r="X79" s="156">
        <f t="shared" si="406"/>
        <v>13070</v>
      </c>
      <c r="Y79" s="154">
        <v>251.0</v>
      </c>
      <c r="Z79" s="154">
        <v>249.0</v>
      </c>
      <c r="AA79" s="154">
        <v>18.0</v>
      </c>
      <c r="AB79" s="156">
        <f t="shared" si="407"/>
        <v>518</v>
      </c>
      <c r="AC79" s="154">
        <v>739.0</v>
      </c>
      <c r="AD79" s="154">
        <v>677.0</v>
      </c>
      <c r="AE79" s="154">
        <v>2171.0</v>
      </c>
      <c r="AF79" s="156">
        <f t="shared" si="408"/>
        <v>3587</v>
      </c>
      <c r="AG79" s="154">
        <v>1079.0</v>
      </c>
      <c r="AH79" s="154">
        <v>82.0</v>
      </c>
      <c r="AI79" s="154">
        <v>455.0</v>
      </c>
      <c r="AJ79" s="156">
        <f t="shared" si="409"/>
        <v>1616</v>
      </c>
      <c r="AK79" s="154">
        <v>201.0</v>
      </c>
      <c r="AL79" s="154">
        <v>560.0</v>
      </c>
      <c r="AM79" s="154">
        <v>200.0</v>
      </c>
      <c r="AN79" s="156">
        <f t="shared" si="410"/>
        <v>961</v>
      </c>
      <c r="AO79" s="156">
        <f t="shared" si="411"/>
        <v>6682</v>
      </c>
      <c r="AP79" s="154">
        <v>391.0</v>
      </c>
      <c r="AQ79" s="154">
        <v>251.0</v>
      </c>
      <c r="AR79" s="156">
        <v>2019.0</v>
      </c>
      <c r="AS79" s="154">
        <f t="shared" si="412"/>
        <v>2661</v>
      </c>
      <c r="AT79" s="154">
        <v>160.0</v>
      </c>
      <c r="AU79" s="154">
        <v>40.0</v>
      </c>
      <c r="AV79" s="154">
        <v>634.0</v>
      </c>
      <c r="AW79" s="154">
        <f t="shared" si="413"/>
        <v>834</v>
      </c>
      <c r="AX79" s="154">
        <v>1288.0</v>
      </c>
      <c r="AY79" s="154">
        <v>695.0</v>
      </c>
      <c r="AZ79" s="154">
        <v>374.0</v>
      </c>
      <c r="BA79" s="154">
        <f t="shared" si="414"/>
        <v>2357</v>
      </c>
      <c r="BB79" s="154">
        <v>24.0</v>
      </c>
      <c r="BC79" s="154">
        <v>260.0</v>
      </c>
      <c r="BD79" s="154">
        <v>242.0</v>
      </c>
      <c r="BE79" s="154">
        <f t="shared" si="415"/>
        <v>526</v>
      </c>
      <c r="BF79" s="154">
        <f t="shared" si="416"/>
        <v>6378</v>
      </c>
      <c r="BG79" s="154">
        <v>368.0</v>
      </c>
      <c r="BH79" s="154">
        <v>4.0</v>
      </c>
      <c r="BI79" s="154">
        <v>208.0</v>
      </c>
      <c r="BJ79" s="154">
        <f t="shared" si="417"/>
        <v>580</v>
      </c>
      <c r="BK79" s="154">
        <v>369.0</v>
      </c>
      <c r="BL79" s="154">
        <v>252.0</v>
      </c>
      <c r="BM79" s="154">
        <v>106.0</v>
      </c>
      <c r="BN79" s="154">
        <f t="shared" si="418"/>
        <v>727</v>
      </c>
      <c r="BO79" s="154">
        <v>501.0</v>
      </c>
      <c r="BP79" s="154">
        <v>325.0</v>
      </c>
      <c r="BQ79" s="154">
        <v>230.0</v>
      </c>
      <c r="BR79" s="154">
        <f t="shared" si="419"/>
        <v>1056</v>
      </c>
      <c r="BS79" s="154">
        <v>488.0</v>
      </c>
      <c r="BT79" s="154">
        <v>835.0</v>
      </c>
      <c r="BU79" s="154">
        <v>161.0</v>
      </c>
      <c r="BV79" s="154">
        <f t="shared" si="420"/>
        <v>1484</v>
      </c>
      <c r="BW79" s="154">
        <f t="shared" si="421"/>
        <v>3847</v>
      </c>
      <c r="BX79" s="154">
        <v>300.0</v>
      </c>
      <c r="BY79" s="154">
        <v>356.0</v>
      </c>
      <c r="BZ79" s="154">
        <f t="shared" si="422"/>
        <v>56</v>
      </c>
      <c r="CA79" s="154">
        <v>119.0</v>
      </c>
      <c r="CB79" s="154">
        <v>119.0</v>
      </c>
      <c r="CC79" s="154">
        <f t="shared" si="423"/>
        <v>0</v>
      </c>
      <c r="CD79" s="154">
        <v>9.0</v>
      </c>
      <c r="CE79" s="154">
        <v>248.0</v>
      </c>
      <c r="CF79" s="154">
        <f t="shared" si="424"/>
        <v>239</v>
      </c>
      <c r="CG79" s="154">
        <f t="shared" si="425"/>
        <v>1207</v>
      </c>
      <c r="CH79" s="154">
        <v>277.0</v>
      </c>
      <c r="CI79" s="154">
        <v>277.0</v>
      </c>
      <c r="CJ79" s="154">
        <f t="shared" si="426"/>
        <v>0</v>
      </c>
      <c r="CK79" s="154">
        <v>67.0</v>
      </c>
      <c r="CL79" s="154">
        <v>67.0</v>
      </c>
      <c r="CM79" s="154">
        <f t="shared" si="427"/>
        <v>0</v>
      </c>
      <c r="CN79" s="154">
        <v>126.0</v>
      </c>
      <c r="CO79" s="154">
        <v>130.0</v>
      </c>
      <c r="CP79" s="154">
        <f t="shared" si="428"/>
        <v>4</v>
      </c>
      <c r="CQ79" s="154">
        <f t="shared" ref="CQ79:CQ80" si="437">SUM(CH79:CO79)</f>
        <v>944</v>
      </c>
      <c r="CR79" s="154">
        <v>74.0</v>
      </c>
      <c r="CS79" s="154">
        <f t="shared" si="436"/>
        <v>299</v>
      </c>
      <c r="CT79" s="154">
        <f t="shared" si="430"/>
        <v>373</v>
      </c>
      <c r="CU79" s="154"/>
      <c r="CV79" s="154"/>
      <c r="CW79" s="154">
        <f t="shared" si="431"/>
        <v>746</v>
      </c>
      <c r="CX79" s="154"/>
      <c r="CY79" s="154"/>
      <c r="CZ79" s="154"/>
      <c r="DA79" s="154">
        <f t="shared" si="432"/>
        <v>0</v>
      </c>
      <c r="DB79" s="154">
        <f t="shared" si="433"/>
        <v>2897</v>
      </c>
      <c r="DC79" s="171">
        <f t="shared" si="434"/>
        <v>42029</v>
      </c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</row>
    <row r="80" ht="15.75" customHeight="1">
      <c r="A80" s="167" t="s">
        <v>150</v>
      </c>
      <c r="B80" s="154">
        <v>0.0</v>
      </c>
      <c r="C80" s="154">
        <v>0.0</v>
      </c>
      <c r="D80" s="154">
        <v>0.0</v>
      </c>
      <c r="E80" s="154">
        <v>0.0</v>
      </c>
      <c r="F80" s="154">
        <v>1.0</v>
      </c>
      <c r="G80" s="154">
        <f t="shared" si="401"/>
        <v>1</v>
      </c>
      <c r="H80" s="154">
        <v>74.0</v>
      </c>
      <c r="I80" s="154">
        <v>0.0</v>
      </c>
      <c r="J80" s="154">
        <v>1.0</v>
      </c>
      <c r="K80" s="156">
        <f t="shared" si="402"/>
        <v>75</v>
      </c>
      <c r="L80" s="154">
        <v>0.0</v>
      </c>
      <c r="M80" s="154">
        <v>0.0</v>
      </c>
      <c r="N80" s="154">
        <v>0.0</v>
      </c>
      <c r="O80" s="156">
        <f t="shared" si="403"/>
        <v>0</v>
      </c>
      <c r="P80" s="154">
        <v>0.0</v>
      </c>
      <c r="Q80" s="154">
        <v>0.0</v>
      </c>
      <c r="R80" s="154">
        <v>0.0</v>
      </c>
      <c r="S80" s="156">
        <f t="shared" si="404"/>
        <v>0</v>
      </c>
      <c r="T80" s="154">
        <v>0.0</v>
      </c>
      <c r="U80" s="154">
        <v>0.0</v>
      </c>
      <c r="V80" s="154">
        <v>0.0</v>
      </c>
      <c r="W80" s="156">
        <f t="shared" si="405"/>
        <v>0</v>
      </c>
      <c r="X80" s="156">
        <f t="shared" si="406"/>
        <v>75</v>
      </c>
      <c r="Y80" s="154">
        <v>0.0</v>
      </c>
      <c r="Z80" s="154">
        <v>0.0</v>
      </c>
      <c r="AA80" s="154">
        <v>0.0</v>
      </c>
      <c r="AB80" s="156">
        <f t="shared" si="407"/>
        <v>0</v>
      </c>
      <c r="AC80" s="154">
        <v>0.0</v>
      </c>
      <c r="AD80" s="154">
        <v>0.0</v>
      </c>
      <c r="AE80" s="154">
        <v>0.0</v>
      </c>
      <c r="AF80" s="156">
        <f t="shared" si="408"/>
        <v>0</v>
      </c>
      <c r="AG80" s="154">
        <v>0.0</v>
      </c>
      <c r="AH80" s="154">
        <v>0.0</v>
      </c>
      <c r="AI80" s="154">
        <v>0.0</v>
      </c>
      <c r="AJ80" s="156">
        <f t="shared" si="409"/>
        <v>0</v>
      </c>
      <c r="AK80" s="154">
        <v>54.0</v>
      </c>
      <c r="AL80" s="154">
        <v>9.0</v>
      </c>
      <c r="AM80" s="154">
        <v>57.0</v>
      </c>
      <c r="AN80" s="156">
        <f t="shared" si="410"/>
        <v>120</v>
      </c>
      <c r="AO80" s="156">
        <f t="shared" si="411"/>
        <v>120</v>
      </c>
      <c r="AP80" s="154">
        <v>78.0</v>
      </c>
      <c r="AQ80" s="154">
        <v>1.0</v>
      </c>
      <c r="AR80" s="156">
        <v>0.0</v>
      </c>
      <c r="AS80" s="154">
        <f t="shared" si="412"/>
        <v>79</v>
      </c>
      <c r="AT80" s="154">
        <v>0.0</v>
      </c>
      <c r="AU80" s="154">
        <v>0.0</v>
      </c>
      <c r="AV80" s="154">
        <v>0.0</v>
      </c>
      <c r="AW80" s="154">
        <f t="shared" si="413"/>
        <v>0</v>
      </c>
      <c r="AX80" s="154">
        <v>74.0</v>
      </c>
      <c r="AY80" s="154">
        <v>133.0</v>
      </c>
      <c r="AZ80" s="154">
        <v>74.0</v>
      </c>
      <c r="BA80" s="154">
        <f t="shared" si="414"/>
        <v>281</v>
      </c>
      <c r="BB80" s="154">
        <v>0.0</v>
      </c>
      <c r="BC80" s="154">
        <v>2.0</v>
      </c>
      <c r="BD80" s="154">
        <v>16.0</v>
      </c>
      <c r="BE80" s="154">
        <f t="shared" si="415"/>
        <v>18</v>
      </c>
      <c r="BF80" s="154">
        <f t="shared" si="416"/>
        <v>378</v>
      </c>
      <c r="BG80" s="154">
        <v>187.0</v>
      </c>
      <c r="BH80" s="154">
        <v>16.0</v>
      </c>
      <c r="BI80" s="154">
        <v>0.0</v>
      </c>
      <c r="BJ80" s="154">
        <f t="shared" si="417"/>
        <v>203</v>
      </c>
      <c r="BK80" s="154">
        <v>54.0</v>
      </c>
      <c r="BL80" s="154">
        <v>82.0</v>
      </c>
      <c r="BM80" s="154">
        <v>11.0</v>
      </c>
      <c r="BN80" s="154">
        <f t="shared" si="418"/>
        <v>147</v>
      </c>
      <c r="BO80" s="154">
        <v>144.0</v>
      </c>
      <c r="BP80" s="154">
        <v>15.0</v>
      </c>
      <c r="BQ80" s="154">
        <v>398.0</v>
      </c>
      <c r="BR80" s="154">
        <f t="shared" si="419"/>
        <v>557</v>
      </c>
      <c r="BS80" s="154">
        <v>53.0</v>
      </c>
      <c r="BT80" s="154">
        <v>46.0</v>
      </c>
      <c r="BU80" s="154">
        <v>0.0</v>
      </c>
      <c r="BV80" s="154">
        <f t="shared" si="420"/>
        <v>99</v>
      </c>
      <c r="BW80" s="154">
        <f t="shared" si="421"/>
        <v>1006</v>
      </c>
      <c r="BX80" s="154">
        <v>0.0</v>
      </c>
      <c r="BY80" s="154">
        <v>0.0</v>
      </c>
      <c r="BZ80" s="154">
        <f t="shared" si="422"/>
        <v>0</v>
      </c>
      <c r="CA80" s="154">
        <v>0.0</v>
      </c>
      <c r="CB80" s="154">
        <v>85.0</v>
      </c>
      <c r="CC80" s="154">
        <f t="shared" si="423"/>
        <v>85</v>
      </c>
      <c r="CD80" s="154">
        <v>0.0</v>
      </c>
      <c r="CE80" s="154">
        <v>23.0</v>
      </c>
      <c r="CF80" s="154">
        <f t="shared" si="424"/>
        <v>23</v>
      </c>
      <c r="CG80" s="154">
        <f t="shared" si="425"/>
        <v>193</v>
      </c>
      <c r="CH80" s="154">
        <v>1.0</v>
      </c>
      <c r="CI80" s="154">
        <v>1.0</v>
      </c>
      <c r="CJ80" s="154">
        <f t="shared" si="426"/>
        <v>0</v>
      </c>
      <c r="CK80" s="154">
        <v>0.0</v>
      </c>
      <c r="CL80" s="154">
        <v>0.0</v>
      </c>
      <c r="CM80" s="154">
        <f t="shared" si="427"/>
        <v>0</v>
      </c>
      <c r="CN80" s="154">
        <v>27.0</v>
      </c>
      <c r="CO80" s="154">
        <v>27.0</v>
      </c>
      <c r="CP80" s="154">
        <f t="shared" si="428"/>
        <v>0</v>
      </c>
      <c r="CQ80" s="154">
        <f t="shared" si="437"/>
        <v>56</v>
      </c>
      <c r="CR80" s="154">
        <v>0.0</v>
      </c>
      <c r="CS80" s="154">
        <f t="shared" si="436"/>
        <v>108</v>
      </c>
      <c r="CT80" s="154">
        <f t="shared" si="430"/>
        <v>108</v>
      </c>
      <c r="CU80" s="154"/>
      <c r="CV80" s="154"/>
      <c r="CW80" s="154">
        <f t="shared" si="431"/>
        <v>216</v>
      </c>
      <c r="CX80" s="154"/>
      <c r="CY80" s="154"/>
      <c r="CZ80" s="154"/>
      <c r="DA80" s="154">
        <f t="shared" si="432"/>
        <v>0</v>
      </c>
      <c r="DB80" s="154">
        <f t="shared" si="433"/>
        <v>465</v>
      </c>
      <c r="DC80" s="171">
        <f t="shared" si="434"/>
        <v>2045</v>
      </c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</row>
    <row r="81" ht="15.75" customHeight="1">
      <c r="A81" s="137" t="s">
        <v>151</v>
      </c>
      <c r="B81" s="141">
        <f t="shared" ref="B81:DC81" si="438">SUM(B82:B86)</f>
        <v>2290</v>
      </c>
      <c r="C81" s="141">
        <f t="shared" si="438"/>
        <v>6283</v>
      </c>
      <c r="D81" s="141">
        <f t="shared" si="438"/>
        <v>7330</v>
      </c>
      <c r="E81" s="141">
        <f t="shared" si="438"/>
        <v>8410</v>
      </c>
      <c r="F81" s="141">
        <f t="shared" si="438"/>
        <v>10763</v>
      </c>
      <c r="G81" s="141">
        <f t="shared" si="438"/>
        <v>35076</v>
      </c>
      <c r="H81" s="141">
        <f t="shared" si="438"/>
        <v>22264</v>
      </c>
      <c r="I81" s="141">
        <f t="shared" si="438"/>
        <v>32738</v>
      </c>
      <c r="J81" s="141">
        <f t="shared" si="438"/>
        <v>31642</v>
      </c>
      <c r="K81" s="142">
        <f t="shared" si="438"/>
        <v>86644</v>
      </c>
      <c r="L81" s="141">
        <f t="shared" si="438"/>
        <v>28479</v>
      </c>
      <c r="M81" s="141">
        <f t="shared" si="438"/>
        <v>23841</v>
      </c>
      <c r="N81" s="141">
        <f t="shared" si="438"/>
        <v>14938</v>
      </c>
      <c r="O81" s="142">
        <f t="shared" si="438"/>
        <v>67258</v>
      </c>
      <c r="P81" s="141">
        <f t="shared" si="438"/>
        <v>9553</v>
      </c>
      <c r="Q81" s="141">
        <f t="shared" si="438"/>
        <v>20651</v>
      </c>
      <c r="R81" s="141">
        <f t="shared" si="438"/>
        <v>9361</v>
      </c>
      <c r="S81" s="142">
        <f t="shared" si="438"/>
        <v>39565</v>
      </c>
      <c r="T81" s="141">
        <f t="shared" si="438"/>
        <v>11208</v>
      </c>
      <c r="U81" s="141">
        <f t="shared" si="438"/>
        <v>7830</v>
      </c>
      <c r="V81" s="141">
        <f t="shared" si="438"/>
        <v>8781</v>
      </c>
      <c r="W81" s="142">
        <f t="shared" si="438"/>
        <v>27819</v>
      </c>
      <c r="X81" s="142">
        <f t="shared" si="438"/>
        <v>221286</v>
      </c>
      <c r="Y81" s="141">
        <f t="shared" si="438"/>
        <v>10756</v>
      </c>
      <c r="Z81" s="141">
        <f t="shared" si="438"/>
        <v>6511</v>
      </c>
      <c r="AA81" s="141">
        <f t="shared" si="438"/>
        <v>8227</v>
      </c>
      <c r="AB81" s="142">
        <f t="shared" si="438"/>
        <v>25494</v>
      </c>
      <c r="AC81" s="141">
        <f t="shared" si="438"/>
        <v>5874</v>
      </c>
      <c r="AD81" s="141">
        <f t="shared" si="438"/>
        <v>3322</v>
      </c>
      <c r="AE81" s="141">
        <f t="shared" si="438"/>
        <v>14123</v>
      </c>
      <c r="AF81" s="142">
        <f t="shared" si="438"/>
        <v>23319</v>
      </c>
      <c r="AG81" s="141">
        <f t="shared" si="438"/>
        <v>13145</v>
      </c>
      <c r="AH81" s="141">
        <f t="shared" si="438"/>
        <v>10912</v>
      </c>
      <c r="AI81" s="141">
        <f t="shared" si="438"/>
        <v>8417</v>
      </c>
      <c r="AJ81" s="142">
        <f t="shared" si="438"/>
        <v>32474</v>
      </c>
      <c r="AK81" s="141">
        <f t="shared" si="438"/>
        <v>7629</v>
      </c>
      <c r="AL81" s="141">
        <f t="shared" si="438"/>
        <v>6839</v>
      </c>
      <c r="AM81" s="141">
        <f t="shared" si="438"/>
        <v>8736</v>
      </c>
      <c r="AN81" s="142">
        <f t="shared" si="438"/>
        <v>23204</v>
      </c>
      <c r="AO81" s="142">
        <f t="shared" si="438"/>
        <v>104491</v>
      </c>
      <c r="AP81" s="141">
        <f t="shared" si="438"/>
        <v>3293</v>
      </c>
      <c r="AQ81" s="141">
        <f t="shared" si="438"/>
        <v>5162</v>
      </c>
      <c r="AR81" s="142">
        <f t="shared" si="438"/>
        <v>4577</v>
      </c>
      <c r="AS81" s="141">
        <f t="shared" si="438"/>
        <v>13032</v>
      </c>
      <c r="AT81" s="141">
        <f t="shared" si="438"/>
        <v>1538</v>
      </c>
      <c r="AU81" s="141">
        <f t="shared" si="438"/>
        <v>6054</v>
      </c>
      <c r="AV81" s="141">
        <f t="shared" si="438"/>
        <v>5794</v>
      </c>
      <c r="AW81" s="142">
        <f t="shared" si="438"/>
        <v>13386</v>
      </c>
      <c r="AX81" s="141">
        <f t="shared" si="438"/>
        <v>7522</v>
      </c>
      <c r="AY81" s="141">
        <f t="shared" si="438"/>
        <v>8168</v>
      </c>
      <c r="AZ81" s="141">
        <f t="shared" si="438"/>
        <v>6139</v>
      </c>
      <c r="BA81" s="142">
        <f t="shared" si="438"/>
        <v>21829</v>
      </c>
      <c r="BB81" s="141">
        <f t="shared" si="438"/>
        <v>3719</v>
      </c>
      <c r="BC81" s="141">
        <f t="shared" si="438"/>
        <v>7422</v>
      </c>
      <c r="BD81" s="141">
        <f t="shared" si="438"/>
        <v>5588</v>
      </c>
      <c r="BE81" s="142">
        <f t="shared" si="438"/>
        <v>16729</v>
      </c>
      <c r="BF81" s="141">
        <f t="shared" si="438"/>
        <v>64976</v>
      </c>
      <c r="BG81" s="141">
        <f t="shared" si="438"/>
        <v>5994</v>
      </c>
      <c r="BH81" s="141">
        <f t="shared" si="438"/>
        <v>5602</v>
      </c>
      <c r="BI81" s="141">
        <f t="shared" si="438"/>
        <v>6531</v>
      </c>
      <c r="BJ81" s="141">
        <f t="shared" si="438"/>
        <v>18127</v>
      </c>
      <c r="BK81" s="141">
        <f t="shared" si="438"/>
        <v>6037</v>
      </c>
      <c r="BL81" s="141">
        <f t="shared" si="438"/>
        <v>6273</v>
      </c>
      <c r="BM81" s="141">
        <f t="shared" si="438"/>
        <v>2908</v>
      </c>
      <c r="BN81" s="141">
        <f t="shared" si="438"/>
        <v>15218</v>
      </c>
      <c r="BO81" s="141">
        <f t="shared" si="438"/>
        <v>2794</v>
      </c>
      <c r="BP81" s="141">
        <f t="shared" si="438"/>
        <v>2134</v>
      </c>
      <c r="BQ81" s="141">
        <f t="shared" si="438"/>
        <v>1849</v>
      </c>
      <c r="BR81" s="141">
        <f t="shared" si="438"/>
        <v>6777</v>
      </c>
      <c r="BS81" s="141">
        <f t="shared" si="438"/>
        <v>2887</v>
      </c>
      <c r="BT81" s="141">
        <f t="shared" si="438"/>
        <v>2182</v>
      </c>
      <c r="BU81" s="141">
        <f t="shared" si="438"/>
        <v>892</v>
      </c>
      <c r="BV81" s="141">
        <f t="shared" si="438"/>
        <v>5961</v>
      </c>
      <c r="BW81" s="141">
        <f t="shared" si="438"/>
        <v>46083</v>
      </c>
      <c r="BX81" s="141">
        <f t="shared" si="438"/>
        <v>89</v>
      </c>
      <c r="BY81" s="141">
        <f t="shared" si="438"/>
        <v>738</v>
      </c>
      <c r="BZ81" s="141">
        <f t="shared" si="438"/>
        <v>649</v>
      </c>
      <c r="CA81" s="141">
        <f t="shared" si="438"/>
        <v>1175</v>
      </c>
      <c r="CB81" s="141">
        <f t="shared" si="438"/>
        <v>1640</v>
      </c>
      <c r="CC81" s="141">
        <f t="shared" si="438"/>
        <v>465</v>
      </c>
      <c r="CD81" s="141">
        <f t="shared" si="438"/>
        <v>405</v>
      </c>
      <c r="CE81" s="141">
        <f t="shared" si="438"/>
        <v>1883</v>
      </c>
      <c r="CF81" s="141">
        <f t="shared" si="438"/>
        <v>1478</v>
      </c>
      <c r="CG81" s="141">
        <f t="shared" si="438"/>
        <v>6693</v>
      </c>
      <c r="CH81" s="141">
        <f t="shared" si="438"/>
        <v>1678</v>
      </c>
      <c r="CI81" s="141">
        <f t="shared" si="438"/>
        <v>1678</v>
      </c>
      <c r="CJ81" s="141">
        <f t="shared" si="438"/>
        <v>0</v>
      </c>
      <c r="CK81" s="141">
        <f t="shared" si="438"/>
        <v>1682</v>
      </c>
      <c r="CL81" s="141">
        <f t="shared" si="438"/>
        <v>1682</v>
      </c>
      <c r="CM81" s="141">
        <f t="shared" si="438"/>
        <v>0</v>
      </c>
      <c r="CN81" s="141">
        <f t="shared" si="438"/>
        <v>933</v>
      </c>
      <c r="CO81" s="141">
        <f t="shared" si="438"/>
        <v>933</v>
      </c>
      <c r="CP81" s="141">
        <f t="shared" si="438"/>
        <v>0</v>
      </c>
      <c r="CQ81" s="141">
        <f t="shared" si="438"/>
        <v>8380</v>
      </c>
      <c r="CR81" s="141">
        <f t="shared" si="438"/>
        <v>1141</v>
      </c>
      <c r="CS81" s="141">
        <f t="shared" si="438"/>
        <v>2592</v>
      </c>
      <c r="CT81" s="141">
        <f t="shared" si="438"/>
        <v>3733</v>
      </c>
      <c r="CU81" s="141">
        <f t="shared" si="438"/>
        <v>0</v>
      </c>
      <c r="CV81" s="141">
        <f t="shared" si="438"/>
        <v>0</v>
      </c>
      <c r="CW81" s="141">
        <f t="shared" si="438"/>
        <v>7466</v>
      </c>
      <c r="CX81" s="141">
        <f t="shared" si="438"/>
        <v>0</v>
      </c>
      <c r="CY81" s="141">
        <f t="shared" si="438"/>
        <v>0</v>
      </c>
      <c r="CZ81" s="141">
        <f t="shared" si="438"/>
        <v>0</v>
      </c>
      <c r="DA81" s="141">
        <f t="shared" si="438"/>
        <v>0</v>
      </c>
      <c r="DB81" s="141">
        <f t="shared" si="438"/>
        <v>22539</v>
      </c>
      <c r="DC81" s="141">
        <f t="shared" si="438"/>
        <v>494451</v>
      </c>
      <c r="DD81" s="4"/>
      <c r="DE81" s="20">
        <f>SUM(AJ81,AN81,BF81,BW81,DB81)</f>
        <v>189276</v>
      </c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</row>
    <row r="82" ht="15.75" customHeight="1">
      <c r="A82" s="167" t="s">
        <v>152</v>
      </c>
      <c r="B82" s="154">
        <v>825.0</v>
      </c>
      <c r="C82" s="154">
        <v>3606.0</v>
      </c>
      <c r="D82" s="154">
        <v>5744.0</v>
      </c>
      <c r="E82" s="154">
        <v>6906.0</v>
      </c>
      <c r="F82" s="154">
        <v>3678.0</v>
      </c>
      <c r="G82" s="154">
        <f t="shared" ref="G82:G86" si="439">SUM(B82:F82)</f>
        <v>20759</v>
      </c>
      <c r="H82" s="154">
        <v>7876.0</v>
      </c>
      <c r="I82" s="154">
        <v>16836.0</v>
      </c>
      <c r="J82" s="154">
        <v>15686.0</v>
      </c>
      <c r="K82" s="156">
        <f t="shared" ref="K82:K86" si="440">SUM(H82:J82)</f>
        <v>40398</v>
      </c>
      <c r="L82" s="154">
        <v>11828.0</v>
      </c>
      <c r="M82" s="154">
        <v>10989.0</v>
      </c>
      <c r="N82" s="154">
        <v>7769.0</v>
      </c>
      <c r="O82" s="156">
        <f t="shared" ref="O82:O86" si="441">SUM(L82:N82)</f>
        <v>30586</v>
      </c>
      <c r="P82" s="154">
        <v>2252.0</v>
      </c>
      <c r="Q82" s="154">
        <v>9598.0</v>
      </c>
      <c r="R82" s="154">
        <v>3225.0</v>
      </c>
      <c r="S82" s="156">
        <f t="shared" ref="S82:S86" si="442">SUM(P82:R82)</f>
        <v>15075</v>
      </c>
      <c r="T82" s="154">
        <v>3071.0</v>
      </c>
      <c r="U82" s="154">
        <v>3366.0</v>
      </c>
      <c r="V82" s="154">
        <v>4405.0</v>
      </c>
      <c r="W82" s="156">
        <f t="shared" ref="W82:W86" si="443">SUM(T82:V82)</f>
        <v>10842</v>
      </c>
      <c r="X82" s="156">
        <f t="shared" ref="X82:X86" si="444">SUM(W82,S82,O82,K82)</f>
        <v>96901</v>
      </c>
      <c r="Y82" s="154">
        <v>3084.0</v>
      </c>
      <c r="Z82" s="154">
        <v>2807.0</v>
      </c>
      <c r="AA82" s="154">
        <v>3422.0</v>
      </c>
      <c r="AB82" s="156">
        <f t="shared" ref="AB82:AB86" si="445">SUM(Y82:AA82)</f>
        <v>9313</v>
      </c>
      <c r="AC82" s="154">
        <v>3048.0</v>
      </c>
      <c r="AD82" s="154">
        <v>1319.0</v>
      </c>
      <c r="AE82" s="154">
        <v>6928.0</v>
      </c>
      <c r="AF82" s="156">
        <f t="shared" ref="AF82:AF86" si="446">SUM(AC82:AE82)</f>
        <v>11295</v>
      </c>
      <c r="AG82" s="154">
        <v>7831.0</v>
      </c>
      <c r="AH82" s="154">
        <v>5379.0</v>
      </c>
      <c r="AI82" s="154">
        <v>3860.0</v>
      </c>
      <c r="AJ82" s="156">
        <f t="shared" ref="AJ82:AJ86" si="447">SUM(AG82:AI82)</f>
        <v>17070</v>
      </c>
      <c r="AK82" s="154">
        <v>3355.0</v>
      </c>
      <c r="AL82" s="154">
        <v>2125.0</v>
      </c>
      <c r="AM82" s="154">
        <v>3095.0</v>
      </c>
      <c r="AN82" s="156">
        <f t="shared" ref="AN82:AN86" si="448">SUM(AK82:AM82)</f>
        <v>8575</v>
      </c>
      <c r="AO82" s="156">
        <f t="shared" ref="AO82:AO86" si="449">SUM(AN82,AJ82,AF82,AB82)</f>
        <v>46253</v>
      </c>
      <c r="AP82" s="154">
        <v>1317.0</v>
      </c>
      <c r="AQ82" s="154">
        <v>1340.0</v>
      </c>
      <c r="AR82" s="156">
        <v>1170.0</v>
      </c>
      <c r="AS82" s="154">
        <f t="shared" ref="AS82:AS86" si="450">SUM(AP82:AR82)</f>
        <v>3827</v>
      </c>
      <c r="AT82" s="154">
        <v>856.0</v>
      </c>
      <c r="AU82" s="154">
        <v>3035.0</v>
      </c>
      <c r="AV82" s="154">
        <v>2984.0</v>
      </c>
      <c r="AW82" s="154">
        <f t="shared" ref="AW82:AW86" si="451">SUM(AT82:AV82)</f>
        <v>6875</v>
      </c>
      <c r="AX82" s="154">
        <v>3302.0</v>
      </c>
      <c r="AY82" s="154">
        <v>3415.0</v>
      </c>
      <c r="AZ82" s="154">
        <v>1965.0</v>
      </c>
      <c r="BA82" s="154">
        <f t="shared" ref="BA82:BA86" si="452">SUM(AX82:AZ82)</f>
        <v>8682</v>
      </c>
      <c r="BB82" s="154">
        <v>1671.0</v>
      </c>
      <c r="BC82" s="154">
        <v>3225.0</v>
      </c>
      <c r="BD82" s="154">
        <v>2589.0</v>
      </c>
      <c r="BE82" s="154">
        <f t="shared" ref="BE82:BE86" si="453">SUM(BB82:BD82)</f>
        <v>7485</v>
      </c>
      <c r="BF82" s="154">
        <f t="shared" ref="BF82:BF86" si="454">SUM(AS82,AW82,BA82,BE82)</f>
        <v>26869</v>
      </c>
      <c r="BG82" s="154">
        <v>2636.0</v>
      </c>
      <c r="BH82" s="154">
        <v>2844.0</v>
      </c>
      <c r="BI82" s="154">
        <v>2302.0</v>
      </c>
      <c r="BJ82" s="154">
        <f t="shared" ref="BJ82:BJ86" si="455">SUM(BG82:BI82)</f>
        <v>7782</v>
      </c>
      <c r="BK82" s="154">
        <v>1440.0</v>
      </c>
      <c r="BL82" s="154">
        <v>2499.0</v>
      </c>
      <c r="BM82" s="154">
        <v>1151.0</v>
      </c>
      <c r="BN82" s="154">
        <f t="shared" ref="BN82:BN86" si="456">SUM(BK82:BM82)</f>
        <v>5090</v>
      </c>
      <c r="BO82" s="154">
        <v>1306.0</v>
      </c>
      <c r="BP82" s="154">
        <v>1070.0</v>
      </c>
      <c r="BQ82" s="154">
        <v>864.0</v>
      </c>
      <c r="BR82" s="154">
        <f t="shared" ref="BR82:BR86" si="457">SUM(BO82:BQ82)</f>
        <v>3240</v>
      </c>
      <c r="BS82" s="154">
        <v>1234.0</v>
      </c>
      <c r="BT82" s="154">
        <v>1004.0</v>
      </c>
      <c r="BU82" s="154">
        <v>412.0</v>
      </c>
      <c r="BV82" s="154">
        <f t="shared" ref="BV82:BV86" si="458">SUM(BS82:BU82)</f>
        <v>2650</v>
      </c>
      <c r="BW82" s="154">
        <f t="shared" ref="BW82:BW86" si="459">SUM(BJ82,BN82,BR82,BV82)</f>
        <v>18762</v>
      </c>
      <c r="BX82" s="154">
        <v>0.0</v>
      </c>
      <c r="BY82" s="154">
        <v>343.0</v>
      </c>
      <c r="BZ82" s="154">
        <f t="shared" ref="BZ82:BZ86" si="460">BY82-BX82</f>
        <v>343</v>
      </c>
      <c r="CA82" s="154">
        <v>223.0</v>
      </c>
      <c r="CB82" s="154">
        <v>684.0</v>
      </c>
      <c r="CC82" s="154">
        <f t="shared" ref="CC82:CC86" si="461">CB82-CA82</f>
        <v>461</v>
      </c>
      <c r="CD82" s="154">
        <v>210.0</v>
      </c>
      <c r="CE82" s="154">
        <v>650.0</v>
      </c>
      <c r="CF82" s="154">
        <f t="shared" ref="CF82:CF86" si="462">CE82-CD82</f>
        <v>440</v>
      </c>
      <c r="CG82" s="154">
        <f t="shared" ref="CG82:CG83" si="463">SUM(BX82:CE82)</f>
        <v>2914</v>
      </c>
      <c r="CH82" s="154">
        <v>453.0</v>
      </c>
      <c r="CI82" s="154">
        <v>453.0</v>
      </c>
      <c r="CJ82" s="154">
        <f t="shared" ref="CJ82:CJ86" si="464">CI82-CH82</f>
        <v>0</v>
      </c>
      <c r="CK82" s="154">
        <v>486.0</v>
      </c>
      <c r="CL82" s="154">
        <v>486.0</v>
      </c>
      <c r="CM82" s="154">
        <f t="shared" ref="CM82:CM86" si="465">CL82-CK82</f>
        <v>0</v>
      </c>
      <c r="CN82" s="154">
        <v>418.0</v>
      </c>
      <c r="CO82" s="154">
        <v>418.0</v>
      </c>
      <c r="CP82" s="154">
        <f t="shared" ref="CP82:CP86" si="466">CO82-CN82</f>
        <v>0</v>
      </c>
      <c r="CQ82" s="154">
        <f t="shared" ref="CQ82:CQ83" si="467">SUM(CH82:CO82)</f>
        <v>2714</v>
      </c>
      <c r="CR82" s="154">
        <v>652.0</v>
      </c>
      <c r="CS82" s="154">
        <f t="shared" ref="CS82:CS86" si="468">SUM(BZ82,CC82,CF82,CJ82,CM82,CP82)</f>
        <v>1244</v>
      </c>
      <c r="CT82" s="154">
        <f t="shared" ref="CT82:CT86" si="469">CR82+CS82</f>
        <v>1896</v>
      </c>
      <c r="CU82" s="154"/>
      <c r="CV82" s="154"/>
      <c r="CW82" s="154">
        <f t="shared" ref="CW82:CW86" si="470">SUM(CR82:CV82)</f>
        <v>3792</v>
      </c>
      <c r="CX82" s="154"/>
      <c r="CY82" s="154"/>
      <c r="CZ82" s="154"/>
      <c r="DA82" s="154">
        <f t="shared" ref="DA82:DA86" si="471">SUM(CX82:CZ82)</f>
        <v>0</v>
      </c>
      <c r="DB82" s="154">
        <f t="shared" ref="DB82:DB86" si="472">SUM(CG82,CQ82,CW82,DA82)</f>
        <v>9420</v>
      </c>
      <c r="DC82" s="171">
        <f t="shared" ref="DC82:DC86" si="473">SUM(A82,G82,X82,AO82,BF82,BW82,DB82)</f>
        <v>218964</v>
      </c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</row>
    <row r="83" ht="15.75" customHeight="1">
      <c r="A83" s="167" t="s">
        <v>153</v>
      </c>
      <c r="B83" s="154">
        <v>196.0</v>
      </c>
      <c r="C83" s="154">
        <v>0.0</v>
      </c>
      <c r="D83" s="154">
        <v>0.0</v>
      </c>
      <c r="E83" s="154">
        <v>0.0</v>
      </c>
      <c r="F83" s="154">
        <v>0.0</v>
      </c>
      <c r="G83" s="154">
        <f t="shared" si="439"/>
        <v>196</v>
      </c>
      <c r="H83" s="154">
        <v>858.0</v>
      </c>
      <c r="I83" s="154">
        <v>10.0</v>
      </c>
      <c r="J83" s="154">
        <v>710.0</v>
      </c>
      <c r="K83" s="156">
        <f t="shared" si="440"/>
        <v>1578</v>
      </c>
      <c r="L83" s="154">
        <v>497.0</v>
      </c>
      <c r="M83" s="154">
        <v>58.0</v>
      </c>
      <c r="N83" s="154">
        <v>0.0</v>
      </c>
      <c r="O83" s="156">
        <f t="shared" si="441"/>
        <v>555</v>
      </c>
      <c r="P83" s="154">
        <v>0.0</v>
      </c>
      <c r="Q83" s="154">
        <v>22.0</v>
      </c>
      <c r="R83" s="154">
        <v>39.0</v>
      </c>
      <c r="S83" s="156">
        <f t="shared" si="442"/>
        <v>61</v>
      </c>
      <c r="T83" s="154">
        <v>1.0</v>
      </c>
      <c r="U83" s="154">
        <v>9.0</v>
      </c>
      <c r="V83" s="154">
        <v>0.0</v>
      </c>
      <c r="W83" s="156">
        <f t="shared" si="443"/>
        <v>10</v>
      </c>
      <c r="X83" s="156">
        <f t="shared" si="444"/>
        <v>2204</v>
      </c>
      <c r="Y83" s="154">
        <v>140.0</v>
      </c>
      <c r="Z83" s="154">
        <v>0.0</v>
      </c>
      <c r="AA83" s="154">
        <v>203.0</v>
      </c>
      <c r="AB83" s="156">
        <f t="shared" si="445"/>
        <v>343</v>
      </c>
      <c r="AC83" s="154">
        <v>6.0</v>
      </c>
      <c r="AD83" s="154">
        <v>386.0</v>
      </c>
      <c r="AE83" s="154">
        <v>94.0</v>
      </c>
      <c r="AF83" s="156">
        <f t="shared" si="446"/>
        <v>486</v>
      </c>
      <c r="AG83" s="154">
        <v>74.0</v>
      </c>
      <c r="AH83" s="154">
        <v>248.0</v>
      </c>
      <c r="AI83" s="154">
        <v>0.0</v>
      </c>
      <c r="AJ83" s="156">
        <f t="shared" si="447"/>
        <v>322</v>
      </c>
      <c r="AK83" s="154">
        <v>105.0</v>
      </c>
      <c r="AL83" s="154">
        <v>0.0</v>
      </c>
      <c r="AM83" s="154">
        <v>76.0</v>
      </c>
      <c r="AN83" s="156">
        <f t="shared" si="448"/>
        <v>181</v>
      </c>
      <c r="AO83" s="156">
        <f t="shared" si="449"/>
        <v>1332</v>
      </c>
      <c r="AP83" s="154">
        <v>0.0</v>
      </c>
      <c r="AQ83" s="154">
        <v>98.0</v>
      </c>
      <c r="AR83" s="156">
        <v>0.0</v>
      </c>
      <c r="AS83" s="154">
        <f t="shared" si="450"/>
        <v>98</v>
      </c>
      <c r="AT83" s="154">
        <v>21.0</v>
      </c>
      <c r="AU83" s="154">
        <v>113.0</v>
      </c>
      <c r="AV83" s="154">
        <v>31.0</v>
      </c>
      <c r="AW83" s="154">
        <f t="shared" si="451"/>
        <v>165</v>
      </c>
      <c r="AX83" s="154">
        <v>0.0</v>
      </c>
      <c r="AY83" s="154">
        <v>165.0</v>
      </c>
      <c r="AZ83" s="154">
        <v>9.0</v>
      </c>
      <c r="BA83" s="154">
        <f t="shared" si="452"/>
        <v>174</v>
      </c>
      <c r="BB83" s="154">
        <v>0.0</v>
      </c>
      <c r="BC83" s="154">
        <v>40.0</v>
      </c>
      <c r="BD83" s="154">
        <v>42.0</v>
      </c>
      <c r="BE83" s="154">
        <f t="shared" si="453"/>
        <v>82</v>
      </c>
      <c r="BF83" s="154">
        <f t="shared" si="454"/>
        <v>519</v>
      </c>
      <c r="BG83" s="154">
        <v>28.0</v>
      </c>
      <c r="BH83" s="154">
        <v>66.0</v>
      </c>
      <c r="BI83" s="154">
        <v>127.0</v>
      </c>
      <c r="BJ83" s="154">
        <f t="shared" si="455"/>
        <v>221</v>
      </c>
      <c r="BK83" s="154">
        <v>72.0</v>
      </c>
      <c r="BL83" s="154">
        <v>92.0</v>
      </c>
      <c r="BM83" s="154">
        <v>223.0</v>
      </c>
      <c r="BN83" s="154">
        <f t="shared" si="456"/>
        <v>387</v>
      </c>
      <c r="BO83" s="154">
        <v>175.0</v>
      </c>
      <c r="BP83" s="154">
        <v>29.0</v>
      </c>
      <c r="BQ83" s="154">
        <v>0.0</v>
      </c>
      <c r="BR83" s="154">
        <f t="shared" si="457"/>
        <v>204</v>
      </c>
      <c r="BS83" s="154">
        <v>154.0</v>
      </c>
      <c r="BT83" s="154">
        <v>50.0</v>
      </c>
      <c r="BU83" s="154">
        <v>225.0</v>
      </c>
      <c r="BV83" s="154">
        <f t="shared" si="458"/>
        <v>429</v>
      </c>
      <c r="BW83" s="154">
        <f t="shared" si="459"/>
        <v>1241</v>
      </c>
      <c r="BX83" s="154">
        <v>0.0</v>
      </c>
      <c r="BY83" s="154">
        <v>231.0</v>
      </c>
      <c r="BZ83" s="154">
        <f t="shared" si="460"/>
        <v>231</v>
      </c>
      <c r="CA83" s="154">
        <v>313.0</v>
      </c>
      <c r="CB83" s="154">
        <v>121.0</v>
      </c>
      <c r="CC83" s="154">
        <f t="shared" si="461"/>
        <v>-192</v>
      </c>
      <c r="CD83" s="154">
        <v>0.0</v>
      </c>
      <c r="CE83" s="154">
        <v>0.0</v>
      </c>
      <c r="CF83" s="154">
        <f t="shared" si="462"/>
        <v>0</v>
      </c>
      <c r="CG83" s="154">
        <f t="shared" si="463"/>
        <v>704</v>
      </c>
      <c r="CH83" s="154">
        <v>11.0</v>
      </c>
      <c r="CI83" s="154">
        <v>11.0</v>
      </c>
      <c r="CJ83" s="154">
        <f t="shared" si="464"/>
        <v>0</v>
      </c>
      <c r="CK83" s="154">
        <v>1.0</v>
      </c>
      <c r="CL83" s="154">
        <v>1.0</v>
      </c>
      <c r="CM83" s="154">
        <f t="shared" si="465"/>
        <v>0</v>
      </c>
      <c r="CN83" s="154">
        <v>0.0</v>
      </c>
      <c r="CO83" s="154">
        <v>0.0</v>
      </c>
      <c r="CP83" s="154">
        <f t="shared" si="466"/>
        <v>0</v>
      </c>
      <c r="CQ83" s="154">
        <f t="shared" si="467"/>
        <v>24</v>
      </c>
      <c r="CR83" s="154">
        <v>26.0</v>
      </c>
      <c r="CS83" s="154">
        <f t="shared" si="468"/>
        <v>39</v>
      </c>
      <c r="CT83" s="154">
        <f t="shared" si="469"/>
        <v>65</v>
      </c>
      <c r="CU83" s="154"/>
      <c r="CV83" s="154"/>
      <c r="CW83" s="154">
        <f t="shared" si="470"/>
        <v>130</v>
      </c>
      <c r="CX83" s="154"/>
      <c r="CY83" s="154"/>
      <c r="CZ83" s="154"/>
      <c r="DA83" s="154">
        <f t="shared" si="471"/>
        <v>0</v>
      </c>
      <c r="DB83" s="154">
        <f t="shared" si="472"/>
        <v>858</v>
      </c>
      <c r="DC83" s="171">
        <f t="shared" si="473"/>
        <v>6350</v>
      </c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</row>
    <row r="84" ht="15.75" customHeight="1">
      <c r="A84" s="169" t="s">
        <v>154</v>
      </c>
      <c r="B84" s="154">
        <v>126.0</v>
      </c>
      <c r="C84" s="154">
        <v>53.0</v>
      </c>
      <c r="D84" s="154">
        <v>0.0</v>
      </c>
      <c r="E84" s="154">
        <v>830.0</v>
      </c>
      <c r="F84" s="154">
        <v>4292.0</v>
      </c>
      <c r="G84" s="154">
        <f t="shared" si="439"/>
        <v>5301</v>
      </c>
      <c r="H84" s="154">
        <v>6001.0</v>
      </c>
      <c r="I84" s="154">
        <v>8126.0</v>
      </c>
      <c r="J84" s="154">
        <v>6479.0</v>
      </c>
      <c r="K84" s="156">
        <f t="shared" si="440"/>
        <v>20606</v>
      </c>
      <c r="L84" s="154">
        <v>8581.0</v>
      </c>
      <c r="M84" s="154">
        <v>6407.0</v>
      </c>
      <c r="N84" s="154">
        <v>3882.0</v>
      </c>
      <c r="O84" s="156">
        <f t="shared" si="441"/>
        <v>18870</v>
      </c>
      <c r="P84" s="154">
        <v>1696.0</v>
      </c>
      <c r="Q84" s="154">
        <v>2714.0</v>
      </c>
      <c r="R84" s="154">
        <v>1165.0</v>
      </c>
      <c r="S84" s="156">
        <f t="shared" si="442"/>
        <v>5575</v>
      </c>
      <c r="T84" s="154">
        <v>1703.0</v>
      </c>
      <c r="U84" s="154">
        <v>792.0</v>
      </c>
      <c r="V84" s="154">
        <v>1966.0</v>
      </c>
      <c r="W84" s="156">
        <f t="shared" si="443"/>
        <v>4461</v>
      </c>
      <c r="X84" s="156">
        <f t="shared" si="444"/>
        <v>49512</v>
      </c>
      <c r="Y84" s="154">
        <v>4304.0</v>
      </c>
      <c r="Z84" s="154">
        <v>1892.0</v>
      </c>
      <c r="AA84" s="154">
        <v>1569.0</v>
      </c>
      <c r="AB84" s="156">
        <f t="shared" si="445"/>
        <v>7765</v>
      </c>
      <c r="AC84" s="154">
        <v>1039.0</v>
      </c>
      <c r="AD84" s="154">
        <v>539.0</v>
      </c>
      <c r="AE84" s="154">
        <v>3402.0</v>
      </c>
      <c r="AF84" s="156">
        <f t="shared" si="446"/>
        <v>4980</v>
      </c>
      <c r="AG84" s="154">
        <v>1917.0</v>
      </c>
      <c r="AH84" s="154">
        <v>3181.0</v>
      </c>
      <c r="AI84" s="154">
        <v>2613.0</v>
      </c>
      <c r="AJ84" s="156">
        <f t="shared" si="447"/>
        <v>7711</v>
      </c>
      <c r="AK84" s="154">
        <v>2062.0</v>
      </c>
      <c r="AL84" s="154">
        <v>1368.0</v>
      </c>
      <c r="AM84" s="154">
        <v>1917.0</v>
      </c>
      <c r="AN84" s="156">
        <f t="shared" si="448"/>
        <v>5347</v>
      </c>
      <c r="AO84" s="156">
        <f t="shared" si="449"/>
        <v>25803</v>
      </c>
      <c r="AP84" s="154">
        <v>411.0</v>
      </c>
      <c r="AQ84" s="154">
        <v>1087.0</v>
      </c>
      <c r="AR84" s="156">
        <v>965.0</v>
      </c>
      <c r="AS84" s="154">
        <f t="shared" si="450"/>
        <v>2463</v>
      </c>
      <c r="AT84" s="154">
        <v>148.0</v>
      </c>
      <c r="AU84" s="154">
        <v>1273.0</v>
      </c>
      <c r="AV84" s="154">
        <v>771.0</v>
      </c>
      <c r="AW84" s="154">
        <f t="shared" si="451"/>
        <v>2192</v>
      </c>
      <c r="AX84" s="154">
        <v>1763.0</v>
      </c>
      <c r="AY84" s="154">
        <v>2449.0</v>
      </c>
      <c r="AZ84" s="154">
        <v>1800.0</v>
      </c>
      <c r="BA84" s="154">
        <f t="shared" si="452"/>
        <v>6012</v>
      </c>
      <c r="BB84" s="154">
        <v>818.0</v>
      </c>
      <c r="BC84" s="154">
        <v>2029.0</v>
      </c>
      <c r="BD84" s="154">
        <v>1455.0</v>
      </c>
      <c r="BE84" s="154">
        <f t="shared" si="453"/>
        <v>4302</v>
      </c>
      <c r="BF84" s="154">
        <f t="shared" si="454"/>
        <v>14969</v>
      </c>
      <c r="BG84" s="154">
        <v>1791.0</v>
      </c>
      <c r="BH84" s="154">
        <v>1478.0</v>
      </c>
      <c r="BI84" s="154">
        <v>2492.0</v>
      </c>
      <c r="BJ84" s="154">
        <f t="shared" si="455"/>
        <v>5761</v>
      </c>
      <c r="BK84" s="154">
        <v>3122.0</v>
      </c>
      <c r="BL84" s="154">
        <v>2421.0</v>
      </c>
      <c r="BM84" s="154">
        <v>385.0</v>
      </c>
      <c r="BN84" s="154">
        <f t="shared" si="456"/>
        <v>5928</v>
      </c>
      <c r="BO84" s="154">
        <v>344.0</v>
      </c>
      <c r="BP84" s="154">
        <v>247.0</v>
      </c>
      <c r="BQ84" s="154">
        <v>299.0</v>
      </c>
      <c r="BR84" s="154">
        <f t="shared" si="457"/>
        <v>890</v>
      </c>
      <c r="BS84" s="154">
        <v>703.0</v>
      </c>
      <c r="BT84" s="154">
        <v>496.0</v>
      </c>
      <c r="BU84" s="154">
        <v>53.0</v>
      </c>
      <c r="BV84" s="154">
        <f t="shared" si="458"/>
        <v>1252</v>
      </c>
      <c r="BW84" s="154">
        <f t="shared" si="459"/>
        <v>13831</v>
      </c>
      <c r="BX84" s="154">
        <v>89.0</v>
      </c>
      <c r="BY84" s="154">
        <f>104</f>
        <v>104</v>
      </c>
      <c r="BZ84" s="154">
        <f t="shared" si="460"/>
        <v>15</v>
      </c>
      <c r="CA84" s="154">
        <v>457.0</v>
      </c>
      <c r="CB84" s="154">
        <f>323+134</f>
        <v>457</v>
      </c>
      <c r="CC84" s="154">
        <f t="shared" si="461"/>
        <v>0</v>
      </c>
      <c r="CD84" s="154">
        <v>138.0</v>
      </c>
      <c r="CE84" s="154">
        <f>150+201</f>
        <v>351</v>
      </c>
      <c r="CF84" s="154">
        <f t="shared" si="462"/>
        <v>213</v>
      </c>
      <c r="CG84" s="154">
        <f>SUM(BX84:CD84)</f>
        <v>1260</v>
      </c>
      <c r="CH84" s="154">
        <v>213.0</v>
      </c>
      <c r="CI84" s="154">
        <f>202+11</f>
        <v>213</v>
      </c>
      <c r="CJ84" s="154">
        <f t="shared" si="464"/>
        <v>0</v>
      </c>
      <c r="CK84" s="154">
        <f t="shared" ref="CK84:CL84" si="474">81+427</f>
        <v>508</v>
      </c>
      <c r="CL84" s="154">
        <f t="shared" si="474"/>
        <v>508</v>
      </c>
      <c r="CM84" s="154">
        <f t="shared" si="465"/>
        <v>0</v>
      </c>
      <c r="CN84" s="154">
        <f t="shared" ref="CN84:CO84" si="475">14+192</f>
        <v>206</v>
      </c>
      <c r="CO84" s="154">
        <f t="shared" si="475"/>
        <v>206</v>
      </c>
      <c r="CP84" s="154">
        <f t="shared" si="466"/>
        <v>0</v>
      </c>
      <c r="CQ84" s="154">
        <f>SUM(CH84:CN84)</f>
        <v>1648</v>
      </c>
      <c r="CR84" s="154">
        <f>100+84</f>
        <v>184</v>
      </c>
      <c r="CS84" s="154">
        <f t="shared" si="468"/>
        <v>228</v>
      </c>
      <c r="CT84" s="154">
        <f t="shared" si="469"/>
        <v>412</v>
      </c>
      <c r="CU84" s="154"/>
      <c r="CV84" s="154"/>
      <c r="CW84" s="154">
        <f t="shared" si="470"/>
        <v>824</v>
      </c>
      <c r="CX84" s="154"/>
      <c r="CY84" s="154"/>
      <c r="CZ84" s="154"/>
      <c r="DA84" s="154">
        <f t="shared" si="471"/>
        <v>0</v>
      </c>
      <c r="DB84" s="154">
        <f t="shared" si="472"/>
        <v>3732</v>
      </c>
      <c r="DC84" s="171">
        <f t="shared" si="473"/>
        <v>113148</v>
      </c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</row>
    <row r="85" ht="15.75" customHeight="1">
      <c r="A85" s="167" t="s">
        <v>155</v>
      </c>
      <c r="B85" s="154">
        <v>657.0</v>
      </c>
      <c r="C85" s="154">
        <v>919.0</v>
      </c>
      <c r="D85" s="154">
        <v>407.0</v>
      </c>
      <c r="E85" s="154">
        <v>176.0</v>
      </c>
      <c r="F85" s="154">
        <v>459.0</v>
      </c>
      <c r="G85" s="154">
        <f t="shared" si="439"/>
        <v>2618</v>
      </c>
      <c r="H85" s="154">
        <v>3653.0</v>
      </c>
      <c r="I85" s="154">
        <v>4248.0</v>
      </c>
      <c r="J85" s="154">
        <v>4555.0</v>
      </c>
      <c r="K85" s="156">
        <f t="shared" si="440"/>
        <v>12456</v>
      </c>
      <c r="L85" s="154">
        <v>3607.0</v>
      </c>
      <c r="M85" s="154">
        <v>4398.0</v>
      </c>
      <c r="N85" s="154">
        <v>2364.0</v>
      </c>
      <c r="O85" s="156">
        <f t="shared" si="441"/>
        <v>10369</v>
      </c>
      <c r="P85" s="154">
        <v>1704.0</v>
      </c>
      <c r="Q85" s="154">
        <v>3382.0</v>
      </c>
      <c r="R85" s="154">
        <v>1821.0</v>
      </c>
      <c r="S85" s="156">
        <f t="shared" si="442"/>
        <v>6907</v>
      </c>
      <c r="T85" s="154">
        <v>3062.0</v>
      </c>
      <c r="U85" s="154">
        <v>1644.0</v>
      </c>
      <c r="V85" s="154">
        <v>602.0</v>
      </c>
      <c r="W85" s="156">
        <f t="shared" si="443"/>
        <v>5308</v>
      </c>
      <c r="X85" s="156">
        <f t="shared" si="444"/>
        <v>35040</v>
      </c>
      <c r="Y85" s="154">
        <v>672.0</v>
      </c>
      <c r="Z85" s="154">
        <v>833.0</v>
      </c>
      <c r="AA85" s="154">
        <v>854.0</v>
      </c>
      <c r="AB85" s="156">
        <f t="shared" si="445"/>
        <v>2359</v>
      </c>
      <c r="AC85" s="154">
        <v>383.0</v>
      </c>
      <c r="AD85" s="154">
        <v>559.0</v>
      </c>
      <c r="AE85" s="154">
        <v>1790.0</v>
      </c>
      <c r="AF85" s="156">
        <f t="shared" si="446"/>
        <v>2732</v>
      </c>
      <c r="AG85" s="154">
        <v>1521.0</v>
      </c>
      <c r="AH85" s="154">
        <v>874.0</v>
      </c>
      <c r="AI85" s="154">
        <v>815.0</v>
      </c>
      <c r="AJ85" s="156">
        <f t="shared" si="447"/>
        <v>3210</v>
      </c>
      <c r="AK85" s="154">
        <v>474.0</v>
      </c>
      <c r="AL85" s="154">
        <v>1438.0</v>
      </c>
      <c r="AM85" s="154">
        <v>525.0</v>
      </c>
      <c r="AN85" s="156">
        <f t="shared" si="448"/>
        <v>2437</v>
      </c>
      <c r="AO85" s="156">
        <f t="shared" si="449"/>
        <v>10738</v>
      </c>
      <c r="AP85" s="154">
        <v>530.0</v>
      </c>
      <c r="AQ85" s="154">
        <v>874.0</v>
      </c>
      <c r="AR85" s="156">
        <v>908.0</v>
      </c>
      <c r="AS85" s="154">
        <f t="shared" si="450"/>
        <v>2312</v>
      </c>
      <c r="AT85" s="154">
        <v>243.0</v>
      </c>
      <c r="AU85" s="154">
        <v>920.0</v>
      </c>
      <c r="AV85" s="154">
        <v>1233.0</v>
      </c>
      <c r="AW85" s="154">
        <f t="shared" si="451"/>
        <v>2396</v>
      </c>
      <c r="AX85" s="154">
        <v>1344.0</v>
      </c>
      <c r="AY85" s="154">
        <v>1299.0</v>
      </c>
      <c r="AZ85" s="154">
        <v>1561.0</v>
      </c>
      <c r="BA85" s="154">
        <f t="shared" si="452"/>
        <v>4204</v>
      </c>
      <c r="BB85" s="154">
        <v>744.0</v>
      </c>
      <c r="BC85" s="154">
        <v>1150.0</v>
      </c>
      <c r="BD85" s="154">
        <v>823.0</v>
      </c>
      <c r="BE85" s="154">
        <f t="shared" si="453"/>
        <v>2717</v>
      </c>
      <c r="BF85" s="154">
        <f t="shared" si="454"/>
        <v>11629</v>
      </c>
      <c r="BG85" s="154">
        <v>708.0</v>
      </c>
      <c r="BH85" s="154">
        <v>448.0</v>
      </c>
      <c r="BI85" s="154">
        <v>192.0</v>
      </c>
      <c r="BJ85" s="154">
        <f t="shared" si="455"/>
        <v>1348</v>
      </c>
      <c r="BK85" s="154">
        <v>98.0</v>
      </c>
      <c r="BL85" s="154">
        <v>255.0</v>
      </c>
      <c r="BM85" s="154">
        <v>19.0</v>
      </c>
      <c r="BN85" s="154">
        <f t="shared" si="456"/>
        <v>372</v>
      </c>
      <c r="BO85" s="154">
        <v>43.0</v>
      </c>
      <c r="BP85" s="154">
        <v>119.0</v>
      </c>
      <c r="BQ85" s="154">
        <v>207.0</v>
      </c>
      <c r="BR85" s="154">
        <f t="shared" si="457"/>
        <v>369</v>
      </c>
      <c r="BS85" s="154">
        <v>22.0</v>
      </c>
      <c r="BT85" s="154">
        <v>76.0</v>
      </c>
      <c r="BU85" s="154">
        <v>0.0</v>
      </c>
      <c r="BV85" s="154">
        <f t="shared" si="458"/>
        <v>98</v>
      </c>
      <c r="BW85" s="154">
        <f t="shared" si="459"/>
        <v>2187</v>
      </c>
      <c r="BX85" s="154">
        <v>0.0</v>
      </c>
      <c r="BY85" s="154">
        <v>25.0</v>
      </c>
      <c r="BZ85" s="154">
        <f t="shared" si="460"/>
        <v>25</v>
      </c>
      <c r="CA85" s="154">
        <v>21.0</v>
      </c>
      <c r="CB85" s="154">
        <v>48.0</v>
      </c>
      <c r="CC85" s="154">
        <f t="shared" si="461"/>
        <v>27</v>
      </c>
      <c r="CD85" s="154">
        <v>28.0</v>
      </c>
      <c r="CE85" s="154">
        <v>103.0</v>
      </c>
      <c r="CF85" s="154">
        <f t="shared" si="462"/>
        <v>75</v>
      </c>
      <c r="CG85" s="154">
        <f t="shared" ref="CG85:CG86" si="476">SUM(BX85:CE85)</f>
        <v>277</v>
      </c>
      <c r="CH85" s="154">
        <v>138.0</v>
      </c>
      <c r="CI85" s="154">
        <v>138.0</v>
      </c>
      <c r="CJ85" s="154">
        <f t="shared" si="464"/>
        <v>0</v>
      </c>
      <c r="CK85" s="154">
        <v>187.0</v>
      </c>
      <c r="CL85" s="154">
        <v>187.0</v>
      </c>
      <c r="CM85" s="154">
        <f t="shared" si="465"/>
        <v>0</v>
      </c>
      <c r="CN85" s="154">
        <v>151.0</v>
      </c>
      <c r="CO85" s="154">
        <v>151.0</v>
      </c>
      <c r="CP85" s="154">
        <f t="shared" si="466"/>
        <v>0</v>
      </c>
      <c r="CQ85" s="154">
        <f t="shared" ref="CQ85:CQ86" si="478">SUM(CH85:CO85)</f>
        <v>952</v>
      </c>
      <c r="CR85" s="154">
        <v>77.0</v>
      </c>
      <c r="CS85" s="154">
        <f t="shared" si="468"/>
        <v>127</v>
      </c>
      <c r="CT85" s="154">
        <f t="shared" si="469"/>
        <v>204</v>
      </c>
      <c r="CU85" s="154"/>
      <c r="CV85" s="154"/>
      <c r="CW85" s="154">
        <f t="shared" si="470"/>
        <v>408</v>
      </c>
      <c r="CX85" s="154"/>
      <c r="CY85" s="154"/>
      <c r="CZ85" s="154"/>
      <c r="DA85" s="154">
        <f t="shared" si="471"/>
        <v>0</v>
      </c>
      <c r="DB85" s="154">
        <f t="shared" si="472"/>
        <v>1637</v>
      </c>
      <c r="DC85" s="171">
        <f t="shared" si="473"/>
        <v>63849</v>
      </c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</row>
    <row r="86" ht="15.75" customHeight="1">
      <c r="A86" s="169" t="s">
        <v>158</v>
      </c>
      <c r="B86" s="154">
        <v>486.0</v>
      </c>
      <c r="C86" s="154">
        <v>1705.0</v>
      </c>
      <c r="D86" s="154">
        <v>1179.0</v>
      </c>
      <c r="E86" s="154">
        <v>498.0</v>
      </c>
      <c r="F86" s="154">
        <v>2334.0</v>
      </c>
      <c r="G86" s="154">
        <f t="shared" si="439"/>
        <v>6202</v>
      </c>
      <c r="H86" s="154">
        <v>3876.0</v>
      </c>
      <c r="I86" s="154">
        <v>3518.0</v>
      </c>
      <c r="J86" s="154">
        <v>4212.0</v>
      </c>
      <c r="K86" s="156">
        <f t="shared" si="440"/>
        <v>11606</v>
      </c>
      <c r="L86" s="154">
        <v>3966.0</v>
      </c>
      <c r="M86" s="154">
        <v>1989.0</v>
      </c>
      <c r="N86" s="154">
        <v>923.0</v>
      </c>
      <c r="O86" s="156">
        <f t="shared" si="441"/>
        <v>6878</v>
      </c>
      <c r="P86" s="154">
        <v>3901.0</v>
      </c>
      <c r="Q86" s="154">
        <v>4935.0</v>
      </c>
      <c r="R86" s="154">
        <v>3111.0</v>
      </c>
      <c r="S86" s="156">
        <f t="shared" si="442"/>
        <v>11947</v>
      </c>
      <c r="T86" s="154">
        <v>3371.0</v>
      </c>
      <c r="U86" s="154">
        <v>2019.0</v>
      </c>
      <c r="V86" s="154">
        <v>1808.0</v>
      </c>
      <c r="W86" s="156">
        <f t="shared" si="443"/>
        <v>7198</v>
      </c>
      <c r="X86" s="156">
        <f t="shared" si="444"/>
        <v>37629</v>
      </c>
      <c r="Y86" s="154">
        <v>2556.0</v>
      </c>
      <c r="Z86" s="154">
        <v>979.0</v>
      </c>
      <c r="AA86" s="154">
        <v>2179.0</v>
      </c>
      <c r="AB86" s="156">
        <f t="shared" si="445"/>
        <v>5714</v>
      </c>
      <c r="AC86" s="154">
        <v>1398.0</v>
      </c>
      <c r="AD86" s="154">
        <v>519.0</v>
      </c>
      <c r="AE86" s="154">
        <v>1909.0</v>
      </c>
      <c r="AF86" s="156">
        <f t="shared" si="446"/>
        <v>3826</v>
      </c>
      <c r="AG86" s="154">
        <v>1802.0</v>
      </c>
      <c r="AH86" s="154">
        <v>1230.0</v>
      </c>
      <c r="AI86" s="154">
        <v>1129.0</v>
      </c>
      <c r="AJ86" s="156">
        <f t="shared" si="447"/>
        <v>4161</v>
      </c>
      <c r="AK86" s="154">
        <v>1633.0</v>
      </c>
      <c r="AL86" s="154">
        <v>1908.0</v>
      </c>
      <c r="AM86" s="154">
        <v>3123.0</v>
      </c>
      <c r="AN86" s="156">
        <f t="shared" si="448"/>
        <v>6664</v>
      </c>
      <c r="AO86" s="156">
        <f t="shared" si="449"/>
        <v>20365</v>
      </c>
      <c r="AP86" s="154">
        <v>1035.0</v>
      </c>
      <c r="AQ86" s="154">
        <v>1763.0</v>
      </c>
      <c r="AR86" s="156">
        <v>1534.0</v>
      </c>
      <c r="AS86" s="154">
        <f t="shared" si="450"/>
        <v>4332</v>
      </c>
      <c r="AT86" s="154">
        <v>270.0</v>
      </c>
      <c r="AU86" s="154">
        <v>713.0</v>
      </c>
      <c r="AV86" s="154">
        <v>775.0</v>
      </c>
      <c r="AW86" s="154">
        <f t="shared" si="451"/>
        <v>1758</v>
      </c>
      <c r="AX86" s="154">
        <v>1113.0</v>
      </c>
      <c r="AY86" s="154">
        <v>840.0</v>
      </c>
      <c r="AZ86" s="154">
        <v>804.0</v>
      </c>
      <c r="BA86" s="154">
        <f t="shared" si="452"/>
        <v>2757</v>
      </c>
      <c r="BB86" s="154">
        <v>486.0</v>
      </c>
      <c r="BC86" s="154">
        <v>978.0</v>
      </c>
      <c r="BD86" s="154">
        <v>679.0</v>
      </c>
      <c r="BE86" s="154">
        <f t="shared" si="453"/>
        <v>2143</v>
      </c>
      <c r="BF86" s="154">
        <f t="shared" si="454"/>
        <v>10990</v>
      </c>
      <c r="BG86" s="154">
        <v>831.0</v>
      </c>
      <c r="BH86" s="154">
        <v>766.0</v>
      </c>
      <c r="BI86" s="154">
        <v>1418.0</v>
      </c>
      <c r="BJ86" s="154">
        <f t="shared" si="455"/>
        <v>3015</v>
      </c>
      <c r="BK86" s="154">
        <v>1305.0</v>
      </c>
      <c r="BL86" s="154">
        <v>1006.0</v>
      </c>
      <c r="BM86" s="154">
        <v>1130.0</v>
      </c>
      <c r="BN86" s="154">
        <f t="shared" si="456"/>
        <v>3441</v>
      </c>
      <c r="BO86" s="154">
        <v>926.0</v>
      </c>
      <c r="BP86" s="154">
        <v>669.0</v>
      </c>
      <c r="BQ86" s="154">
        <v>479.0</v>
      </c>
      <c r="BR86" s="154">
        <f t="shared" si="457"/>
        <v>2074</v>
      </c>
      <c r="BS86" s="154">
        <v>774.0</v>
      </c>
      <c r="BT86" s="154">
        <v>556.0</v>
      </c>
      <c r="BU86" s="154">
        <v>202.0</v>
      </c>
      <c r="BV86" s="154">
        <f t="shared" si="458"/>
        <v>1532</v>
      </c>
      <c r="BW86" s="154">
        <f t="shared" si="459"/>
        <v>10062</v>
      </c>
      <c r="BX86" s="154">
        <v>0.0</v>
      </c>
      <c r="BY86" s="154">
        <f>28+7</f>
        <v>35</v>
      </c>
      <c r="BZ86" s="154">
        <f t="shared" si="460"/>
        <v>35</v>
      </c>
      <c r="CA86" s="154">
        <v>161.0</v>
      </c>
      <c r="CB86" s="154">
        <f>4+326</f>
        <v>330</v>
      </c>
      <c r="CC86" s="154">
        <f t="shared" si="461"/>
        <v>169</v>
      </c>
      <c r="CD86" s="154">
        <v>29.0</v>
      </c>
      <c r="CE86" s="154">
        <v>779.0</v>
      </c>
      <c r="CF86" s="154">
        <f t="shared" si="462"/>
        <v>750</v>
      </c>
      <c r="CG86" s="154">
        <f t="shared" si="476"/>
        <v>1538</v>
      </c>
      <c r="CH86" s="154">
        <v>863.0</v>
      </c>
      <c r="CI86" s="154">
        <f>863+0</f>
        <v>863</v>
      </c>
      <c r="CJ86" s="154">
        <f t="shared" si="464"/>
        <v>0</v>
      </c>
      <c r="CK86" s="154">
        <f t="shared" ref="CK86:CL86" si="477">498+2</f>
        <v>500</v>
      </c>
      <c r="CL86" s="154">
        <f t="shared" si="477"/>
        <v>500</v>
      </c>
      <c r="CM86" s="154">
        <f t="shared" si="465"/>
        <v>0</v>
      </c>
      <c r="CN86" s="154">
        <v>158.0</v>
      </c>
      <c r="CO86" s="154">
        <v>158.0</v>
      </c>
      <c r="CP86" s="154">
        <f t="shared" si="466"/>
        <v>0</v>
      </c>
      <c r="CQ86" s="154">
        <f t="shared" si="478"/>
        <v>3042</v>
      </c>
      <c r="CR86" s="154">
        <f>176+26</f>
        <v>202</v>
      </c>
      <c r="CS86" s="154">
        <f t="shared" si="468"/>
        <v>954</v>
      </c>
      <c r="CT86" s="154">
        <f t="shared" si="469"/>
        <v>1156</v>
      </c>
      <c r="CU86" s="154"/>
      <c r="CV86" s="154"/>
      <c r="CW86" s="154">
        <f t="shared" si="470"/>
        <v>2312</v>
      </c>
      <c r="CX86" s="154"/>
      <c r="CY86" s="154"/>
      <c r="CZ86" s="154"/>
      <c r="DA86" s="154">
        <f t="shared" si="471"/>
        <v>0</v>
      </c>
      <c r="DB86" s="154">
        <f t="shared" si="472"/>
        <v>6892</v>
      </c>
      <c r="DC86" s="171">
        <f t="shared" si="473"/>
        <v>92140</v>
      </c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</row>
    <row r="87" ht="15.75" customHeight="1">
      <c r="A87" s="137" t="s">
        <v>159</v>
      </c>
      <c r="B87" s="141">
        <f t="shared" ref="B87:DC87" si="479">SUM(B88:B92)</f>
        <v>327</v>
      </c>
      <c r="C87" s="141">
        <f t="shared" si="479"/>
        <v>805</v>
      </c>
      <c r="D87" s="141">
        <f t="shared" si="479"/>
        <v>1901</v>
      </c>
      <c r="E87" s="141">
        <f t="shared" si="479"/>
        <v>4000</v>
      </c>
      <c r="F87" s="141">
        <f t="shared" si="479"/>
        <v>7681</v>
      </c>
      <c r="G87" s="141">
        <f t="shared" si="479"/>
        <v>14714</v>
      </c>
      <c r="H87" s="141">
        <f t="shared" si="479"/>
        <v>5922</v>
      </c>
      <c r="I87" s="141">
        <f t="shared" si="479"/>
        <v>18024</v>
      </c>
      <c r="J87" s="141">
        <f t="shared" si="479"/>
        <v>20989</v>
      </c>
      <c r="K87" s="142">
        <f t="shared" si="479"/>
        <v>44935</v>
      </c>
      <c r="L87" s="141">
        <f t="shared" si="479"/>
        <v>20822</v>
      </c>
      <c r="M87" s="141">
        <f t="shared" si="479"/>
        <v>23719</v>
      </c>
      <c r="N87" s="141">
        <f t="shared" si="479"/>
        <v>23426</v>
      </c>
      <c r="O87" s="142">
        <f t="shared" si="479"/>
        <v>67967</v>
      </c>
      <c r="P87" s="141">
        <f t="shared" si="479"/>
        <v>25114</v>
      </c>
      <c r="Q87" s="141">
        <f t="shared" si="479"/>
        <v>28098</v>
      </c>
      <c r="R87" s="141">
        <f t="shared" si="479"/>
        <v>24466</v>
      </c>
      <c r="S87" s="142">
        <f t="shared" si="479"/>
        <v>77678</v>
      </c>
      <c r="T87" s="141">
        <f t="shared" si="479"/>
        <v>27404</v>
      </c>
      <c r="U87" s="141">
        <f t="shared" si="479"/>
        <v>22318</v>
      </c>
      <c r="V87" s="141">
        <f t="shared" si="479"/>
        <v>24430</v>
      </c>
      <c r="W87" s="142">
        <f t="shared" si="479"/>
        <v>74152</v>
      </c>
      <c r="X87" s="142">
        <f t="shared" si="479"/>
        <v>264732</v>
      </c>
      <c r="Y87" s="141">
        <f t="shared" si="479"/>
        <v>3914</v>
      </c>
      <c r="Z87" s="141">
        <f t="shared" si="479"/>
        <v>6640</v>
      </c>
      <c r="AA87" s="141">
        <f t="shared" si="479"/>
        <v>8208</v>
      </c>
      <c r="AB87" s="142">
        <f t="shared" si="479"/>
        <v>18762</v>
      </c>
      <c r="AC87" s="141">
        <f t="shared" si="479"/>
        <v>6788</v>
      </c>
      <c r="AD87" s="141">
        <f t="shared" si="479"/>
        <v>7053</v>
      </c>
      <c r="AE87" s="141">
        <f t="shared" si="479"/>
        <v>7359</v>
      </c>
      <c r="AF87" s="142">
        <f t="shared" si="479"/>
        <v>21200</v>
      </c>
      <c r="AG87" s="141">
        <f t="shared" si="479"/>
        <v>8424</v>
      </c>
      <c r="AH87" s="141">
        <f t="shared" si="479"/>
        <v>9787</v>
      </c>
      <c r="AI87" s="141">
        <f t="shared" si="479"/>
        <v>9120</v>
      </c>
      <c r="AJ87" s="142">
        <f t="shared" si="479"/>
        <v>27331</v>
      </c>
      <c r="AK87" s="141">
        <f t="shared" si="479"/>
        <v>6194</v>
      </c>
      <c r="AL87" s="141">
        <f t="shared" si="479"/>
        <v>4388</v>
      </c>
      <c r="AM87" s="141">
        <f t="shared" si="479"/>
        <v>3823</v>
      </c>
      <c r="AN87" s="142">
        <f t="shared" si="479"/>
        <v>14405</v>
      </c>
      <c r="AO87" s="142">
        <f t="shared" si="479"/>
        <v>81698</v>
      </c>
      <c r="AP87" s="141">
        <f t="shared" si="479"/>
        <v>7765</v>
      </c>
      <c r="AQ87" s="141">
        <f t="shared" si="479"/>
        <v>5576</v>
      </c>
      <c r="AR87" s="142">
        <f t="shared" si="479"/>
        <v>9527</v>
      </c>
      <c r="AS87" s="141">
        <f t="shared" si="479"/>
        <v>22868</v>
      </c>
      <c r="AT87" s="141">
        <f t="shared" si="479"/>
        <v>7519</v>
      </c>
      <c r="AU87" s="141">
        <f t="shared" si="479"/>
        <v>7796</v>
      </c>
      <c r="AV87" s="141">
        <f t="shared" si="479"/>
        <v>6187</v>
      </c>
      <c r="AW87" s="142">
        <f t="shared" si="479"/>
        <v>21502</v>
      </c>
      <c r="AX87" s="141">
        <f t="shared" si="479"/>
        <v>9167</v>
      </c>
      <c r="AY87" s="141">
        <f t="shared" si="479"/>
        <v>8718</v>
      </c>
      <c r="AZ87" s="141">
        <f t="shared" si="479"/>
        <v>10281</v>
      </c>
      <c r="BA87" s="142">
        <f t="shared" si="479"/>
        <v>28166</v>
      </c>
      <c r="BB87" s="141">
        <f t="shared" si="479"/>
        <v>6775</v>
      </c>
      <c r="BC87" s="141">
        <f t="shared" si="479"/>
        <v>13655</v>
      </c>
      <c r="BD87" s="141">
        <f t="shared" si="479"/>
        <v>11159</v>
      </c>
      <c r="BE87" s="142">
        <f t="shared" si="479"/>
        <v>31589</v>
      </c>
      <c r="BF87" s="141">
        <f t="shared" si="479"/>
        <v>104125</v>
      </c>
      <c r="BG87" s="141">
        <f t="shared" si="479"/>
        <v>7168</v>
      </c>
      <c r="BH87" s="141">
        <f t="shared" si="479"/>
        <v>10861</v>
      </c>
      <c r="BI87" s="141">
        <f t="shared" si="479"/>
        <v>11214</v>
      </c>
      <c r="BJ87" s="141">
        <f t="shared" si="479"/>
        <v>29243</v>
      </c>
      <c r="BK87" s="141">
        <f t="shared" si="479"/>
        <v>12145</v>
      </c>
      <c r="BL87" s="141">
        <f t="shared" si="479"/>
        <v>8057</v>
      </c>
      <c r="BM87" s="141">
        <f t="shared" si="479"/>
        <v>9349</v>
      </c>
      <c r="BN87" s="141">
        <f t="shared" si="479"/>
        <v>29551</v>
      </c>
      <c r="BO87" s="141">
        <f t="shared" si="479"/>
        <v>5366</v>
      </c>
      <c r="BP87" s="141">
        <f t="shared" si="479"/>
        <v>4640</v>
      </c>
      <c r="BQ87" s="141">
        <f t="shared" si="479"/>
        <v>2531</v>
      </c>
      <c r="BR87" s="141">
        <f t="shared" si="479"/>
        <v>12537</v>
      </c>
      <c r="BS87" s="141">
        <f t="shared" si="479"/>
        <v>1498</v>
      </c>
      <c r="BT87" s="141">
        <f t="shared" si="479"/>
        <v>1085</v>
      </c>
      <c r="BU87" s="141">
        <f t="shared" si="479"/>
        <v>711</v>
      </c>
      <c r="BV87" s="141">
        <f t="shared" si="479"/>
        <v>3294</v>
      </c>
      <c r="BW87" s="141">
        <f t="shared" si="479"/>
        <v>74625</v>
      </c>
      <c r="BX87" s="141">
        <f t="shared" si="479"/>
        <v>567</v>
      </c>
      <c r="BY87" s="141">
        <f t="shared" si="479"/>
        <v>916</v>
      </c>
      <c r="BZ87" s="141">
        <f t="shared" si="479"/>
        <v>349</v>
      </c>
      <c r="CA87" s="141">
        <f t="shared" si="479"/>
        <v>1250</v>
      </c>
      <c r="CB87" s="141">
        <f t="shared" si="479"/>
        <v>1185</v>
      </c>
      <c r="CC87" s="141">
        <f t="shared" si="479"/>
        <v>-65</v>
      </c>
      <c r="CD87" s="141">
        <f t="shared" si="479"/>
        <v>410</v>
      </c>
      <c r="CE87" s="141">
        <f t="shared" si="479"/>
        <v>1200</v>
      </c>
      <c r="CF87" s="141">
        <f t="shared" si="479"/>
        <v>790</v>
      </c>
      <c r="CG87" s="141">
        <f t="shared" si="479"/>
        <v>5471</v>
      </c>
      <c r="CH87" s="141">
        <f t="shared" si="479"/>
        <v>1399</v>
      </c>
      <c r="CI87" s="141">
        <f t="shared" si="479"/>
        <v>1399</v>
      </c>
      <c r="CJ87" s="141">
        <f t="shared" si="479"/>
        <v>0</v>
      </c>
      <c r="CK87" s="141">
        <f t="shared" si="479"/>
        <v>1185</v>
      </c>
      <c r="CL87" s="141">
        <f t="shared" si="479"/>
        <v>1185</v>
      </c>
      <c r="CM87" s="141">
        <f t="shared" si="479"/>
        <v>0</v>
      </c>
      <c r="CN87" s="141">
        <f t="shared" si="479"/>
        <v>1602</v>
      </c>
      <c r="CO87" s="141">
        <f t="shared" si="479"/>
        <v>1634</v>
      </c>
      <c r="CP87" s="141">
        <f t="shared" si="479"/>
        <v>32</v>
      </c>
      <c r="CQ87" s="141">
        <f t="shared" si="479"/>
        <v>7557</v>
      </c>
      <c r="CR87" s="141">
        <f t="shared" si="479"/>
        <v>2057</v>
      </c>
      <c r="CS87" s="141">
        <f t="shared" si="479"/>
        <v>1106</v>
      </c>
      <c r="CT87" s="141">
        <f t="shared" si="479"/>
        <v>3163</v>
      </c>
      <c r="CU87" s="141">
        <f t="shared" si="479"/>
        <v>0</v>
      </c>
      <c r="CV87" s="141">
        <f t="shared" si="479"/>
        <v>0</v>
      </c>
      <c r="CW87" s="141">
        <f t="shared" si="479"/>
        <v>6326</v>
      </c>
      <c r="CX87" s="141">
        <f t="shared" si="479"/>
        <v>0</v>
      </c>
      <c r="CY87" s="141">
        <f t="shared" si="479"/>
        <v>0</v>
      </c>
      <c r="CZ87" s="141">
        <f t="shared" si="479"/>
        <v>0</v>
      </c>
      <c r="DA87" s="141">
        <f t="shared" si="479"/>
        <v>0</v>
      </c>
      <c r="DB87" s="141">
        <f t="shared" si="479"/>
        <v>19354</v>
      </c>
      <c r="DC87" s="141">
        <f t="shared" si="479"/>
        <v>559248</v>
      </c>
      <c r="DD87" s="4"/>
      <c r="DE87" s="20">
        <f>SUM(AJ87,AN87,BF87,BW87,DB87)</f>
        <v>239840</v>
      </c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1"/>
      <c r="DS87" s="148"/>
    </row>
    <row r="88" ht="15.75" customHeight="1">
      <c r="A88" s="167" t="s">
        <v>160</v>
      </c>
      <c r="B88" s="154">
        <v>93.0</v>
      </c>
      <c r="C88" s="154">
        <v>293.0</v>
      </c>
      <c r="D88" s="154">
        <v>394.0</v>
      </c>
      <c r="E88" s="154">
        <v>843.0</v>
      </c>
      <c r="F88" s="154">
        <v>1702.0</v>
      </c>
      <c r="G88" s="154">
        <f t="shared" ref="G88:G92" si="480">SUM(B88:F88)</f>
        <v>3325</v>
      </c>
      <c r="H88" s="154">
        <v>963.0</v>
      </c>
      <c r="I88" s="154">
        <v>3565.0</v>
      </c>
      <c r="J88" s="154">
        <v>3924.0</v>
      </c>
      <c r="K88" s="156">
        <f t="shared" ref="K88:K92" si="481">SUM(H88:J88)</f>
        <v>8452</v>
      </c>
      <c r="L88" s="154">
        <v>5071.0</v>
      </c>
      <c r="M88" s="154">
        <v>5239.0</v>
      </c>
      <c r="N88" s="154">
        <v>6263.0</v>
      </c>
      <c r="O88" s="156">
        <f t="shared" ref="O88:O92" si="482">SUM(L88:N88)</f>
        <v>16573</v>
      </c>
      <c r="P88" s="154">
        <v>6080.0</v>
      </c>
      <c r="Q88" s="154">
        <v>7215.0</v>
      </c>
      <c r="R88" s="171">
        <v>6086.0</v>
      </c>
      <c r="S88" s="156">
        <f t="shared" ref="S88:S92" si="483">SUM(P88:R88)</f>
        <v>19381</v>
      </c>
      <c r="T88" s="154">
        <v>7448.0</v>
      </c>
      <c r="U88" s="154">
        <v>7324.0</v>
      </c>
      <c r="V88" s="154">
        <v>7750.0</v>
      </c>
      <c r="W88" s="156">
        <f t="shared" ref="W88:W92" si="484">SUM(T88:V88)</f>
        <v>22522</v>
      </c>
      <c r="X88" s="156">
        <f t="shared" ref="X88:X92" si="485">SUM(W88,S88,O88,K88)</f>
        <v>66928</v>
      </c>
      <c r="Y88" s="154">
        <v>1495.0</v>
      </c>
      <c r="Z88" s="154">
        <v>1953.0</v>
      </c>
      <c r="AA88" s="154">
        <v>2492.0</v>
      </c>
      <c r="AB88" s="156">
        <f t="shared" ref="AB88:AB92" si="486">SUM(Y88:AA88)</f>
        <v>5940</v>
      </c>
      <c r="AC88" s="154">
        <v>839.0</v>
      </c>
      <c r="AD88" s="154">
        <v>1428.0</v>
      </c>
      <c r="AE88" s="154">
        <v>1547.0</v>
      </c>
      <c r="AF88" s="156">
        <f t="shared" ref="AF88:AF92" si="487">SUM(AC88:AE88)</f>
        <v>3814</v>
      </c>
      <c r="AG88" s="154">
        <v>1693.0</v>
      </c>
      <c r="AH88" s="154">
        <v>2013.0</v>
      </c>
      <c r="AI88" s="154">
        <v>1810.0</v>
      </c>
      <c r="AJ88" s="156">
        <f t="shared" ref="AJ88:AJ92" si="488">SUM(AG88:AI88)</f>
        <v>5516</v>
      </c>
      <c r="AK88" s="154">
        <v>1351.0</v>
      </c>
      <c r="AL88" s="154">
        <v>960.0</v>
      </c>
      <c r="AM88" s="154">
        <v>985.0</v>
      </c>
      <c r="AN88" s="156">
        <f t="shared" ref="AN88:AN92" si="489">SUM(AK88:AM88)</f>
        <v>3296</v>
      </c>
      <c r="AO88" s="156">
        <f t="shared" ref="AO88:AO92" si="490">SUM(AN88,AJ88,AF88,AB88)</f>
        <v>18566</v>
      </c>
      <c r="AP88" s="154">
        <v>2032.0</v>
      </c>
      <c r="AQ88" s="154">
        <v>881.0</v>
      </c>
      <c r="AR88" s="156">
        <v>1312.0</v>
      </c>
      <c r="AS88" s="154">
        <f t="shared" ref="AS88:AS92" si="491">SUM(AP88:AR88)</f>
        <v>4225</v>
      </c>
      <c r="AT88" s="154">
        <v>1805.0</v>
      </c>
      <c r="AU88" s="154">
        <v>2233.0</v>
      </c>
      <c r="AV88" s="154">
        <v>1272.0</v>
      </c>
      <c r="AW88" s="154">
        <f t="shared" ref="AW88:AW92" si="492">SUM(AT88:AV88)</f>
        <v>5310</v>
      </c>
      <c r="AX88" s="154">
        <v>1611.0</v>
      </c>
      <c r="AY88" s="154">
        <v>1771.0</v>
      </c>
      <c r="AZ88" s="154">
        <v>2359.0</v>
      </c>
      <c r="BA88" s="154">
        <f t="shared" ref="BA88:BA92" si="493">SUM(AX88:AZ88)</f>
        <v>5741</v>
      </c>
      <c r="BB88" s="154">
        <v>1501.0</v>
      </c>
      <c r="BC88" s="154">
        <v>3380.0</v>
      </c>
      <c r="BD88" s="154">
        <v>3394.0</v>
      </c>
      <c r="BE88" s="154">
        <f t="shared" ref="BE88:BE92" si="494">SUM(BB88:BD88)</f>
        <v>8275</v>
      </c>
      <c r="BF88" s="154">
        <f t="shared" ref="BF88:BF92" si="495">SUM(AS88,AW88,BA88,BE88)</f>
        <v>23551</v>
      </c>
      <c r="BG88" s="154">
        <v>1070.0</v>
      </c>
      <c r="BH88" s="154">
        <v>1909.0</v>
      </c>
      <c r="BI88" s="154">
        <v>1745.0</v>
      </c>
      <c r="BJ88" s="154">
        <f t="shared" ref="BJ88:BJ92" si="496">SUM(BG88:BI88)</f>
        <v>4724</v>
      </c>
      <c r="BK88" s="154">
        <v>2300.0</v>
      </c>
      <c r="BL88" s="154">
        <v>1915.0</v>
      </c>
      <c r="BM88" s="154">
        <v>5471.0</v>
      </c>
      <c r="BN88" s="154">
        <f t="shared" ref="BN88:BN92" si="497">SUM(BK88:BM88)</f>
        <v>9686</v>
      </c>
      <c r="BO88" s="154">
        <v>2213.0</v>
      </c>
      <c r="BP88" s="154">
        <v>399.0</v>
      </c>
      <c r="BQ88" s="154">
        <v>224.0</v>
      </c>
      <c r="BR88" s="154">
        <f t="shared" ref="BR88:BR92" si="498">SUM(BO88:BQ88)</f>
        <v>2836</v>
      </c>
      <c r="BS88" s="154">
        <v>800.0</v>
      </c>
      <c r="BT88" s="154">
        <v>153.0</v>
      </c>
      <c r="BU88" s="154">
        <v>86.0</v>
      </c>
      <c r="BV88" s="154">
        <f t="shared" ref="BV88:BV92" si="499">SUM(BS88:BU88)</f>
        <v>1039</v>
      </c>
      <c r="BW88" s="154">
        <f t="shared" ref="BW88:BW92" si="500">SUM(BJ88,BN88,BR88,BV88)</f>
        <v>18285</v>
      </c>
      <c r="BX88" s="154">
        <v>17.0</v>
      </c>
      <c r="BY88" s="154">
        <v>134.0</v>
      </c>
      <c r="BZ88" s="154">
        <f t="shared" ref="BZ88:BZ92" si="501">BY88-BX88</f>
        <v>117</v>
      </c>
      <c r="CA88" s="154">
        <v>228.0</v>
      </c>
      <c r="CB88" s="154">
        <v>226.0</v>
      </c>
      <c r="CC88" s="154">
        <f t="shared" ref="CC88:CC92" si="502">CB88-CA88</f>
        <v>-2</v>
      </c>
      <c r="CD88" s="154">
        <v>54.0</v>
      </c>
      <c r="CE88" s="154">
        <v>181.0</v>
      </c>
      <c r="CF88" s="154">
        <f t="shared" ref="CF88:CF92" si="503">CE88-CD88</f>
        <v>127</v>
      </c>
      <c r="CG88" s="154">
        <f t="shared" ref="CG88:CG89" si="504">SUM(BX88:CE88)</f>
        <v>955</v>
      </c>
      <c r="CH88" s="154">
        <v>316.0</v>
      </c>
      <c r="CI88" s="154">
        <v>316.0</v>
      </c>
      <c r="CJ88" s="154">
        <f t="shared" ref="CJ88:CJ92" si="505">CI88-CH88</f>
        <v>0</v>
      </c>
      <c r="CK88" s="154">
        <v>287.0</v>
      </c>
      <c r="CL88" s="154">
        <v>287.0</v>
      </c>
      <c r="CM88" s="154">
        <f t="shared" ref="CM88:CM92" si="506">CL88-CK88</f>
        <v>0</v>
      </c>
      <c r="CN88" s="154">
        <v>186.0</v>
      </c>
      <c r="CO88" s="154">
        <v>187.0</v>
      </c>
      <c r="CP88" s="154">
        <f t="shared" ref="CP88:CP92" si="507">CO88-CN88</f>
        <v>1</v>
      </c>
      <c r="CQ88" s="154">
        <f t="shared" ref="CQ88:CQ89" si="508">SUM(CH88:CO88)</f>
        <v>1579</v>
      </c>
      <c r="CR88" s="154">
        <v>224.0</v>
      </c>
      <c r="CS88" s="154">
        <f t="shared" ref="CS88:CS92" si="509">SUM(BZ88,CC88,CF88,CJ88,CM88,CP88)</f>
        <v>243</v>
      </c>
      <c r="CT88" s="154">
        <f t="shared" ref="CT88:CT92" si="510">CR88+CS88</f>
        <v>467</v>
      </c>
      <c r="CU88" s="154"/>
      <c r="CV88" s="154"/>
      <c r="CW88" s="154">
        <f t="shared" ref="CW88:CW92" si="511">SUM(CR88:CV88)</f>
        <v>934</v>
      </c>
      <c r="CX88" s="154"/>
      <c r="CY88" s="154"/>
      <c r="CZ88" s="154"/>
      <c r="DA88" s="154">
        <f t="shared" ref="DA88:DA92" si="512">SUM(CX88:CZ88)</f>
        <v>0</v>
      </c>
      <c r="DB88" s="154">
        <f t="shared" ref="DB88:DB92" si="513">SUM(CG88,CQ88,CW88,DA88)</f>
        <v>3468</v>
      </c>
      <c r="DC88" s="171">
        <f t="shared" ref="DC88:DC92" si="514">SUM(A88,G88,X88,AO88,BF88,BW88,DB88)</f>
        <v>134123</v>
      </c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1"/>
      <c r="DS88" s="1"/>
    </row>
    <row r="89" ht="15.75" customHeight="1">
      <c r="A89" s="167" t="s">
        <v>161</v>
      </c>
      <c r="B89" s="154">
        <v>6.0</v>
      </c>
      <c r="C89" s="154">
        <v>121.0</v>
      </c>
      <c r="D89" s="154">
        <v>364.0</v>
      </c>
      <c r="E89" s="154">
        <v>632.0</v>
      </c>
      <c r="F89" s="154">
        <v>2149.0</v>
      </c>
      <c r="G89" s="154">
        <f t="shared" si="480"/>
        <v>3272</v>
      </c>
      <c r="H89" s="154">
        <v>1444.0</v>
      </c>
      <c r="I89" s="154">
        <v>5114.0</v>
      </c>
      <c r="J89" s="154">
        <v>6041.0</v>
      </c>
      <c r="K89" s="156">
        <f t="shared" si="481"/>
        <v>12599</v>
      </c>
      <c r="L89" s="154">
        <v>5148.0</v>
      </c>
      <c r="M89" s="154">
        <v>5596.0</v>
      </c>
      <c r="N89" s="154">
        <v>5806.0</v>
      </c>
      <c r="O89" s="156">
        <f t="shared" si="482"/>
        <v>16550</v>
      </c>
      <c r="P89" s="154">
        <v>6219.0</v>
      </c>
      <c r="Q89" s="154">
        <v>6832.0</v>
      </c>
      <c r="R89" s="154">
        <v>6185.0</v>
      </c>
      <c r="S89" s="156">
        <f t="shared" si="483"/>
        <v>19236</v>
      </c>
      <c r="T89" s="154">
        <v>6159.0</v>
      </c>
      <c r="U89" s="154">
        <v>4570.0</v>
      </c>
      <c r="V89" s="154">
        <v>6408.0</v>
      </c>
      <c r="W89" s="156">
        <f t="shared" si="484"/>
        <v>17137</v>
      </c>
      <c r="X89" s="156">
        <f t="shared" si="485"/>
        <v>65522</v>
      </c>
      <c r="Y89" s="154">
        <v>903.0</v>
      </c>
      <c r="Z89" s="154">
        <v>1715.0</v>
      </c>
      <c r="AA89" s="154">
        <v>1629.0</v>
      </c>
      <c r="AB89" s="156">
        <f t="shared" si="486"/>
        <v>4247</v>
      </c>
      <c r="AC89" s="154">
        <v>1511.0</v>
      </c>
      <c r="AD89" s="154">
        <v>1158.0</v>
      </c>
      <c r="AE89" s="154">
        <v>1096.0</v>
      </c>
      <c r="AF89" s="156">
        <f t="shared" si="487"/>
        <v>3765</v>
      </c>
      <c r="AG89" s="154">
        <v>1411.0</v>
      </c>
      <c r="AH89" s="154">
        <v>1987.0</v>
      </c>
      <c r="AI89" s="154">
        <v>2005.0</v>
      </c>
      <c r="AJ89" s="156">
        <f t="shared" si="488"/>
        <v>5403</v>
      </c>
      <c r="AK89" s="154">
        <v>860.0</v>
      </c>
      <c r="AL89" s="154">
        <v>670.0</v>
      </c>
      <c r="AM89" s="154">
        <v>1129.0</v>
      </c>
      <c r="AN89" s="156">
        <f t="shared" si="489"/>
        <v>2659</v>
      </c>
      <c r="AO89" s="156">
        <f t="shared" si="490"/>
        <v>16074</v>
      </c>
      <c r="AP89" s="154">
        <v>3678.0</v>
      </c>
      <c r="AQ89" s="154">
        <v>1982.0</v>
      </c>
      <c r="AR89" s="156">
        <v>1869.0</v>
      </c>
      <c r="AS89" s="154">
        <f t="shared" si="491"/>
        <v>7529</v>
      </c>
      <c r="AT89" s="154">
        <v>1499.0</v>
      </c>
      <c r="AU89" s="154">
        <v>1654.0</v>
      </c>
      <c r="AV89" s="154">
        <v>1271.0</v>
      </c>
      <c r="AW89" s="154">
        <f t="shared" si="492"/>
        <v>4424</v>
      </c>
      <c r="AX89" s="154">
        <v>2096.0</v>
      </c>
      <c r="AY89" s="154">
        <v>1675.0</v>
      </c>
      <c r="AZ89" s="154">
        <v>2716.0</v>
      </c>
      <c r="BA89" s="154">
        <f t="shared" si="493"/>
        <v>6487</v>
      </c>
      <c r="BB89" s="154">
        <v>1690.0</v>
      </c>
      <c r="BC89" s="154">
        <v>3001.0</v>
      </c>
      <c r="BD89" s="154">
        <v>954.0</v>
      </c>
      <c r="BE89" s="154">
        <f t="shared" si="494"/>
        <v>5645</v>
      </c>
      <c r="BF89" s="154">
        <f t="shared" si="495"/>
        <v>24085</v>
      </c>
      <c r="BG89" s="154">
        <v>476.0</v>
      </c>
      <c r="BH89" s="154">
        <v>506.0</v>
      </c>
      <c r="BI89" s="154">
        <v>308.0</v>
      </c>
      <c r="BJ89" s="154">
        <f t="shared" si="496"/>
        <v>1290</v>
      </c>
      <c r="BK89" s="154">
        <v>304.0</v>
      </c>
      <c r="BL89" s="154">
        <v>394.0</v>
      </c>
      <c r="BM89" s="154">
        <v>664.0</v>
      </c>
      <c r="BN89" s="154">
        <f t="shared" si="497"/>
        <v>1362</v>
      </c>
      <c r="BO89" s="154">
        <v>822.0</v>
      </c>
      <c r="BP89" s="154">
        <v>1252.0</v>
      </c>
      <c r="BQ89" s="154">
        <v>299.0</v>
      </c>
      <c r="BR89" s="154">
        <f t="shared" si="498"/>
        <v>2373</v>
      </c>
      <c r="BS89" s="154">
        <v>122.0</v>
      </c>
      <c r="BT89" s="154">
        <v>269.0</v>
      </c>
      <c r="BU89" s="154">
        <v>225.0</v>
      </c>
      <c r="BV89" s="154">
        <f t="shared" si="499"/>
        <v>616</v>
      </c>
      <c r="BW89" s="154">
        <f t="shared" si="500"/>
        <v>5641</v>
      </c>
      <c r="BX89" s="154">
        <v>116.0</v>
      </c>
      <c r="BY89" s="154">
        <v>139.0</v>
      </c>
      <c r="BZ89" s="154">
        <f t="shared" si="501"/>
        <v>23</v>
      </c>
      <c r="CA89" s="154">
        <v>216.0</v>
      </c>
      <c r="CB89" s="154">
        <v>216.0</v>
      </c>
      <c r="CC89" s="154">
        <f t="shared" si="502"/>
        <v>0</v>
      </c>
      <c r="CD89" s="154">
        <v>111.0</v>
      </c>
      <c r="CE89" s="154">
        <v>272.0</v>
      </c>
      <c r="CF89" s="154">
        <f t="shared" si="503"/>
        <v>161</v>
      </c>
      <c r="CG89" s="154">
        <f t="shared" si="504"/>
        <v>1093</v>
      </c>
      <c r="CH89" s="154">
        <v>233.0</v>
      </c>
      <c r="CI89" s="154">
        <v>233.0</v>
      </c>
      <c r="CJ89" s="154">
        <f t="shared" si="505"/>
        <v>0</v>
      </c>
      <c r="CK89" s="154">
        <v>127.0</v>
      </c>
      <c r="CL89" s="154">
        <v>127.0</v>
      </c>
      <c r="CM89" s="154">
        <f t="shared" si="506"/>
        <v>0</v>
      </c>
      <c r="CN89" s="154">
        <v>184.0</v>
      </c>
      <c r="CO89" s="154">
        <v>186.0</v>
      </c>
      <c r="CP89" s="154">
        <f t="shared" si="507"/>
        <v>2</v>
      </c>
      <c r="CQ89" s="154">
        <f t="shared" si="508"/>
        <v>1090</v>
      </c>
      <c r="CR89" s="154">
        <v>454.0</v>
      </c>
      <c r="CS89" s="154">
        <f t="shared" si="509"/>
        <v>186</v>
      </c>
      <c r="CT89" s="154">
        <f t="shared" si="510"/>
        <v>640</v>
      </c>
      <c r="CU89" s="154"/>
      <c r="CV89" s="154"/>
      <c r="CW89" s="154">
        <f t="shared" si="511"/>
        <v>1280</v>
      </c>
      <c r="CX89" s="154"/>
      <c r="CY89" s="154"/>
      <c r="CZ89" s="154"/>
      <c r="DA89" s="154">
        <f t="shared" si="512"/>
        <v>0</v>
      </c>
      <c r="DB89" s="154">
        <f t="shared" si="513"/>
        <v>3463</v>
      </c>
      <c r="DC89" s="171">
        <f t="shared" si="514"/>
        <v>118057</v>
      </c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1"/>
      <c r="DS89" s="1"/>
    </row>
    <row r="90" ht="15.75" customHeight="1">
      <c r="A90" s="169" t="s">
        <v>162</v>
      </c>
      <c r="B90" s="154">
        <v>225.0</v>
      </c>
      <c r="C90" s="154">
        <v>285.0</v>
      </c>
      <c r="D90" s="154">
        <v>851.0</v>
      </c>
      <c r="E90" s="154">
        <v>1294.0</v>
      </c>
      <c r="F90" s="154">
        <v>2303.0</v>
      </c>
      <c r="G90" s="154">
        <f t="shared" si="480"/>
        <v>4958</v>
      </c>
      <c r="H90" s="154">
        <v>2085.0</v>
      </c>
      <c r="I90" s="154">
        <v>4874.0</v>
      </c>
      <c r="J90" s="154">
        <v>6409.0</v>
      </c>
      <c r="K90" s="156">
        <f t="shared" si="481"/>
        <v>13368</v>
      </c>
      <c r="L90" s="154">
        <v>5963.0</v>
      </c>
      <c r="M90" s="154">
        <v>8642.0</v>
      </c>
      <c r="N90" s="154">
        <v>7062.0</v>
      </c>
      <c r="O90" s="156">
        <f t="shared" si="482"/>
        <v>21667</v>
      </c>
      <c r="P90" s="154">
        <v>6450.0</v>
      </c>
      <c r="Q90" s="154">
        <v>6969.0</v>
      </c>
      <c r="R90" s="154">
        <v>6288.0</v>
      </c>
      <c r="S90" s="156">
        <f t="shared" si="483"/>
        <v>19707</v>
      </c>
      <c r="T90" s="154">
        <v>6617.0</v>
      </c>
      <c r="U90" s="154">
        <v>5395.0</v>
      </c>
      <c r="V90" s="154">
        <v>4012.0</v>
      </c>
      <c r="W90" s="156">
        <f t="shared" si="484"/>
        <v>16024</v>
      </c>
      <c r="X90" s="156">
        <f t="shared" si="485"/>
        <v>70766</v>
      </c>
      <c r="Y90" s="154">
        <v>872.0</v>
      </c>
      <c r="Z90" s="154">
        <v>1342.0</v>
      </c>
      <c r="AA90" s="154">
        <v>1884.0</v>
      </c>
      <c r="AB90" s="156">
        <f t="shared" si="486"/>
        <v>4098</v>
      </c>
      <c r="AC90" s="154">
        <v>2508.0</v>
      </c>
      <c r="AD90" s="154">
        <v>2133.0</v>
      </c>
      <c r="AE90" s="154">
        <v>2510.0</v>
      </c>
      <c r="AF90" s="156">
        <f t="shared" si="487"/>
        <v>7151</v>
      </c>
      <c r="AG90" s="154">
        <v>2460.0</v>
      </c>
      <c r="AH90" s="154">
        <v>2898.0</v>
      </c>
      <c r="AI90" s="154">
        <v>3067.0</v>
      </c>
      <c r="AJ90" s="156">
        <f t="shared" si="488"/>
        <v>8425</v>
      </c>
      <c r="AK90" s="154">
        <v>1993.0</v>
      </c>
      <c r="AL90" s="154">
        <v>1414.0</v>
      </c>
      <c r="AM90" s="154">
        <v>845.0</v>
      </c>
      <c r="AN90" s="156">
        <f t="shared" si="489"/>
        <v>4252</v>
      </c>
      <c r="AO90" s="156">
        <f t="shared" si="490"/>
        <v>23926</v>
      </c>
      <c r="AP90" s="154">
        <v>845.0</v>
      </c>
      <c r="AQ90" s="154">
        <v>1518.0</v>
      </c>
      <c r="AR90" s="156">
        <v>2797.0</v>
      </c>
      <c r="AS90" s="154">
        <f t="shared" si="491"/>
        <v>5160</v>
      </c>
      <c r="AT90" s="154">
        <v>1204.0</v>
      </c>
      <c r="AU90" s="154">
        <v>1262.0</v>
      </c>
      <c r="AV90" s="154">
        <v>2167.0</v>
      </c>
      <c r="AW90" s="154">
        <f t="shared" si="492"/>
        <v>4633</v>
      </c>
      <c r="AX90" s="154">
        <v>2371.0</v>
      </c>
      <c r="AY90" s="154">
        <v>2079.0</v>
      </c>
      <c r="AZ90" s="154">
        <v>1473.0</v>
      </c>
      <c r="BA90" s="154">
        <f t="shared" si="493"/>
        <v>5923</v>
      </c>
      <c r="BB90" s="154">
        <v>790.0</v>
      </c>
      <c r="BC90" s="154">
        <v>1940.0</v>
      </c>
      <c r="BD90" s="154">
        <v>2122.0</v>
      </c>
      <c r="BE90" s="154">
        <f t="shared" si="494"/>
        <v>4852</v>
      </c>
      <c r="BF90" s="154">
        <f t="shared" si="495"/>
        <v>20568</v>
      </c>
      <c r="BG90" s="154">
        <v>3531.0</v>
      </c>
      <c r="BH90" s="154">
        <v>6435.0</v>
      </c>
      <c r="BI90" s="154">
        <v>6383.0</v>
      </c>
      <c r="BJ90" s="154">
        <f t="shared" si="496"/>
        <v>16349</v>
      </c>
      <c r="BK90" s="154">
        <v>5334.0</v>
      </c>
      <c r="BL90" s="154">
        <v>2118.0</v>
      </c>
      <c r="BM90" s="154">
        <v>2503.0</v>
      </c>
      <c r="BN90" s="154">
        <f t="shared" si="497"/>
        <v>9955</v>
      </c>
      <c r="BO90" s="154">
        <v>1391.0</v>
      </c>
      <c r="BP90" s="154">
        <v>623.0</v>
      </c>
      <c r="BQ90" s="154">
        <v>634.0</v>
      </c>
      <c r="BR90" s="154">
        <f t="shared" si="498"/>
        <v>2648</v>
      </c>
      <c r="BS90" s="154">
        <v>307.0</v>
      </c>
      <c r="BT90" s="154">
        <v>298.0</v>
      </c>
      <c r="BU90" s="154">
        <v>264.0</v>
      </c>
      <c r="BV90" s="154">
        <f t="shared" si="499"/>
        <v>869</v>
      </c>
      <c r="BW90" s="154">
        <f t="shared" si="500"/>
        <v>29821</v>
      </c>
      <c r="BX90" s="154">
        <v>0.0</v>
      </c>
      <c r="BY90" s="154">
        <f>67+141</f>
        <v>208</v>
      </c>
      <c r="BZ90" s="154">
        <f t="shared" si="501"/>
        <v>208</v>
      </c>
      <c r="CA90" s="154">
        <v>349.0</v>
      </c>
      <c r="CB90" s="154">
        <f>153+132</f>
        <v>285</v>
      </c>
      <c r="CC90" s="154">
        <f t="shared" si="502"/>
        <v>-64</v>
      </c>
      <c r="CD90" s="154">
        <v>127.0</v>
      </c>
      <c r="CE90" s="154">
        <f>229+112</f>
        <v>341</v>
      </c>
      <c r="CF90" s="154">
        <f t="shared" si="503"/>
        <v>214</v>
      </c>
      <c r="CG90" s="154">
        <f>SUM(BX90:CD90)</f>
        <v>1113</v>
      </c>
      <c r="CH90" s="154">
        <v>481.0</v>
      </c>
      <c r="CI90" s="154">
        <f>262+219</f>
        <v>481</v>
      </c>
      <c r="CJ90" s="154">
        <f t="shared" si="505"/>
        <v>0</v>
      </c>
      <c r="CK90" s="154">
        <f t="shared" ref="CK90:CL90" si="515">285+61</f>
        <v>346</v>
      </c>
      <c r="CL90" s="154">
        <f t="shared" si="515"/>
        <v>346</v>
      </c>
      <c r="CM90" s="154">
        <f t="shared" si="506"/>
        <v>0</v>
      </c>
      <c r="CN90" s="154">
        <f>610+219</f>
        <v>829</v>
      </c>
      <c r="CO90" s="154">
        <f>628+219</f>
        <v>847</v>
      </c>
      <c r="CP90" s="154">
        <f t="shared" si="507"/>
        <v>18</v>
      </c>
      <c r="CQ90" s="154">
        <f>SUM(CH90:CN90)</f>
        <v>2483</v>
      </c>
      <c r="CR90" s="154">
        <f>380+427</f>
        <v>807</v>
      </c>
      <c r="CS90" s="154">
        <f t="shared" si="509"/>
        <v>376</v>
      </c>
      <c r="CT90" s="154">
        <f t="shared" si="510"/>
        <v>1183</v>
      </c>
      <c r="CU90" s="154"/>
      <c r="CV90" s="154"/>
      <c r="CW90" s="154">
        <f t="shared" si="511"/>
        <v>2366</v>
      </c>
      <c r="CX90" s="154"/>
      <c r="CY90" s="154"/>
      <c r="CZ90" s="154"/>
      <c r="DA90" s="154">
        <f t="shared" si="512"/>
        <v>0</v>
      </c>
      <c r="DB90" s="154">
        <f t="shared" si="513"/>
        <v>5962</v>
      </c>
      <c r="DC90" s="171">
        <f t="shared" si="514"/>
        <v>156001</v>
      </c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1"/>
      <c r="DS90" s="1"/>
    </row>
    <row r="91" ht="15.75" customHeight="1">
      <c r="A91" s="167" t="s">
        <v>185</v>
      </c>
      <c r="B91" s="154">
        <v>0.0</v>
      </c>
      <c r="C91" s="154">
        <v>0.0</v>
      </c>
      <c r="D91" s="154">
        <v>73.0</v>
      </c>
      <c r="E91" s="154">
        <v>58.0</v>
      </c>
      <c r="F91" s="154">
        <v>151.0</v>
      </c>
      <c r="G91" s="154">
        <f t="shared" si="480"/>
        <v>282</v>
      </c>
      <c r="H91" s="154">
        <v>166.0</v>
      </c>
      <c r="I91" s="154">
        <v>898.0</v>
      </c>
      <c r="J91" s="155">
        <v>1693.0</v>
      </c>
      <c r="K91" s="156">
        <f t="shared" si="481"/>
        <v>2757</v>
      </c>
      <c r="L91" s="154">
        <v>1551.0</v>
      </c>
      <c r="M91" s="154">
        <v>1521.0</v>
      </c>
      <c r="N91" s="154">
        <v>1055.0</v>
      </c>
      <c r="O91" s="156">
        <f t="shared" si="482"/>
        <v>4127</v>
      </c>
      <c r="P91" s="154">
        <v>1755.0</v>
      </c>
      <c r="Q91" s="154">
        <v>3128.0</v>
      </c>
      <c r="R91" s="154">
        <v>629.0</v>
      </c>
      <c r="S91" s="156">
        <f t="shared" si="483"/>
        <v>5512</v>
      </c>
      <c r="T91" s="154">
        <v>1261.0</v>
      </c>
      <c r="U91" s="179">
        <v>266.0</v>
      </c>
      <c r="V91" s="154">
        <v>1669.0</v>
      </c>
      <c r="W91" s="156">
        <f t="shared" si="484"/>
        <v>3196</v>
      </c>
      <c r="X91" s="156">
        <f t="shared" si="485"/>
        <v>15592</v>
      </c>
      <c r="Y91" s="154">
        <v>276.0</v>
      </c>
      <c r="Z91" s="154">
        <v>523.0</v>
      </c>
      <c r="AA91" s="155">
        <v>530.0</v>
      </c>
      <c r="AB91" s="156">
        <f t="shared" si="486"/>
        <v>1329</v>
      </c>
      <c r="AC91" s="154">
        <v>675.0</v>
      </c>
      <c r="AD91" s="154">
        <v>803.0</v>
      </c>
      <c r="AE91" s="154">
        <v>636.0</v>
      </c>
      <c r="AF91" s="156">
        <f t="shared" si="487"/>
        <v>2114</v>
      </c>
      <c r="AG91" s="154">
        <v>919.0</v>
      </c>
      <c r="AH91" s="154">
        <v>840.0</v>
      </c>
      <c r="AI91" s="154">
        <v>446.0</v>
      </c>
      <c r="AJ91" s="156">
        <f t="shared" si="488"/>
        <v>2205</v>
      </c>
      <c r="AK91" s="154">
        <v>590.0</v>
      </c>
      <c r="AL91" s="154">
        <v>35.0</v>
      </c>
      <c r="AM91" s="154">
        <v>253.0</v>
      </c>
      <c r="AN91" s="156">
        <f t="shared" si="489"/>
        <v>878</v>
      </c>
      <c r="AO91" s="156">
        <f t="shared" si="490"/>
        <v>6526</v>
      </c>
      <c r="AP91" s="154">
        <v>348.0</v>
      </c>
      <c r="AQ91" s="154">
        <v>338.0</v>
      </c>
      <c r="AR91" s="156">
        <v>1737.0</v>
      </c>
      <c r="AS91" s="154">
        <f t="shared" si="491"/>
        <v>2423</v>
      </c>
      <c r="AT91" s="154">
        <v>2181.0</v>
      </c>
      <c r="AU91" s="154">
        <v>2058.0</v>
      </c>
      <c r="AV91" s="154">
        <v>294.0</v>
      </c>
      <c r="AW91" s="154">
        <f t="shared" si="492"/>
        <v>4533</v>
      </c>
      <c r="AX91" s="154">
        <v>572.0</v>
      </c>
      <c r="AY91" s="154">
        <v>1753.0</v>
      </c>
      <c r="AZ91" s="154">
        <v>1329.0</v>
      </c>
      <c r="BA91" s="154">
        <f t="shared" si="493"/>
        <v>3654</v>
      </c>
      <c r="BB91" s="154">
        <v>876.0</v>
      </c>
      <c r="BC91" s="154">
        <v>2641.0</v>
      </c>
      <c r="BD91" s="154">
        <v>3343.0</v>
      </c>
      <c r="BE91" s="154">
        <f t="shared" si="494"/>
        <v>6860</v>
      </c>
      <c r="BF91" s="154">
        <f t="shared" si="495"/>
        <v>17470</v>
      </c>
      <c r="BG91" s="154">
        <v>1521.0</v>
      </c>
      <c r="BH91" s="154">
        <v>1178.0</v>
      </c>
      <c r="BI91" s="154">
        <v>1783.0</v>
      </c>
      <c r="BJ91" s="154">
        <f t="shared" si="496"/>
        <v>4482</v>
      </c>
      <c r="BK91" s="154">
        <v>3741.0</v>
      </c>
      <c r="BL91" s="154">
        <v>3188.0</v>
      </c>
      <c r="BM91" s="154">
        <v>644.0</v>
      </c>
      <c r="BN91" s="154">
        <f t="shared" si="497"/>
        <v>7573</v>
      </c>
      <c r="BO91" s="154">
        <v>477.0</v>
      </c>
      <c r="BP91" s="154">
        <v>200.0</v>
      </c>
      <c r="BQ91" s="154">
        <v>200.0</v>
      </c>
      <c r="BR91" s="154">
        <f t="shared" si="498"/>
        <v>877</v>
      </c>
      <c r="BS91" s="154">
        <v>26.0</v>
      </c>
      <c r="BT91" s="154">
        <v>121.0</v>
      </c>
      <c r="BU91" s="154">
        <v>0.0</v>
      </c>
      <c r="BV91" s="154">
        <f t="shared" si="499"/>
        <v>147</v>
      </c>
      <c r="BW91" s="154">
        <f t="shared" si="500"/>
        <v>13079</v>
      </c>
      <c r="BX91" s="154">
        <v>16.0</v>
      </c>
      <c r="BY91" s="154">
        <v>15.0</v>
      </c>
      <c r="BZ91" s="154">
        <f t="shared" si="501"/>
        <v>-1</v>
      </c>
      <c r="CA91" s="154">
        <v>9.0</v>
      </c>
      <c r="CB91" s="154">
        <v>9.0</v>
      </c>
      <c r="CC91" s="154">
        <f t="shared" si="502"/>
        <v>0</v>
      </c>
      <c r="CD91" s="154">
        <v>39.0</v>
      </c>
      <c r="CE91" s="154">
        <v>242.0</v>
      </c>
      <c r="CF91" s="154">
        <f t="shared" si="503"/>
        <v>203</v>
      </c>
      <c r="CG91" s="154">
        <f t="shared" ref="CG91:CG92" si="516">SUM(BX91:CE91)</f>
        <v>329</v>
      </c>
      <c r="CH91" s="154">
        <v>178.0</v>
      </c>
      <c r="CI91" s="154">
        <v>178.0</v>
      </c>
      <c r="CJ91" s="154">
        <f t="shared" si="505"/>
        <v>0</v>
      </c>
      <c r="CK91" s="154">
        <v>335.0</v>
      </c>
      <c r="CL91" s="154">
        <v>335.0</v>
      </c>
      <c r="CM91" s="154">
        <f t="shared" si="506"/>
        <v>0</v>
      </c>
      <c r="CN91" s="155">
        <v>165.0</v>
      </c>
      <c r="CO91" s="155">
        <v>165.0</v>
      </c>
      <c r="CP91" s="154">
        <f t="shared" si="507"/>
        <v>0</v>
      </c>
      <c r="CQ91" s="154">
        <f t="shared" ref="CQ91:CQ92" si="517">SUM(CH91:CO91)</f>
        <v>1356</v>
      </c>
      <c r="CR91" s="154">
        <v>354.0</v>
      </c>
      <c r="CS91" s="154">
        <f t="shared" si="509"/>
        <v>202</v>
      </c>
      <c r="CT91" s="154">
        <f t="shared" si="510"/>
        <v>556</v>
      </c>
      <c r="CU91" s="154"/>
      <c r="CV91" s="155"/>
      <c r="CW91" s="154">
        <f t="shared" si="511"/>
        <v>1112</v>
      </c>
      <c r="CX91" s="154"/>
      <c r="CY91" s="154"/>
      <c r="CZ91" s="155"/>
      <c r="DA91" s="154">
        <f t="shared" si="512"/>
        <v>0</v>
      </c>
      <c r="DB91" s="154">
        <f t="shared" si="513"/>
        <v>2797</v>
      </c>
      <c r="DC91" s="171">
        <f t="shared" si="514"/>
        <v>55746</v>
      </c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1"/>
      <c r="DS91" s="1"/>
    </row>
    <row r="92" ht="15.75" customHeight="1">
      <c r="A92" s="167" t="s">
        <v>186</v>
      </c>
      <c r="B92" s="154">
        <v>3.0</v>
      </c>
      <c r="C92" s="154">
        <v>106.0</v>
      </c>
      <c r="D92" s="154">
        <v>219.0</v>
      </c>
      <c r="E92" s="154">
        <v>1173.0</v>
      </c>
      <c r="F92" s="154">
        <v>1376.0</v>
      </c>
      <c r="G92" s="154">
        <f t="shared" si="480"/>
        <v>2877</v>
      </c>
      <c r="H92" s="154">
        <v>1264.0</v>
      </c>
      <c r="I92" s="154">
        <v>3573.0</v>
      </c>
      <c r="J92" s="155">
        <v>2922.0</v>
      </c>
      <c r="K92" s="156">
        <f t="shared" si="481"/>
        <v>7759</v>
      </c>
      <c r="L92" s="154">
        <v>3089.0</v>
      </c>
      <c r="M92" s="154">
        <v>2721.0</v>
      </c>
      <c r="N92" s="154">
        <v>3240.0</v>
      </c>
      <c r="O92" s="156">
        <f t="shared" si="482"/>
        <v>9050</v>
      </c>
      <c r="P92" s="154">
        <v>4610.0</v>
      </c>
      <c r="Q92" s="154">
        <v>3954.0</v>
      </c>
      <c r="R92" s="154">
        <v>5278.0</v>
      </c>
      <c r="S92" s="156">
        <f t="shared" si="483"/>
        <v>13842</v>
      </c>
      <c r="T92" s="154">
        <v>5919.0</v>
      </c>
      <c r="U92" s="154">
        <v>4763.0</v>
      </c>
      <c r="V92" s="154">
        <v>4591.0</v>
      </c>
      <c r="W92" s="156">
        <f t="shared" si="484"/>
        <v>15273</v>
      </c>
      <c r="X92" s="156">
        <f t="shared" si="485"/>
        <v>45924</v>
      </c>
      <c r="Y92" s="154">
        <v>368.0</v>
      </c>
      <c r="Z92" s="154">
        <v>1107.0</v>
      </c>
      <c r="AA92" s="155">
        <v>1673.0</v>
      </c>
      <c r="AB92" s="156">
        <f t="shared" si="486"/>
        <v>3148</v>
      </c>
      <c r="AC92" s="154">
        <v>1255.0</v>
      </c>
      <c r="AD92" s="154">
        <v>1531.0</v>
      </c>
      <c r="AE92" s="154">
        <v>1570.0</v>
      </c>
      <c r="AF92" s="156">
        <f t="shared" si="487"/>
        <v>4356</v>
      </c>
      <c r="AG92" s="154">
        <v>1941.0</v>
      </c>
      <c r="AH92" s="154">
        <v>2049.0</v>
      </c>
      <c r="AI92" s="154">
        <v>1792.0</v>
      </c>
      <c r="AJ92" s="156">
        <f t="shared" si="488"/>
        <v>5782</v>
      </c>
      <c r="AK92" s="154">
        <v>1400.0</v>
      </c>
      <c r="AL92" s="154">
        <v>1309.0</v>
      </c>
      <c r="AM92" s="154">
        <v>611.0</v>
      </c>
      <c r="AN92" s="156">
        <f t="shared" si="489"/>
        <v>3320</v>
      </c>
      <c r="AO92" s="156">
        <f t="shared" si="490"/>
        <v>16606</v>
      </c>
      <c r="AP92" s="154">
        <v>862.0</v>
      </c>
      <c r="AQ92" s="154">
        <v>857.0</v>
      </c>
      <c r="AR92" s="156">
        <v>1812.0</v>
      </c>
      <c r="AS92" s="154">
        <f t="shared" si="491"/>
        <v>3531</v>
      </c>
      <c r="AT92" s="154">
        <v>830.0</v>
      </c>
      <c r="AU92" s="154">
        <v>589.0</v>
      </c>
      <c r="AV92" s="154">
        <v>1183.0</v>
      </c>
      <c r="AW92" s="154">
        <f t="shared" si="492"/>
        <v>2602</v>
      </c>
      <c r="AX92" s="154">
        <v>2517.0</v>
      </c>
      <c r="AY92" s="154">
        <v>1440.0</v>
      </c>
      <c r="AZ92" s="154">
        <v>2404.0</v>
      </c>
      <c r="BA92" s="154">
        <f t="shared" si="493"/>
        <v>6361</v>
      </c>
      <c r="BB92" s="154">
        <v>1918.0</v>
      </c>
      <c r="BC92" s="154">
        <v>2693.0</v>
      </c>
      <c r="BD92" s="154">
        <v>1346.0</v>
      </c>
      <c r="BE92" s="154">
        <f t="shared" si="494"/>
        <v>5957</v>
      </c>
      <c r="BF92" s="154">
        <f t="shared" si="495"/>
        <v>18451</v>
      </c>
      <c r="BG92" s="154">
        <v>570.0</v>
      </c>
      <c r="BH92" s="154">
        <v>833.0</v>
      </c>
      <c r="BI92" s="154">
        <v>995.0</v>
      </c>
      <c r="BJ92" s="154">
        <f t="shared" si="496"/>
        <v>2398</v>
      </c>
      <c r="BK92" s="154">
        <v>466.0</v>
      </c>
      <c r="BL92" s="154">
        <v>442.0</v>
      </c>
      <c r="BM92" s="154">
        <v>67.0</v>
      </c>
      <c r="BN92" s="154">
        <f t="shared" si="497"/>
        <v>975</v>
      </c>
      <c r="BO92" s="154">
        <v>463.0</v>
      </c>
      <c r="BP92" s="154">
        <v>2166.0</v>
      </c>
      <c r="BQ92" s="154">
        <v>1174.0</v>
      </c>
      <c r="BR92" s="154">
        <f t="shared" si="498"/>
        <v>3803</v>
      </c>
      <c r="BS92" s="154">
        <v>243.0</v>
      </c>
      <c r="BT92" s="154">
        <v>244.0</v>
      </c>
      <c r="BU92" s="154">
        <v>136.0</v>
      </c>
      <c r="BV92" s="154">
        <f t="shared" si="499"/>
        <v>623</v>
      </c>
      <c r="BW92" s="154">
        <f t="shared" si="500"/>
        <v>7799</v>
      </c>
      <c r="BX92" s="154">
        <v>418.0</v>
      </c>
      <c r="BY92" s="154">
        <v>420.0</v>
      </c>
      <c r="BZ92" s="154">
        <f t="shared" si="501"/>
        <v>2</v>
      </c>
      <c r="CA92" s="154">
        <v>448.0</v>
      </c>
      <c r="CB92" s="154">
        <v>449.0</v>
      </c>
      <c r="CC92" s="154">
        <f t="shared" si="502"/>
        <v>1</v>
      </c>
      <c r="CD92" s="154">
        <v>79.0</v>
      </c>
      <c r="CE92" s="154">
        <v>164.0</v>
      </c>
      <c r="CF92" s="154">
        <f t="shared" si="503"/>
        <v>85</v>
      </c>
      <c r="CG92" s="154">
        <f t="shared" si="516"/>
        <v>1981</v>
      </c>
      <c r="CH92" s="154">
        <v>191.0</v>
      </c>
      <c r="CI92" s="154">
        <v>191.0</v>
      </c>
      <c r="CJ92" s="154">
        <f t="shared" si="505"/>
        <v>0</v>
      </c>
      <c r="CK92" s="154">
        <v>90.0</v>
      </c>
      <c r="CL92" s="154">
        <v>90.0</v>
      </c>
      <c r="CM92" s="154">
        <f t="shared" si="506"/>
        <v>0</v>
      </c>
      <c r="CN92" s="155">
        <v>238.0</v>
      </c>
      <c r="CO92" s="155">
        <v>249.0</v>
      </c>
      <c r="CP92" s="154">
        <f t="shared" si="507"/>
        <v>11</v>
      </c>
      <c r="CQ92" s="154">
        <f t="shared" si="517"/>
        <v>1049</v>
      </c>
      <c r="CR92" s="154">
        <v>218.0</v>
      </c>
      <c r="CS92" s="154">
        <f t="shared" si="509"/>
        <v>99</v>
      </c>
      <c r="CT92" s="154">
        <f t="shared" si="510"/>
        <v>317</v>
      </c>
      <c r="CU92" s="154"/>
      <c r="CV92" s="155"/>
      <c r="CW92" s="154">
        <f t="shared" si="511"/>
        <v>634</v>
      </c>
      <c r="CX92" s="154"/>
      <c r="CY92" s="154"/>
      <c r="CZ92" s="155"/>
      <c r="DA92" s="154">
        <f t="shared" si="512"/>
        <v>0</v>
      </c>
      <c r="DB92" s="154">
        <f t="shared" si="513"/>
        <v>3664</v>
      </c>
      <c r="DC92" s="171">
        <f t="shared" si="514"/>
        <v>95321</v>
      </c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1"/>
      <c r="DS92" s="1"/>
    </row>
    <row r="93" ht="15.75" customHeight="1">
      <c r="A93" s="137" t="s">
        <v>165</v>
      </c>
      <c r="B93" s="141">
        <f t="shared" ref="B93:DC93" si="518">SUM(B94:B98)</f>
        <v>660</v>
      </c>
      <c r="C93" s="141">
        <f t="shared" si="518"/>
        <v>2381</v>
      </c>
      <c r="D93" s="141">
        <f t="shared" si="518"/>
        <v>2723</v>
      </c>
      <c r="E93" s="141">
        <f t="shared" si="518"/>
        <v>3495</v>
      </c>
      <c r="F93" s="141">
        <f t="shared" si="518"/>
        <v>13530</v>
      </c>
      <c r="G93" s="141">
        <f t="shared" si="518"/>
        <v>22789</v>
      </c>
      <c r="H93" s="141">
        <f t="shared" si="518"/>
        <v>19564</v>
      </c>
      <c r="I93" s="141">
        <f t="shared" si="518"/>
        <v>24135</v>
      </c>
      <c r="J93" s="141">
        <f t="shared" si="518"/>
        <v>24167</v>
      </c>
      <c r="K93" s="141">
        <f t="shared" si="518"/>
        <v>67866</v>
      </c>
      <c r="L93" s="141">
        <f t="shared" si="518"/>
        <v>19382</v>
      </c>
      <c r="M93" s="141">
        <f t="shared" si="518"/>
        <v>12416</v>
      </c>
      <c r="N93" s="141">
        <f t="shared" si="518"/>
        <v>13344</v>
      </c>
      <c r="O93" s="141">
        <f t="shared" si="518"/>
        <v>45142</v>
      </c>
      <c r="P93" s="141">
        <f t="shared" si="518"/>
        <v>15953</v>
      </c>
      <c r="Q93" s="141">
        <f t="shared" si="518"/>
        <v>19776</v>
      </c>
      <c r="R93" s="141">
        <f t="shared" si="518"/>
        <v>26016</v>
      </c>
      <c r="S93" s="141">
        <f t="shared" si="518"/>
        <v>61745</v>
      </c>
      <c r="T93" s="141">
        <f t="shared" si="518"/>
        <v>14413</v>
      </c>
      <c r="U93" s="141">
        <f t="shared" si="518"/>
        <v>9675</v>
      </c>
      <c r="V93" s="141">
        <f t="shared" si="518"/>
        <v>2292</v>
      </c>
      <c r="W93" s="141">
        <f t="shared" si="518"/>
        <v>26380</v>
      </c>
      <c r="X93" s="142">
        <f t="shared" si="518"/>
        <v>201133</v>
      </c>
      <c r="Y93" s="141">
        <f t="shared" si="518"/>
        <v>9104</v>
      </c>
      <c r="Z93" s="141">
        <f t="shared" si="518"/>
        <v>5813</v>
      </c>
      <c r="AA93" s="141">
        <f t="shared" si="518"/>
        <v>6142</v>
      </c>
      <c r="AB93" s="141">
        <f t="shared" si="518"/>
        <v>21059</v>
      </c>
      <c r="AC93" s="141">
        <f t="shared" si="518"/>
        <v>7712</v>
      </c>
      <c r="AD93" s="141">
        <f t="shared" si="518"/>
        <v>2941</v>
      </c>
      <c r="AE93" s="141">
        <f t="shared" si="518"/>
        <v>17636</v>
      </c>
      <c r="AF93" s="142">
        <f t="shared" si="518"/>
        <v>28289</v>
      </c>
      <c r="AG93" s="141">
        <f t="shared" si="518"/>
        <v>14392</v>
      </c>
      <c r="AH93" s="141">
        <f t="shared" si="518"/>
        <v>5968</v>
      </c>
      <c r="AI93" s="141">
        <f t="shared" si="518"/>
        <v>7911</v>
      </c>
      <c r="AJ93" s="142">
        <f t="shared" si="518"/>
        <v>28271</v>
      </c>
      <c r="AK93" s="141">
        <f t="shared" si="518"/>
        <v>8371</v>
      </c>
      <c r="AL93" s="141">
        <f t="shared" si="518"/>
        <v>4847</v>
      </c>
      <c r="AM93" s="141">
        <f t="shared" si="518"/>
        <v>2225</v>
      </c>
      <c r="AN93" s="142">
        <f t="shared" si="518"/>
        <v>15443</v>
      </c>
      <c r="AO93" s="142">
        <f t="shared" si="518"/>
        <v>93062</v>
      </c>
      <c r="AP93" s="141">
        <f t="shared" si="518"/>
        <v>2786</v>
      </c>
      <c r="AQ93" s="141">
        <f t="shared" si="518"/>
        <v>2051</v>
      </c>
      <c r="AR93" s="142">
        <f t="shared" si="518"/>
        <v>5254</v>
      </c>
      <c r="AS93" s="141">
        <f t="shared" si="518"/>
        <v>10091</v>
      </c>
      <c r="AT93" s="141">
        <f t="shared" si="518"/>
        <v>1838</v>
      </c>
      <c r="AU93" s="141">
        <f t="shared" si="518"/>
        <v>522</v>
      </c>
      <c r="AV93" s="141">
        <f t="shared" si="518"/>
        <v>2640</v>
      </c>
      <c r="AW93" s="142">
        <f t="shared" si="518"/>
        <v>5000</v>
      </c>
      <c r="AX93" s="141">
        <f t="shared" si="518"/>
        <v>3059</v>
      </c>
      <c r="AY93" s="141">
        <f t="shared" si="518"/>
        <v>9250</v>
      </c>
      <c r="AZ93" s="141">
        <f t="shared" si="518"/>
        <v>6771</v>
      </c>
      <c r="BA93" s="142">
        <f t="shared" si="518"/>
        <v>19080</v>
      </c>
      <c r="BB93" s="141">
        <f t="shared" si="518"/>
        <v>7591</v>
      </c>
      <c r="BC93" s="141">
        <f t="shared" si="518"/>
        <v>7824</v>
      </c>
      <c r="BD93" s="141">
        <f t="shared" si="518"/>
        <v>7394</v>
      </c>
      <c r="BE93" s="142">
        <f t="shared" si="518"/>
        <v>22809</v>
      </c>
      <c r="BF93" s="141">
        <f t="shared" si="518"/>
        <v>56980</v>
      </c>
      <c r="BG93" s="141">
        <f t="shared" si="518"/>
        <v>8478</v>
      </c>
      <c r="BH93" s="141">
        <f t="shared" si="518"/>
        <v>5889</v>
      </c>
      <c r="BI93" s="141">
        <f t="shared" si="518"/>
        <v>3811</v>
      </c>
      <c r="BJ93" s="141">
        <f t="shared" si="518"/>
        <v>18178</v>
      </c>
      <c r="BK93" s="141">
        <f t="shared" si="518"/>
        <v>5375</v>
      </c>
      <c r="BL93" s="141">
        <f t="shared" si="518"/>
        <v>3190</v>
      </c>
      <c r="BM93" s="141">
        <f t="shared" si="518"/>
        <v>2684</v>
      </c>
      <c r="BN93" s="141">
        <f t="shared" si="518"/>
        <v>11249</v>
      </c>
      <c r="BO93" s="141">
        <f t="shared" si="518"/>
        <v>5120</v>
      </c>
      <c r="BP93" s="141">
        <f t="shared" si="518"/>
        <v>3627</v>
      </c>
      <c r="BQ93" s="141">
        <f t="shared" si="518"/>
        <v>5448</v>
      </c>
      <c r="BR93" s="141">
        <f t="shared" si="518"/>
        <v>14195</v>
      </c>
      <c r="BS93" s="141">
        <f t="shared" si="518"/>
        <v>5386</v>
      </c>
      <c r="BT93" s="141">
        <f t="shared" si="518"/>
        <v>2038</v>
      </c>
      <c r="BU93" s="141">
        <f t="shared" si="518"/>
        <v>1426</v>
      </c>
      <c r="BV93" s="141">
        <f t="shared" si="518"/>
        <v>8850</v>
      </c>
      <c r="BW93" s="141">
        <f t="shared" si="518"/>
        <v>52472</v>
      </c>
      <c r="BX93" s="141">
        <f t="shared" si="518"/>
        <v>3071</v>
      </c>
      <c r="BY93" s="141">
        <f t="shared" si="518"/>
        <v>3499</v>
      </c>
      <c r="BZ93" s="141">
        <f t="shared" si="518"/>
        <v>428</v>
      </c>
      <c r="CA93" s="141">
        <f t="shared" si="518"/>
        <v>3089</v>
      </c>
      <c r="CB93" s="141">
        <f t="shared" si="518"/>
        <v>2750</v>
      </c>
      <c r="CC93" s="141">
        <f t="shared" si="518"/>
        <v>-339</v>
      </c>
      <c r="CD93" s="141">
        <f t="shared" si="518"/>
        <v>815</v>
      </c>
      <c r="CE93" s="141">
        <f t="shared" si="518"/>
        <v>2838</v>
      </c>
      <c r="CF93" s="141">
        <f t="shared" si="518"/>
        <v>2023</v>
      </c>
      <c r="CG93" s="141">
        <f t="shared" si="518"/>
        <v>16151</v>
      </c>
      <c r="CH93" s="141">
        <f t="shared" si="518"/>
        <v>1137</v>
      </c>
      <c r="CI93" s="141">
        <f t="shared" si="518"/>
        <v>1137</v>
      </c>
      <c r="CJ93" s="141">
        <f t="shared" si="518"/>
        <v>0</v>
      </c>
      <c r="CK93" s="141">
        <f t="shared" si="518"/>
        <v>2108</v>
      </c>
      <c r="CL93" s="141">
        <f t="shared" si="518"/>
        <v>2108</v>
      </c>
      <c r="CM93" s="141">
        <f t="shared" si="518"/>
        <v>0</v>
      </c>
      <c r="CN93" s="141">
        <f t="shared" si="518"/>
        <v>1102</v>
      </c>
      <c r="CO93" s="141">
        <f t="shared" si="518"/>
        <v>1109</v>
      </c>
      <c r="CP93" s="141">
        <f t="shared" si="518"/>
        <v>7</v>
      </c>
      <c r="CQ93" s="141">
        <f t="shared" si="518"/>
        <v>8464</v>
      </c>
      <c r="CR93" s="141">
        <f t="shared" si="518"/>
        <v>1744</v>
      </c>
      <c r="CS93" s="141">
        <f t="shared" si="518"/>
        <v>2119</v>
      </c>
      <c r="CT93" s="141">
        <f t="shared" si="518"/>
        <v>3863</v>
      </c>
      <c r="CU93" s="141">
        <f t="shared" si="518"/>
        <v>0</v>
      </c>
      <c r="CV93" s="141">
        <f t="shared" si="518"/>
        <v>0</v>
      </c>
      <c r="CW93" s="141">
        <f t="shared" si="518"/>
        <v>7726</v>
      </c>
      <c r="CX93" s="141">
        <f t="shared" si="518"/>
        <v>0</v>
      </c>
      <c r="CY93" s="141">
        <f t="shared" si="518"/>
        <v>0</v>
      </c>
      <c r="CZ93" s="141">
        <f t="shared" si="518"/>
        <v>0</v>
      </c>
      <c r="DA93" s="141">
        <f t="shared" si="518"/>
        <v>0</v>
      </c>
      <c r="DB93" s="141">
        <f t="shared" si="518"/>
        <v>32341</v>
      </c>
      <c r="DC93" s="141">
        <f t="shared" si="518"/>
        <v>458777</v>
      </c>
      <c r="DD93" s="4"/>
      <c r="DE93" s="20">
        <f>SUM(AJ93,AN93,BF93,BW93,DB93)</f>
        <v>185507</v>
      </c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</row>
    <row r="94" ht="15.75" customHeight="1">
      <c r="A94" s="167" t="s">
        <v>166</v>
      </c>
      <c r="B94" s="154">
        <v>341.0</v>
      </c>
      <c r="C94" s="154">
        <v>826.0</v>
      </c>
      <c r="D94" s="154">
        <v>831.0</v>
      </c>
      <c r="E94" s="154">
        <v>870.0</v>
      </c>
      <c r="F94" s="154">
        <v>3562.0</v>
      </c>
      <c r="G94" s="154">
        <f t="shared" ref="G94:G98" si="519">SUM(B94:F94)</f>
        <v>6430</v>
      </c>
      <c r="H94" s="154">
        <v>7652.0</v>
      </c>
      <c r="I94" s="154">
        <v>8510.0</v>
      </c>
      <c r="J94" s="155">
        <v>6798.0</v>
      </c>
      <c r="K94" s="156">
        <f t="shared" ref="K94:K98" si="520">SUM(H94:J94)</f>
        <v>22960</v>
      </c>
      <c r="L94" s="154">
        <v>6670.0</v>
      </c>
      <c r="M94" s="154">
        <v>3685.0</v>
      </c>
      <c r="N94" s="154">
        <v>5237.0</v>
      </c>
      <c r="O94" s="156">
        <f t="shared" ref="O94:O98" si="521">SUM(L94:N94)</f>
        <v>15592</v>
      </c>
      <c r="P94" s="154">
        <v>7495.0</v>
      </c>
      <c r="Q94" s="154">
        <v>12379.0</v>
      </c>
      <c r="R94" s="154">
        <v>12377.0</v>
      </c>
      <c r="S94" s="156">
        <f t="shared" ref="S94:S98" si="522">SUM(P94:R94)</f>
        <v>32251</v>
      </c>
      <c r="T94" s="154">
        <v>5960.0</v>
      </c>
      <c r="U94" s="154">
        <v>2445.0</v>
      </c>
      <c r="V94" s="154">
        <v>759.0</v>
      </c>
      <c r="W94" s="156">
        <f t="shared" ref="W94:W98" si="523">SUM(T94:V94)</f>
        <v>9164</v>
      </c>
      <c r="X94" s="156">
        <f t="shared" ref="X94:X98" si="524">SUM(W94,S94,O94,K94)</f>
        <v>79967</v>
      </c>
      <c r="Y94" s="154">
        <v>2888.0</v>
      </c>
      <c r="Z94" s="154">
        <v>1056.0</v>
      </c>
      <c r="AA94" s="155">
        <v>3283.0</v>
      </c>
      <c r="AB94" s="156">
        <f t="shared" ref="AB94:AB98" si="525">SUM(Y94:AA94)</f>
        <v>7227</v>
      </c>
      <c r="AC94" s="154">
        <v>4793.0</v>
      </c>
      <c r="AD94" s="154">
        <v>984.0</v>
      </c>
      <c r="AE94" s="154">
        <v>7479.0</v>
      </c>
      <c r="AF94" s="156">
        <f t="shared" ref="AF94:AF98" si="526">SUM(AC94:AE94)</f>
        <v>13256</v>
      </c>
      <c r="AG94" s="154">
        <v>6064.0</v>
      </c>
      <c r="AH94" s="154">
        <v>2661.0</v>
      </c>
      <c r="AI94" s="154">
        <v>4609.0</v>
      </c>
      <c r="AJ94" s="156">
        <f t="shared" ref="AJ94:AJ98" si="527">SUM(AG94:AI94)</f>
        <v>13334</v>
      </c>
      <c r="AK94" s="154">
        <v>4816.0</v>
      </c>
      <c r="AL94" s="154">
        <v>2466.0</v>
      </c>
      <c r="AM94" s="154">
        <v>1264.0</v>
      </c>
      <c r="AN94" s="156">
        <f t="shared" ref="AN94:AN98" si="528">SUM(AK94:AM94)</f>
        <v>8546</v>
      </c>
      <c r="AO94" s="156">
        <f t="shared" ref="AO94:AO98" si="529">SUM(AN94,AJ94,AF94,AB94)</f>
        <v>42363</v>
      </c>
      <c r="AP94" s="154">
        <v>1522.0</v>
      </c>
      <c r="AQ94" s="154">
        <v>658.0</v>
      </c>
      <c r="AR94" s="156">
        <v>1444.0</v>
      </c>
      <c r="AS94" s="154">
        <f t="shared" ref="AS94:AS98" si="530">SUM(AP94:AR94)</f>
        <v>3624</v>
      </c>
      <c r="AT94" s="154">
        <v>582.0</v>
      </c>
      <c r="AU94" s="154">
        <v>151.0</v>
      </c>
      <c r="AV94" s="154">
        <v>263.0</v>
      </c>
      <c r="AW94" s="154">
        <f t="shared" ref="AW94:AW98" si="531">SUM(AT94:AV94)</f>
        <v>996</v>
      </c>
      <c r="AX94" s="154">
        <v>345.0</v>
      </c>
      <c r="AY94" s="154">
        <v>2694.0</v>
      </c>
      <c r="AZ94" s="154">
        <v>1572.0</v>
      </c>
      <c r="BA94" s="154">
        <f t="shared" ref="BA94:BA98" si="532">SUM(AX94:AZ94)</f>
        <v>4611</v>
      </c>
      <c r="BB94" s="154">
        <v>918.0</v>
      </c>
      <c r="BC94" s="154">
        <v>1586.0</v>
      </c>
      <c r="BD94" s="154">
        <v>1009.0</v>
      </c>
      <c r="BE94" s="154">
        <f t="shared" ref="BE94:BE98" si="533">SUM(BB94:BD94)</f>
        <v>3513</v>
      </c>
      <c r="BF94" s="154">
        <f t="shared" ref="BF94:BF98" si="534">SUM(AS94,AW94,BA94,BE94)</f>
        <v>12744</v>
      </c>
      <c r="BG94" s="154">
        <v>2704.0</v>
      </c>
      <c r="BH94" s="154">
        <v>1908.0</v>
      </c>
      <c r="BI94" s="154">
        <v>1129.0</v>
      </c>
      <c r="BJ94" s="154">
        <f t="shared" ref="BJ94:BJ98" si="535">SUM(BG94:BI94)</f>
        <v>5741</v>
      </c>
      <c r="BK94" s="154">
        <v>1316.0</v>
      </c>
      <c r="BL94" s="154">
        <v>913.0</v>
      </c>
      <c r="BM94" s="154">
        <v>655.0</v>
      </c>
      <c r="BN94" s="154">
        <f t="shared" ref="BN94:BN98" si="536">SUM(BK94:BM94)</f>
        <v>2884</v>
      </c>
      <c r="BO94" s="154">
        <v>1647.0</v>
      </c>
      <c r="BP94" s="154">
        <v>950.0</v>
      </c>
      <c r="BQ94" s="154">
        <v>1217.0</v>
      </c>
      <c r="BR94" s="154">
        <f t="shared" ref="BR94:BR98" si="537">SUM(BO94:BQ94)</f>
        <v>3814</v>
      </c>
      <c r="BS94" s="154">
        <v>1167.0</v>
      </c>
      <c r="BT94" s="154">
        <v>136.0</v>
      </c>
      <c r="BU94" s="154">
        <v>40.0</v>
      </c>
      <c r="BV94" s="154">
        <f t="shared" ref="BV94:BV98" si="538">SUM(BS94:BU94)</f>
        <v>1343</v>
      </c>
      <c r="BW94" s="154">
        <f t="shared" ref="BW94:BW98" si="539">SUM(BJ94,BN94,BR94,BV94)</f>
        <v>13782</v>
      </c>
      <c r="BX94" s="154">
        <v>602.0</v>
      </c>
      <c r="BY94" s="154">
        <v>865.0</v>
      </c>
      <c r="BZ94" s="154">
        <f t="shared" ref="BZ94:BZ98" si="540">BY94-BX94</f>
        <v>263</v>
      </c>
      <c r="CA94" s="154">
        <f>1427+368</f>
        <v>1795</v>
      </c>
      <c r="CB94" s="154">
        <v>1456.0</v>
      </c>
      <c r="CC94" s="154">
        <f t="shared" ref="CC94:CC98" si="541">CB94-CA94</f>
        <v>-339</v>
      </c>
      <c r="CD94" s="154">
        <v>281.0</v>
      </c>
      <c r="CE94" s="154">
        <v>817.0</v>
      </c>
      <c r="CF94" s="154">
        <f t="shared" ref="CF94:CF98" si="542">CE94-CD94</f>
        <v>536</v>
      </c>
      <c r="CG94" s="154">
        <f t="shared" ref="CG94:CG98" si="543">SUM(BX94:CE94)</f>
        <v>5740</v>
      </c>
      <c r="CH94" s="154">
        <v>350.0</v>
      </c>
      <c r="CI94" s="154">
        <v>350.0</v>
      </c>
      <c r="CJ94" s="154">
        <f t="shared" ref="CJ94:CJ98" si="544">CI94-CH94</f>
        <v>0</v>
      </c>
      <c r="CK94" s="154">
        <v>355.0</v>
      </c>
      <c r="CL94" s="154">
        <v>355.0</v>
      </c>
      <c r="CM94" s="154">
        <f t="shared" ref="CM94:CM98" si="545">CL94-CK94</f>
        <v>0</v>
      </c>
      <c r="CN94" s="155">
        <v>477.0</v>
      </c>
      <c r="CO94" s="155">
        <v>480.0</v>
      </c>
      <c r="CP94" s="154">
        <f t="shared" ref="CP94:CP98" si="546">CO94-CN94</f>
        <v>3</v>
      </c>
      <c r="CQ94" s="154">
        <f t="shared" ref="CQ94:CQ95" si="547">SUM(CH94:CO94)</f>
        <v>2367</v>
      </c>
      <c r="CR94" s="154">
        <v>648.0</v>
      </c>
      <c r="CS94" s="154">
        <f t="shared" ref="CS94:CS98" si="548">SUM(BZ94,CC94,CF94,CJ94,CM94,CP94)</f>
        <v>463</v>
      </c>
      <c r="CT94" s="154">
        <f t="shared" ref="CT94:CT98" si="549">CR94+CS94</f>
        <v>1111</v>
      </c>
      <c r="CU94" s="154"/>
      <c r="CV94" s="155"/>
      <c r="CW94" s="154">
        <f t="shared" ref="CW94:CW98" si="550">SUM(CR94:CV94)</f>
        <v>2222</v>
      </c>
      <c r="CX94" s="154"/>
      <c r="CY94" s="154"/>
      <c r="CZ94" s="155"/>
      <c r="DA94" s="154">
        <f t="shared" ref="DA94:DA98" si="551">SUM(CX94:CZ94)</f>
        <v>0</v>
      </c>
      <c r="DB94" s="154">
        <f t="shared" ref="DB94:DB98" si="552">SUM(CG94,CQ94,CW94,DA94)</f>
        <v>10329</v>
      </c>
      <c r="DC94" s="171">
        <f t="shared" ref="DC94:DC98" si="553">SUM(A94,G94,X94,AO94,BF94,BW94,DB94)</f>
        <v>165615</v>
      </c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</row>
    <row r="95" ht="15.75" customHeight="1">
      <c r="A95" s="167" t="s">
        <v>167</v>
      </c>
      <c r="B95" s="154">
        <v>0.0</v>
      </c>
      <c r="C95" s="154">
        <v>218.0</v>
      </c>
      <c r="D95" s="154">
        <v>338.0</v>
      </c>
      <c r="E95" s="154">
        <v>687.0</v>
      </c>
      <c r="F95" s="154">
        <v>1473.0</v>
      </c>
      <c r="G95" s="154">
        <f t="shared" si="519"/>
        <v>2716</v>
      </c>
      <c r="H95" s="154">
        <v>214.0</v>
      </c>
      <c r="I95" s="154">
        <v>2211.0</v>
      </c>
      <c r="J95" s="154">
        <v>3646.0</v>
      </c>
      <c r="K95" s="156">
        <f t="shared" si="520"/>
        <v>6071</v>
      </c>
      <c r="L95" s="154">
        <v>455.0</v>
      </c>
      <c r="M95" s="154">
        <v>737.0</v>
      </c>
      <c r="N95" s="154">
        <v>1230.0</v>
      </c>
      <c r="O95" s="156">
        <f t="shared" si="521"/>
        <v>2422</v>
      </c>
      <c r="P95" s="154">
        <v>733.0</v>
      </c>
      <c r="Q95" s="154">
        <v>1740.0</v>
      </c>
      <c r="R95" s="154">
        <v>2142.0</v>
      </c>
      <c r="S95" s="156">
        <f t="shared" si="522"/>
        <v>4615</v>
      </c>
      <c r="T95" s="154">
        <v>1760.0</v>
      </c>
      <c r="U95" s="154">
        <v>3288.0</v>
      </c>
      <c r="V95" s="154">
        <v>197.0</v>
      </c>
      <c r="W95" s="156">
        <f t="shared" si="523"/>
        <v>5245</v>
      </c>
      <c r="X95" s="156">
        <f t="shared" si="524"/>
        <v>18353</v>
      </c>
      <c r="Y95" s="154">
        <v>3255.0</v>
      </c>
      <c r="Z95" s="154">
        <v>2193.0</v>
      </c>
      <c r="AA95" s="154">
        <v>153.0</v>
      </c>
      <c r="AB95" s="156">
        <f t="shared" si="525"/>
        <v>5601</v>
      </c>
      <c r="AC95" s="154">
        <v>1429.0</v>
      </c>
      <c r="AD95" s="154">
        <v>916.0</v>
      </c>
      <c r="AE95" s="154">
        <v>1765.0</v>
      </c>
      <c r="AF95" s="156">
        <f t="shared" si="526"/>
        <v>4110</v>
      </c>
      <c r="AG95" s="154">
        <v>2881.0</v>
      </c>
      <c r="AH95" s="154">
        <v>749.0</v>
      </c>
      <c r="AI95" s="154">
        <v>702.0</v>
      </c>
      <c r="AJ95" s="156">
        <f t="shared" si="527"/>
        <v>4332</v>
      </c>
      <c r="AK95" s="154">
        <v>1040.0</v>
      </c>
      <c r="AL95" s="154">
        <v>765.0</v>
      </c>
      <c r="AM95" s="154">
        <v>26.0</v>
      </c>
      <c r="AN95" s="156">
        <f t="shared" si="528"/>
        <v>1831</v>
      </c>
      <c r="AO95" s="156">
        <f t="shared" si="529"/>
        <v>15874</v>
      </c>
      <c r="AP95" s="154">
        <v>195.0</v>
      </c>
      <c r="AQ95" s="154">
        <v>343.0</v>
      </c>
      <c r="AR95" s="156">
        <v>1130.0</v>
      </c>
      <c r="AS95" s="154">
        <f t="shared" si="530"/>
        <v>1668</v>
      </c>
      <c r="AT95" s="154">
        <v>380.0</v>
      </c>
      <c r="AU95" s="154">
        <v>36.0</v>
      </c>
      <c r="AV95" s="154">
        <v>43.0</v>
      </c>
      <c r="AW95" s="154">
        <f t="shared" si="531"/>
        <v>459</v>
      </c>
      <c r="AX95" s="154">
        <v>150.0</v>
      </c>
      <c r="AY95" s="154">
        <v>1210.0</v>
      </c>
      <c r="AZ95" s="154">
        <v>1194.0</v>
      </c>
      <c r="BA95" s="154">
        <f t="shared" si="532"/>
        <v>2554</v>
      </c>
      <c r="BB95" s="154">
        <v>562.0</v>
      </c>
      <c r="BC95" s="154">
        <v>1508.0</v>
      </c>
      <c r="BD95" s="154">
        <v>606.0</v>
      </c>
      <c r="BE95" s="154">
        <f t="shared" si="533"/>
        <v>2676</v>
      </c>
      <c r="BF95" s="154">
        <f t="shared" si="534"/>
        <v>7357</v>
      </c>
      <c r="BG95" s="154">
        <v>1785.0</v>
      </c>
      <c r="BH95" s="154">
        <v>1223.0</v>
      </c>
      <c r="BI95" s="154">
        <v>484.0</v>
      </c>
      <c r="BJ95" s="154">
        <f t="shared" si="535"/>
        <v>3492</v>
      </c>
      <c r="BK95" s="154">
        <v>773.0</v>
      </c>
      <c r="BL95" s="154">
        <v>620.0</v>
      </c>
      <c r="BM95" s="154">
        <v>482.0</v>
      </c>
      <c r="BN95" s="154">
        <f t="shared" si="536"/>
        <v>1875</v>
      </c>
      <c r="BO95" s="154">
        <v>1311.0</v>
      </c>
      <c r="BP95" s="154">
        <v>1058.0</v>
      </c>
      <c r="BQ95" s="154">
        <v>1793.0</v>
      </c>
      <c r="BR95" s="154">
        <f t="shared" si="537"/>
        <v>4162</v>
      </c>
      <c r="BS95" s="154">
        <v>1746.0</v>
      </c>
      <c r="BT95" s="154">
        <v>523.0</v>
      </c>
      <c r="BU95" s="154">
        <v>278.0</v>
      </c>
      <c r="BV95" s="154">
        <f t="shared" si="538"/>
        <v>2547</v>
      </c>
      <c r="BW95" s="154">
        <f t="shared" si="539"/>
        <v>12076</v>
      </c>
      <c r="BX95" s="154">
        <v>714.0</v>
      </c>
      <c r="BY95" s="154">
        <v>716.0</v>
      </c>
      <c r="BZ95" s="154">
        <f t="shared" si="540"/>
        <v>2</v>
      </c>
      <c r="CA95" s="154">
        <v>717.0</v>
      </c>
      <c r="CB95" s="154">
        <v>717.0</v>
      </c>
      <c r="CC95" s="154">
        <f t="shared" si="541"/>
        <v>0</v>
      </c>
      <c r="CD95" s="154">
        <v>131.0</v>
      </c>
      <c r="CE95" s="154">
        <v>552.0</v>
      </c>
      <c r="CF95" s="154">
        <f t="shared" si="542"/>
        <v>421</v>
      </c>
      <c r="CG95" s="154">
        <f t="shared" si="543"/>
        <v>3549</v>
      </c>
      <c r="CH95" s="154">
        <v>225.0</v>
      </c>
      <c r="CI95" s="154">
        <v>225.0</v>
      </c>
      <c r="CJ95" s="154">
        <f t="shared" si="544"/>
        <v>0</v>
      </c>
      <c r="CK95" s="154">
        <v>1075.0</v>
      </c>
      <c r="CL95" s="154">
        <v>1075.0</v>
      </c>
      <c r="CM95" s="154">
        <f t="shared" si="545"/>
        <v>0</v>
      </c>
      <c r="CN95" s="154">
        <v>123.0</v>
      </c>
      <c r="CO95" s="154">
        <v>123.0</v>
      </c>
      <c r="CP95" s="154">
        <f t="shared" si="546"/>
        <v>0</v>
      </c>
      <c r="CQ95" s="154">
        <f t="shared" si="547"/>
        <v>2846</v>
      </c>
      <c r="CR95" s="154">
        <v>358.0</v>
      </c>
      <c r="CS95" s="154">
        <f t="shared" si="548"/>
        <v>423</v>
      </c>
      <c r="CT95" s="154">
        <f t="shared" si="549"/>
        <v>781</v>
      </c>
      <c r="CU95" s="154"/>
      <c r="CV95" s="154"/>
      <c r="CW95" s="154">
        <f t="shared" si="550"/>
        <v>1562</v>
      </c>
      <c r="CX95" s="154"/>
      <c r="CY95" s="154"/>
      <c r="CZ95" s="154"/>
      <c r="DA95" s="154">
        <f t="shared" si="551"/>
        <v>0</v>
      </c>
      <c r="DB95" s="154">
        <f t="shared" si="552"/>
        <v>7957</v>
      </c>
      <c r="DC95" s="171">
        <f t="shared" si="553"/>
        <v>64333</v>
      </c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</row>
    <row r="96" ht="15.75" customHeight="1">
      <c r="A96" s="169" t="s">
        <v>168</v>
      </c>
      <c r="B96" s="154">
        <v>4.0</v>
      </c>
      <c r="C96" s="154">
        <v>635.0</v>
      </c>
      <c r="D96" s="154">
        <v>753.0</v>
      </c>
      <c r="E96" s="154">
        <v>1353.0</v>
      </c>
      <c r="F96" s="154">
        <v>4354.0</v>
      </c>
      <c r="G96" s="154">
        <f t="shared" si="519"/>
        <v>7099</v>
      </c>
      <c r="H96" s="154">
        <v>1848.0</v>
      </c>
      <c r="I96" s="154">
        <v>2116.0</v>
      </c>
      <c r="J96" s="154">
        <v>5070.0</v>
      </c>
      <c r="K96" s="156">
        <f t="shared" si="520"/>
        <v>9034</v>
      </c>
      <c r="L96" s="154">
        <v>3014.0</v>
      </c>
      <c r="M96" s="154">
        <v>2325.0</v>
      </c>
      <c r="N96" s="154">
        <v>2991.0</v>
      </c>
      <c r="O96" s="156">
        <f t="shared" si="521"/>
        <v>8330</v>
      </c>
      <c r="P96" s="154">
        <v>2723.0</v>
      </c>
      <c r="Q96" s="154">
        <v>1772.0</v>
      </c>
      <c r="R96" s="154">
        <v>4201.0</v>
      </c>
      <c r="S96" s="156">
        <f t="shared" si="522"/>
        <v>8696</v>
      </c>
      <c r="T96" s="154">
        <v>3622.0</v>
      </c>
      <c r="U96" s="154">
        <v>1837.0</v>
      </c>
      <c r="V96" s="154">
        <v>522.0</v>
      </c>
      <c r="W96" s="156">
        <f t="shared" si="523"/>
        <v>5981</v>
      </c>
      <c r="X96" s="156">
        <f t="shared" si="524"/>
        <v>32041</v>
      </c>
      <c r="Y96" s="154">
        <v>1307.0</v>
      </c>
      <c r="Z96" s="154">
        <v>887.0</v>
      </c>
      <c r="AA96" s="154">
        <v>968.0</v>
      </c>
      <c r="AB96" s="156">
        <f t="shared" si="525"/>
        <v>3162</v>
      </c>
      <c r="AC96" s="154">
        <v>298.0</v>
      </c>
      <c r="AD96" s="154">
        <v>525.0</v>
      </c>
      <c r="AE96" s="154">
        <v>3629.0</v>
      </c>
      <c r="AF96" s="156">
        <f t="shared" si="526"/>
        <v>4452</v>
      </c>
      <c r="AG96" s="154">
        <v>2872.0</v>
      </c>
      <c r="AH96" s="154">
        <v>1198.0</v>
      </c>
      <c r="AI96" s="154">
        <v>494.0</v>
      </c>
      <c r="AJ96" s="156">
        <f t="shared" si="527"/>
        <v>4564</v>
      </c>
      <c r="AK96" s="154">
        <v>938.0</v>
      </c>
      <c r="AL96" s="154">
        <v>835.0</v>
      </c>
      <c r="AM96" s="154">
        <v>385.0</v>
      </c>
      <c r="AN96" s="156">
        <f t="shared" si="528"/>
        <v>2158</v>
      </c>
      <c r="AO96" s="156">
        <f t="shared" si="529"/>
        <v>14336</v>
      </c>
      <c r="AP96" s="154">
        <v>668.0</v>
      </c>
      <c r="AQ96" s="154">
        <v>485.0</v>
      </c>
      <c r="AR96" s="156">
        <v>493.0</v>
      </c>
      <c r="AS96" s="154">
        <f t="shared" si="530"/>
        <v>1646</v>
      </c>
      <c r="AT96" s="154">
        <v>351.0</v>
      </c>
      <c r="AU96" s="154">
        <v>93.0</v>
      </c>
      <c r="AV96" s="154">
        <v>156.0</v>
      </c>
      <c r="AW96" s="154">
        <f t="shared" si="531"/>
        <v>600</v>
      </c>
      <c r="AX96" s="154">
        <v>374.0</v>
      </c>
      <c r="AY96" s="154">
        <v>1698.0</v>
      </c>
      <c r="AZ96" s="154">
        <v>910.0</v>
      </c>
      <c r="BA96" s="154">
        <f t="shared" si="532"/>
        <v>2982</v>
      </c>
      <c r="BB96" s="154">
        <v>1335.0</v>
      </c>
      <c r="BC96" s="154">
        <v>1567.0</v>
      </c>
      <c r="BD96" s="154">
        <v>708.0</v>
      </c>
      <c r="BE96" s="154">
        <f t="shared" si="533"/>
        <v>3610</v>
      </c>
      <c r="BF96" s="154">
        <f t="shared" si="534"/>
        <v>8838</v>
      </c>
      <c r="BG96" s="154">
        <v>2003.0</v>
      </c>
      <c r="BH96" s="154">
        <v>1591.0</v>
      </c>
      <c r="BI96" s="154">
        <v>845.0</v>
      </c>
      <c r="BJ96" s="154">
        <f t="shared" si="535"/>
        <v>4439</v>
      </c>
      <c r="BK96" s="154">
        <v>909.0</v>
      </c>
      <c r="BL96" s="154">
        <v>504.0</v>
      </c>
      <c r="BM96" s="154">
        <v>453.0</v>
      </c>
      <c r="BN96" s="154">
        <f t="shared" si="536"/>
        <v>1866</v>
      </c>
      <c r="BO96" s="154">
        <v>1027.0</v>
      </c>
      <c r="BP96" s="154">
        <v>533.0</v>
      </c>
      <c r="BQ96" s="154">
        <v>1600.0</v>
      </c>
      <c r="BR96" s="154">
        <f t="shared" si="537"/>
        <v>3160</v>
      </c>
      <c r="BS96" s="154">
        <v>800.0</v>
      </c>
      <c r="BT96" s="154">
        <v>356.0</v>
      </c>
      <c r="BU96" s="154">
        <v>128.0</v>
      </c>
      <c r="BV96" s="154">
        <f t="shared" si="538"/>
        <v>1284</v>
      </c>
      <c r="BW96" s="154">
        <f t="shared" si="539"/>
        <v>10749</v>
      </c>
      <c r="BX96" s="154">
        <v>392.0</v>
      </c>
      <c r="BY96" s="154">
        <f>373+17</f>
        <v>390</v>
      </c>
      <c r="BZ96" s="154">
        <f t="shared" si="540"/>
        <v>-2</v>
      </c>
      <c r="CA96" s="154">
        <v>288.0</v>
      </c>
      <c r="CB96" s="154">
        <f>272+16</f>
        <v>288</v>
      </c>
      <c r="CC96" s="154">
        <f t="shared" si="541"/>
        <v>0</v>
      </c>
      <c r="CD96" s="154">
        <v>80.0</v>
      </c>
      <c r="CE96" s="154">
        <v>343.0</v>
      </c>
      <c r="CF96" s="154">
        <f t="shared" si="542"/>
        <v>263</v>
      </c>
      <c r="CG96" s="154">
        <f t="shared" si="543"/>
        <v>1779</v>
      </c>
      <c r="CH96" s="154">
        <v>320.0</v>
      </c>
      <c r="CI96" s="154">
        <f>304+16</f>
        <v>320</v>
      </c>
      <c r="CJ96" s="154">
        <f t="shared" si="544"/>
        <v>0</v>
      </c>
      <c r="CK96" s="154">
        <v>268.0</v>
      </c>
      <c r="CL96" s="154">
        <v>268.0</v>
      </c>
      <c r="CM96" s="154">
        <f t="shared" si="545"/>
        <v>0</v>
      </c>
      <c r="CN96" s="154">
        <v>235.0</v>
      </c>
      <c r="CO96" s="154">
        <f>236+1</f>
        <v>237</v>
      </c>
      <c r="CP96" s="154">
        <f t="shared" si="546"/>
        <v>2</v>
      </c>
      <c r="CQ96" s="154">
        <f>SUM(CH96:CN96)</f>
        <v>1411</v>
      </c>
      <c r="CR96" s="154">
        <f>388+0</f>
        <v>388</v>
      </c>
      <c r="CS96" s="154">
        <f t="shared" si="548"/>
        <v>263</v>
      </c>
      <c r="CT96" s="154">
        <f t="shared" si="549"/>
        <v>651</v>
      </c>
      <c r="CU96" s="154"/>
      <c r="CV96" s="154"/>
      <c r="CW96" s="154">
        <f t="shared" si="550"/>
        <v>1302</v>
      </c>
      <c r="CX96" s="154"/>
      <c r="CY96" s="154"/>
      <c r="CZ96" s="154"/>
      <c r="DA96" s="154">
        <f t="shared" si="551"/>
        <v>0</v>
      </c>
      <c r="DB96" s="154">
        <f t="shared" si="552"/>
        <v>4492</v>
      </c>
      <c r="DC96" s="171">
        <f t="shared" si="553"/>
        <v>77555</v>
      </c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</row>
    <row r="97" ht="15.75" customHeight="1">
      <c r="A97" s="167" t="s">
        <v>169</v>
      </c>
      <c r="B97" s="154">
        <v>315.0</v>
      </c>
      <c r="C97" s="154">
        <v>702.0</v>
      </c>
      <c r="D97" s="154">
        <v>801.0</v>
      </c>
      <c r="E97" s="154">
        <v>584.0</v>
      </c>
      <c r="F97" s="154">
        <v>4085.0</v>
      </c>
      <c r="G97" s="154">
        <f t="shared" si="519"/>
        <v>6487</v>
      </c>
      <c r="H97" s="154">
        <v>9786.0</v>
      </c>
      <c r="I97" s="154">
        <v>11292.0</v>
      </c>
      <c r="J97" s="154">
        <v>8533.0</v>
      </c>
      <c r="K97" s="156">
        <f t="shared" si="520"/>
        <v>29611</v>
      </c>
      <c r="L97" s="154">
        <v>9242.0</v>
      </c>
      <c r="M97" s="154">
        <v>5669.0</v>
      </c>
      <c r="N97" s="154">
        <v>3884.0</v>
      </c>
      <c r="O97" s="156">
        <f t="shared" si="521"/>
        <v>18795</v>
      </c>
      <c r="P97" s="154">
        <v>4879.0</v>
      </c>
      <c r="Q97" s="154">
        <v>3761.0</v>
      </c>
      <c r="R97" s="154">
        <v>7175.0</v>
      </c>
      <c r="S97" s="156">
        <f t="shared" si="522"/>
        <v>15815</v>
      </c>
      <c r="T97" s="154">
        <v>2890.0</v>
      </c>
      <c r="U97" s="154">
        <v>1990.0</v>
      </c>
      <c r="V97" s="154">
        <v>526.0</v>
      </c>
      <c r="W97" s="156">
        <f t="shared" si="523"/>
        <v>5406</v>
      </c>
      <c r="X97" s="156">
        <f t="shared" si="524"/>
        <v>69627</v>
      </c>
      <c r="Y97" s="154">
        <v>1589.0</v>
      </c>
      <c r="Z97" s="154">
        <v>1332.0</v>
      </c>
      <c r="AA97" s="154">
        <v>1487.0</v>
      </c>
      <c r="AB97" s="156">
        <f t="shared" si="525"/>
        <v>4408</v>
      </c>
      <c r="AC97" s="154">
        <v>922.0</v>
      </c>
      <c r="AD97" s="154">
        <v>411.0</v>
      </c>
      <c r="AE97" s="154">
        <v>4405.0</v>
      </c>
      <c r="AF97" s="156">
        <f t="shared" si="526"/>
        <v>5738</v>
      </c>
      <c r="AG97" s="154">
        <v>2425.0</v>
      </c>
      <c r="AH97" s="154">
        <v>745.0</v>
      </c>
      <c r="AI97" s="154">
        <v>2008.0</v>
      </c>
      <c r="AJ97" s="156">
        <f t="shared" si="527"/>
        <v>5178</v>
      </c>
      <c r="AK97" s="154">
        <v>1353.0</v>
      </c>
      <c r="AL97" s="154">
        <v>393.0</v>
      </c>
      <c r="AM97" s="154">
        <v>240.0</v>
      </c>
      <c r="AN97" s="156">
        <f t="shared" si="528"/>
        <v>1986</v>
      </c>
      <c r="AO97" s="156">
        <f t="shared" si="529"/>
        <v>17310</v>
      </c>
      <c r="AP97" s="154">
        <v>369.0</v>
      </c>
      <c r="AQ97" s="154">
        <v>392.0</v>
      </c>
      <c r="AR97" s="156">
        <v>1708.0</v>
      </c>
      <c r="AS97" s="154">
        <f t="shared" si="530"/>
        <v>2469</v>
      </c>
      <c r="AT97" s="154">
        <v>481.0</v>
      </c>
      <c r="AU97" s="154">
        <v>242.0</v>
      </c>
      <c r="AV97" s="154">
        <v>68.0</v>
      </c>
      <c r="AW97" s="154">
        <f t="shared" si="531"/>
        <v>791</v>
      </c>
      <c r="AX97" s="154">
        <v>110.0</v>
      </c>
      <c r="AY97" s="154">
        <v>2503.0</v>
      </c>
      <c r="AZ97" s="154">
        <v>1307.0</v>
      </c>
      <c r="BA97" s="154">
        <f t="shared" si="532"/>
        <v>3920</v>
      </c>
      <c r="BB97" s="154">
        <v>779.0</v>
      </c>
      <c r="BC97" s="154">
        <v>1225.0</v>
      </c>
      <c r="BD97" s="154">
        <v>501.0</v>
      </c>
      <c r="BE97" s="154">
        <f t="shared" si="533"/>
        <v>2505</v>
      </c>
      <c r="BF97" s="154">
        <f t="shared" si="534"/>
        <v>9685</v>
      </c>
      <c r="BG97" s="154">
        <v>1190.0</v>
      </c>
      <c r="BH97" s="154">
        <v>1111.0</v>
      </c>
      <c r="BI97" s="154">
        <v>361.0</v>
      </c>
      <c r="BJ97" s="154">
        <f t="shared" si="535"/>
        <v>2662</v>
      </c>
      <c r="BK97" s="154">
        <v>1028.0</v>
      </c>
      <c r="BL97" s="154">
        <v>536.0</v>
      </c>
      <c r="BM97" s="154">
        <v>516.0</v>
      </c>
      <c r="BN97" s="154">
        <f t="shared" si="536"/>
        <v>2080</v>
      </c>
      <c r="BO97" s="154">
        <v>584.0</v>
      </c>
      <c r="BP97" s="154">
        <v>630.0</v>
      </c>
      <c r="BQ97" s="154">
        <v>746.0</v>
      </c>
      <c r="BR97" s="154">
        <f t="shared" si="537"/>
        <v>1960</v>
      </c>
      <c r="BS97" s="154">
        <v>1046.0</v>
      </c>
      <c r="BT97" s="154">
        <v>635.0</v>
      </c>
      <c r="BU97" s="154">
        <v>169.0</v>
      </c>
      <c r="BV97" s="154">
        <f t="shared" si="538"/>
        <v>1850</v>
      </c>
      <c r="BW97" s="154">
        <f t="shared" si="539"/>
        <v>8552</v>
      </c>
      <c r="BX97" s="154">
        <v>1363.0</v>
      </c>
      <c r="BY97" s="154">
        <v>1528.0</v>
      </c>
      <c r="BZ97" s="154">
        <f t="shared" si="540"/>
        <v>165</v>
      </c>
      <c r="CA97" s="154">
        <v>289.0</v>
      </c>
      <c r="CB97" s="154">
        <v>289.0</v>
      </c>
      <c r="CC97" s="154">
        <f t="shared" si="541"/>
        <v>0</v>
      </c>
      <c r="CD97" s="154">
        <v>323.0</v>
      </c>
      <c r="CE97" s="154">
        <v>1126.0</v>
      </c>
      <c r="CF97" s="154">
        <f t="shared" si="542"/>
        <v>803</v>
      </c>
      <c r="CG97" s="154">
        <f t="shared" si="543"/>
        <v>5083</v>
      </c>
      <c r="CH97" s="154">
        <v>242.0</v>
      </c>
      <c r="CI97" s="154">
        <v>242.0</v>
      </c>
      <c r="CJ97" s="154">
        <f t="shared" si="544"/>
        <v>0</v>
      </c>
      <c r="CK97" s="154">
        <v>410.0</v>
      </c>
      <c r="CL97" s="154">
        <v>410.0</v>
      </c>
      <c r="CM97" s="154">
        <f t="shared" si="545"/>
        <v>0</v>
      </c>
      <c r="CN97" s="154">
        <v>267.0</v>
      </c>
      <c r="CO97" s="154">
        <v>269.0</v>
      </c>
      <c r="CP97" s="154">
        <f t="shared" si="546"/>
        <v>2</v>
      </c>
      <c r="CQ97" s="154">
        <f>SUM(CH97:CO97)</f>
        <v>1840</v>
      </c>
      <c r="CR97" s="154">
        <v>350.0</v>
      </c>
      <c r="CS97" s="154">
        <f t="shared" si="548"/>
        <v>970</v>
      </c>
      <c r="CT97" s="154">
        <f t="shared" si="549"/>
        <v>1320</v>
      </c>
      <c r="CU97" s="154"/>
      <c r="CV97" s="154"/>
      <c r="CW97" s="154">
        <f t="shared" si="550"/>
        <v>2640</v>
      </c>
      <c r="CX97" s="154"/>
      <c r="CY97" s="154"/>
      <c r="CZ97" s="154"/>
      <c r="DA97" s="154">
        <f t="shared" si="551"/>
        <v>0</v>
      </c>
      <c r="DB97" s="154">
        <f t="shared" si="552"/>
        <v>9563</v>
      </c>
      <c r="DC97" s="171">
        <f t="shared" si="553"/>
        <v>121224</v>
      </c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</row>
    <row r="98" ht="15.75" customHeight="1">
      <c r="A98" s="192" t="s">
        <v>170</v>
      </c>
      <c r="B98" s="154">
        <v>0.0</v>
      </c>
      <c r="C98" s="154">
        <v>0.0</v>
      </c>
      <c r="D98" s="154">
        <v>0.0</v>
      </c>
      <c r="E98" s="154">
        <v>1.0</v>
      </c>
      <c r="F98" s="154">
        <v>56.0</v>
      </c>
      <c r="G98" s="154">
        <f t="shared" si="519"/>
        <v>57</v>
      </c>
      <c r="H98" s="154">
        <v>64.0</v>
      </c>
      <c r="I98" s="154">
        <v>6.0</v>
      </c>
      <c r="J98" s="154">
        <v>120.0</v>
      </c>
      <c r="K98" s="156">
        <f t="shared" si="520"/>
        <v>190</v>
      </c>
      <c r="L98" s="154">
        <v>1.0</v>
      </c>
      <c r="M98" s="154">
        <v>0.0</v>
      </c>
      <c r="N98" s="154">
        <v>2.0</v>
      </c>
      <c r="O98" s="156">
        <f t="shared" si="521"/>
        <v>3</v>
      </c>
      <c r="P98" s="154">
        <v>123.0</v>
      </c>
      <c r="Q98" s="154">
        <v>124.0</v>
      </c>
      <c r="R98" s="154">
        <v>121.0</v>
      </c>
      <c r="S98" s="156">
        <f t="shared" si="522"/>
        <v>368</v>
      </c>
      <c r="T98" s="154">
        <v>181.0</v>
      </c>
      <c r="U98" s="154">
        <v>115.0</v>
      </c>
      <c r="V98" s="154">
        <v>288.0</v>
      </c>
      <c r="W98" s="156">
        <f t="shared" si="523"/>
        <v>584</v>
      </c>
      <c r="X98" s="156">
        <f t="shared" si="524"/>
        <v>1145</v>
      </c>
      <c r="Y98" s="154">
        <v>65.0</v>
      </c>
      <c r="Z98" s="154">
        <v>345.0</v>
      </c>
      <c r="AA98" s="154">
        <v>251.0</v>
      </c>
      <c r="AB98" s="156">
        <f t="shared" si="525"/>
        <v>661</v>
      </c>
      <c r="AC98" s="154">
        <v>270.0</v>
      </c>
      <c r="AD98" s="154">
        <v>105.0</v>
      </c>
      <c r="AE98" s="154">
        <v>358.0</v>
      </c>
      <c r="AF98" s="156">
        <f t="shared" si="526"/>
        <v>733</v>
      </c>
      <c r="AG98" s="154">
        <v>150.0</v>
      </c>
      <c r="AH98" s="154">
        <v>615.0</v>
      </c>
      <c r="AI98" s="154">
        <v>98.0</v>
      </c>
      <c r="AJ98" s="156">
        <f t="shared" si="527"/>
        <v>863</v>
      </c>
      <c r="AK98" s="154">
        <v>224.0</v>
      </c>
      <c r="AL98" s="154">
        <v>388.0</v>
      </c>
      <c r="AM98" s="154">
        <v>310.0</v>
      </c>
      <c r="AN98" s="156">
        <f t="shared" si="528"/>
        <v>922</v>
      </c>
      <c r="AO98" s="156">
        <f t="shared" si="529"/>
        <v>3179</v>
      </c>
      <c r="AP98" s="154">
        <v>32.0</v>
      </c>
      <c r="AQ98" s="154">
        <v>173.0</v>
      </c>
      <c r="AR98" s="156">
        <v>479.0</v>
      </c>
      <c r="AS98" s="154">
        <f t="shared" si="530"/>
        <v>684</v>
      </c>
      <c r="AT98" s="154">
        <v>44.0</v>
      </c>
      <c r="AU98" s="154">
        <v>0.0</v>
      </c>
      <c r="AV98" s="154">
        <v>2110.0</v>
      </c>
      <c r="AW98" s="154">
        <f t="shared" si="531"/>
        <v>2154</v>
      </c>
      <c r="AX98" s="154">
        <v>2080.0</v>
      </c>
      <c r="AY98" s="154">
        <v>1145.0</v>
      </c>
      <c r="AZ98" s="154">
        <v>1788.0</v>
      </c>
      <c r="BA98" s="154">
        <f t="shared" si="532"/>
        <v>5013</v>
      </c>
      <c r="BB98" s="154">
        <v>3997.0</v>
      </c>
      <c r="BC98" s="154">
        <v>1938.0</v>
      </c>
      <c r="BD98" s="154">
        <v>4570.0</v>
      </c>
      <c r="BE98" s="154">
        <f t="shared" si="533"/>
        <v>10505</v>
      </c>
      <c r="BF98" s="154">
        <f t="shared" si="534"/>
        <v>18356</v>
      </c>
      <c r="BG98" s="154">
        <v>796.0</v>
      </c>
      <c r="BH98" s="154">
        <v>56.0</v>
      </c>
      <c r="BI98" s="154">
        <v>992.0</v>
      </c>
      <c r="BJ98" s="154">
        <f t="shared" si="535"/>
        <v>1844</v>
      </c>
      <c r="BK98" s="154">
        <v>1349.0</v>
      </c>
      <c r="BL98" s="154">
        <v>617.0</v>
      </c>
      <c r="BM98" s="154">
        <v>578.0</v>
      </c>
      <c r="BN98" s="154">
        <f t="shared" si="536"/>
        <v>2544</v>
      </c>
      <c r="BO98" s="154">
        <v>551.0</v>
      </c>
      <c r="BP98" s="154">
        <v>456.0</v>
      </c>
      <c r="BQ98" s="154">
        <v>92.0</v>
      </c>
      <c r="BR98" s="154">
        <f t="shared" si="537"/>
        <v>1099</v>
      </c>
      <c r="BS98" s="154">
        <v>627.0</v>
      </c>
      <c r="BT98" s="154">
        <v>388.0</v>
      </c>
      <c r="BU98" s="154">
        <v>811.0</v>
      </c>
      <c r="BV98" s="154">
        <f t="shared" si="538"/>
        <v>1826</v>
      </c>
      <c r="BW98" s="154">
        <f t="shared" si="539"/>
        <v>7313</v>
      </c>
      <c r="BX98" s="154">
        <v>0.0</v>
      </c>
      <c r="BY98" s="154">
        <v>0.0</v>
      </c>
      <c r="BZ98" s="154">
        <f t="shared" si="540"/>
        <v>0</v>
      </c>
      <c r="CA98" s="154">
        <v>0.0</v>
      </c>
      <c r="CB98" s="154">
        <v>0.0</v>
      </c>
      <c r="CC98" s="154">
        <f t="shared" si="541"/>
        <v>0</v>
      </c>
      <c r="CD98" s="154">
        <v>0.0</v>
      </c>
      <c r="CE98" s="154">
        <v>0.0</v>
      </c>
      <c r="CF98" s="154">
        <f t="shared" si="542"/>
        <v>0</v>
      </c>
      <c r="CG98" s="154">
        <f t="shared" si="543"/>
        <v>0</v>
      </c>
      <c r="CH98" s="154">
        <v>0.0</v>
      </c>
      <c r="CI98" s="154">
        <v>0.0</v>
      </c>
      <c r="CJ98" s="154">
        <f t="shared" si="544"/>
        <v>0</v>
      </c>
      <c r="CK98" s="154">
        <v>0.0</v>
      </c>
      <c r="CL98" s="154">
        <v>0.0</v>
      </c>
      <c r="CM98" s="154">
        <f t="shared" si="545"/>
        <v>0</v>
      </c>
      <c r="CN98" s="154">
        <v>0.0</v>
      </c>
      <c r="CO98" s="154">
        <v>0.0</v>
      </c>
      <c r="CP98" s="154">
        <f t="shared" si="546"/>
        <v>0</v>
      </c>
      <c r="CQ98" s="154">
        <f>SUM(CH98:CN98)</f>
        <v>0</v>
      </c>
      <c r="CR98" s="154">
        <v>0.0</v>
      </c>
      <c r="CS98" s="154">
        <f t="shared" si="548"/>
        <v>0</v>
      </c>
      <c r="CT98" s="154">
        <f t="shared" si="549"/>
        <v>0</v>
      </c>
      <c r="CU98" s="154"/>
      <c r="CV98" s="154"/>
      <c r="CW98" s="154">
        <f t="shared" si="550"/>
        <v>0</v>
      </c>
      <c r="CX98" s="154"/>
      <c r="CY98" s="154"/>
      <c r="CZ98" s="154"/>
      <c r="DA98" s="154">
        <f t="shared" si="551"/>
        <v>0</v>
      </c>
      <c r="DB98" s="154">
        <f t="shared" si="552"/>
        <v>0</v>
      </c>
      <c r="DC98" s="171">
        <f t="shared" si="553"/>
        <v>30050</v>
      </c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</row>
    <row r="99" ht="15.75" customHeight="1">
      <c r="A99" s="137" t="s">
        <v>171</v>
      </c>
      <c r="B99" s="141">
        <f t="shared" ref="B99:DC99" si="554">SUM(B100:B104)</f>
        <v>495</v>
      </c>
      <c r="C99" s="141">
        <f t="shared" si="554"/>
        <v>1597</v>
      </c>
      <c r="D99" s="141">
        <f t="shared" si="554"/>
        <v>5793</v>
      </c>
      <c r="E99" s="141">
        <f t="shared" si="554"/>
        <v>5040</v>
      </c>
      <c r="F99" s="141">
        <f t="shared" si="554"/>
        <v>30784</v>
      </c>
      <c r="G99" s="141">
        <f t="shared" si="554"/>
        <v>43709</v>
      </c>
      <c r="H99" s="141">
        <f t="shared" si="554"/>
        <v>9560</v>
      </c>
      <c r="I99" s="141">
        <f t="shared" si="554"/>
        <v>24073</v>
      </c>
      <c r="J99" s="141">
        <f t="shared" si="554"/>
        <v>20319</v>
      </c>
      <c r="K99" s="142">
        <f t="shared" si="554"/>
        <v>53952</v>
      </c>
      <c r="L99" s="141">
        <f t="shared" si="554"/>
        <v>17475</v>
      </c>
      <c r="M99" s="141">
        <f t="shared" si="554"/>
        <v>21915</v>
      </c>
      <c r="N99" s="141">
        <f t="shared" si="554"/>
        <v>19768</v>
      </c>
      <c r="O99" s="142">
        <f t="shared" si="554"/>
        <v>59158</v>
      </c>
      <c r="P99" s="141">
        <f t="shared" si="554"/>
        <v>20714</v>
      </c>
      <c r="Q99" s="141">
        <f t="shared" si="554"/>
        <v>10871</v>
      </c>
      <c r="R99" s="141">
        <f t="shared" si="554"/>
        <v>18223</v>
      </c>
      <c r="S99" s="142">
        <f t="shared" si="554"/>
        <v>49808</v>
      </c>
      <c r="T99" s="141">
        <f t="shared" si="554"/>
        <v>9829</v>
      </c>
      <c r="U99" s="141">
        <f t="shared" si="554"/>
        <v>8242</v>
      </c>
      <c r="V99" s="141">
        <f t="shared" si="554"/>
        <v>5839</v>
      </c>
      <c r="W99" s="142">
        <f t="shared" si="554"/>
        <v>23910</v>
      </c>
      <c r="X99" s="142">
        <f t="shared" si="554"/>
        <v>186828</v>
      </c>
      <c r="Y99" s="141">
        <f t="shared" si="554"/>
        <v>4435</v>
      </c>
      <c r="Z99" s="141">
        <f t="shared" si="554"/>
        <v>2893</v>
      </c>
      <c r="AA99" s="141">
        <f t="shared" si="554"/>
        <v>6347</v>
      </c>
      <c r="AB99" s="142">
        <f t="shared" si="554"/>
        <v>13675</v>
      </c>
      <c r="AC99" s="141">
        <f t="shared" si="554"/>
        <v>4325</v>
      </c>
      <c r="AD99" s="141">
        <f t="shared" si="554"/>
        <v>2545</v>
      </c>
      <c r="AE99" s="141">
        <f t="shared" si="554"/>
        <v>3403</v>
      </c>
      <c r="AF99" s="142">
        <f t="shared" si="554"/>
        <v>10273</v>
      </c>
      <c r="AG99" s="141">
        <f t="shared" si="554"/>
        <v>4040</v>
      </c>
      <c r="AH99" s="141">
        <f t="shared" si="554"/>
        <v>2757</v>
      </c>
      <c r="AI99" s="141">
        <f t="shared" si="554"/>
        <v>3102</v>
      </c>
      <c r="AJ99" s="142">
        <f t="shared" si="554"/>
        <v>9899</v>
      </c>
      <c r="AK99" s="141">
        <f t="shared" si="554"/>
        <v>2462</v>
      </c>
      <c r="AL99" s="141">
        <f t="shared" si="554"/>
        <v>2201</v>
      </c>
      <c r="AM99" s="141">
        <f t="shared" si="554"/>
        <v>897</v>
      </c>
      <c r="AN99" s="142">
        <f t="shared" si="554"/>
        <v>5560</v>
      </c>
      <c r="AO99" s="142">
        <f t="shared" si="554"/>
        <v>39407</v>
      </c>
      <c r="AP99" s="141">
        <f t="shared" si="554"/>
        <v>1440</v>
      </c>
      <c r="AQ99" s="141">
        <f t="shared" si="554"/>
        <v>4145</v>
      </c>
      <c r="AR99" s="142">
        <f t="shared" si="554"/>
        <v>4737</v>
      </c>
      <c r="AS99" s="141">
        <f t="shared" si="554"/>
        <v>10322</v>
      </c>
      <c r="AT99" s="141">
        <f t="shared" si="554"/>
        <v>1883</v>
      </c>
      <c r="AU99" s="141">
        <f t="shared" si="554"/>
        <v>2499</v>
      </c>
      <c r="AV99" s="141">
        <f t="shared" si="554"/>
        <v>1198</v>
      </c>
      <c r="AW99" s="142">
        <f t="shared" si="554"/>
        <v>5580</v>
      </c>
      <c r="AX99" s="141">
        <f t="shared" si="554"/>
        <v>6108</v>
      </c>
      <c r="AY99" s="141">
        <f t="shared" si="554"/>
        <v>5854</v>
      </c>
      <c r="AZ99" s="141">
        <f t="shared" si="554"/>
        <v>8833</v>
      </c>
      <c r="BA99" s="142">
        <f t="shared" si="554"/>
        <v>20795</v>
      </c>
      <c r="BB99" s="141">
        <f t="shared" si="554"/>
        <v>1897</v>
      </c>
      <c r="BC99" s="141">
        <f t="shared" si="554"/>
        <v>3428</v>
      </c>
      <c r="BD99" s="141">
        <f t="shared" si="554"/>
        <v>1516</v>
      </c>
      <c r="BE99" s="142">
        <f t="shared" si="554"/>
        <v>6841</v>
      </c>
      <c r="BF99" s="141">
        <f t="shared" si="554"/>
        <v>43538</v>
      </c>
      <c r="BG99" s="141">
        <f t="shared" si="554"/>
        <v>556</v>
      </c>
      <c r="BH99" s="141">
        <f t="shared" si="554"/>
        <v>595</v>
      </c>
      <c r="BI99" s="141">
        <f t="shared" si="554"/>
        <v>441</v>
      </c>
      <c r="BJ99" s="141">
        <f t="shared" si="554"/>
        <v>1592</v>
      </c>
      <c r="BK99" s="141">
        <f t="shared" si="554"/>
        <v>1522</v>
      </c>
      <c r="BL99" s="141">
        <f t="shared" si="554"/>
        <v>1589</v>
      </c>
      <c r="BM99" s="141">
        <f t="shared" si="554"/>
        <v>1014</v>
      </c>
      <c r="BN99" s="141">
        <f t="shared" si="554"/>
        <v>4125</v>
      </c>
      <c r="BO99" s="141">
        <f t="shared" si="554"/>
        <v>765</v>
      </c>
      <c r="BP99" s="141">
        <f t="shared" si="554"/>
        <v>972</v>
      </c>
      <c r="BQ99" s="141">
        <f t="shared" si="554"/>
        <v>748</v>
      </c>
      <c r="BR99" s="141">
        <f t="shared" si="554"/>
        <v>2485</v>
      </c>
      <c r="BS99" s="141">
        <f t="shared" si="554"/>
        <v>584</v>
      </c>
      <c r="BT99" s="141">
        <f t="shared" si="554"/>
        <v>566</v>
      </c>
      <c r="BU99" s="141">
        <f t="shared" si="554"/>
        <v>159</v>
      </c>
      <c r="BV99" s="141">
        <f t="shared" si="554"/>
        <v>1309</v>
      </c>
      <c r="BW99" s="141">
        <f t="shared" si="554"/>
        <v>9511</v>
      </c>
      <c r="BX99" s="141">
        <f t="shared" si="554"/>
        <v>339</v>
      </c>
      <c r="BY99" s="141">
        <f t="shared" si="554"/>
        <v>2004</v>
      </c>
      <c r="BZ99" s="141">
        <f t="shared" si="554"/>
        <v>1665</v>
      </c>
      <c r="CA99" s="141">
        <f t="shared" si="554"/>
        <v>689</v>
      </c>
      <c r="CB99" s="141">
        <f t="shared" si="554"/>
        <v>1689</v>
      </c>
      <c r="CC99" s="141">
        <f t="shared" si="554"/>
        <v>1000</v>
      </c>
      <c r="CD99" s="141">
        <f t="shared" si="554"/>
        <v>304</v>
      </c>
      <c r="CE99" s="141">
        <f t="shared" si="554"/>
        <v>733</v>
      </c>
      <c r="CF99" s="141">
        <f t="shared" si="554"/>
        <v>429</v>
      </c>
      <c r="CG99" s="141">
        <f t="shared" si="554"/>
        <v>8300</v>
      </c>
      <c r="CH99" s="141">
        <f t="shared" si="554"/>
        <v>655</v>
      </c>
      <c r="CI99" s="141">
        <f t="shared" si="554"/>
        <v>1377</v>
      </c>
      <c r="CJ99" s="141">
        <f t="shared" si="554"/>
        <v>722</v>
      </c>
      <c r="CK99" s="141">
        <f t="shared" si="554"/>
        <v>728</v>
      </c>
      <c r="CL99" s="141">
        <f t="shared" si="554"/>
        <v>728</v>
      </c>
      <c r="CM99" s="141">
        <f t="shared" si="554"/>
        <v>0</v>
      </c>
      <c r="CN99" s="141">
        <f t="shared" si="554"/>
        <v>1462</v>
      </c>
      <c r="CO99" s="141">
        <f t="shared" si="554"/>
        <v>1479</v>
      </c>
      <c r="CP99" s="141">
        <f t="shared" si="554"/>
        <v>17</v>
      </c>
      <c r="CQ99" s="141">
        <f t="shared" si="554"/>
        <v>7099</v>
      </c>
      <c r="CR99" s="141">
        <f t="shared" si="554"/>
        <v>817</v>
      </c>
      <c r="CS99" s="141">
        <f t="shared" si="554"/>
        <v>3833</v>
      </c>
      <c r="CT99" s="141">
        <f t="shared" si="554"/>
        <v>4650</v>
      </c>
      <c r="CU99" s="141">
        <f t="shared" si="554"/>
        <v>0</v>
      </c>
      <c r="CV99" s="141">
        <f t="shared" si="554"/>
        <v>0</v>
      </c>
      <c r="CW99" s="141">
        <f t="shared" si="554"/>
        <v>9300</v>
      </c>
      <c r="CX99" s="141">
        <f t="shared" si="554"/>
        <v>0</v>
      </c>
      <c r="CY99" s="141">
        <f t="shared" si="554"/>
        <v>0</v>
      </c>
      <c r="CZ99" s="141">
        <f t="shared" si="554"/>
        <v>0</v>
      </c>
      <c r="DA99" s="141">
        <f t="shared" si="554"/>
        <v>0</v>
      </c>
      <c r="DB99" s="141">
        <f t="shared" si="554"/>
        <v>24699</v>
      </c>
      <c r="DC99" s="141">
        <f t="shared" si="554"/>
        <v>347692</v>
      </c>
      <c r="DD99" s="4"/>
      <c r="DE99" s="20">
        <f>SUM(AJ99,AN99,BF99,BW99,DB99)</f>
        <v>93207</v>
      </c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</row>
    <row r="100" ht="15.75" customHeight="1">
      <c r="A100" s="169" t="s">
        <v>172</v>
      </c>
      <c r="B100" s="154">
        <v>0.0</v>
      </c>
      <c r="C100" s="154">
        <v>41.0</v>
      </c>
      <c r="D100" s="154">
        <v>784.0</v>
      </c>
      <c r="E100" s="154">
        <v>1116.0</v>
      </c>
      <c r="F100" s="154">
        <v>7358.0</v>
      </c>
      <c r="G100" s="154">
        <f t="shared" ref="G100:G104" si="556">SUM(B100:F100)</f>
        <v>9299</v>
      </c>
      <c r="H100" s="154">
        <v>2288.0</v>
      </c>
      <c r="I100" s="154">
        <v>4608.0</v>
      </c>
      <c r="J100" s="154">
        <v>4380.0</v>
      </c>
      <c r="K100" s="156">
        <f t="shared" ref="K100:K104" si="557">SUM(H100:J100)</f>
        <v>11276</v>
      </c>
      <c r="L100" s="154">
        <v>3733.0</v>
      </c>
      <c r="M100" s="154">
        <v>5857.0</v>
      </c>
      <c r="N100" s="154">
        <v>4745.0</v>
      </c>
      <c r="O100" s="156">
        <f t="shared" ref="O100:O104" si="558">SUM(L100:N100)</f>
        <v>14335</v>
      </c>
      <c r="P100" s="154">
        <v>5296.0</v>
      </c>
      <c r="Q100" s="154">
        <v>1770.0</v>
      </c>
      <c r="R100" s="154">
        <v>5325.0</v>
      </c>
      <c r="S100" s="156">
        <f t="shared" ref="S100:S104" si="559">SUM(P100:R100)</f>
        <v>12391</v>
      </c>
      <c r="T100" s="154">
        <v>562.0</v>
      </c>
      <c r="U100" s="154">
        <v>597.0</v>
      </c>
      <c r="V100" s="154">
        <v>493.0</v>
      </c>
      <c r="W100" s="156">
        <f t="shared" ref="W100:W104" si="560">SUM(T100:V100)</f>
        <v>1652</v>
      </c>
      <c r="X100" s="156">
        <f t="shared" ref="X100:X104" si="561">SUM(W100,S100,O100,K100)</f>
        <v>39654</v>
      </c>
      <c r="Y100" s="154">
        <v>344.0</v>
      </c>
      <c r="Z100" s="154">
        <v>1163.0</v>
      </c>
      <c r="AA100" s="154">
        <v>997.0</v>
      </c>
      <c r="AB100" s="156">
        <f t="shared" ref="AB100:AB104" si="562">SUM(Y100:AA100)</f>
        <v>2504</v>
      </c>
      <c r="AC100" s="154">
        <v>324.0</v>
      </c>
      <c r="AD100" s="154">
        <v>285.0</v>
      </c>
      <c r="AE100" s="154">
        <v>378.0</v>
      </c>
      <c r="AF100" s="156">
        <f t="shared" ref="AF100:AF104" si="563">SUM(AC100:AE100)</f>
        <v>987</v>
      </c>
      <c r="AG100" s="154">
        <v>498.0</v>
      </c>
      <c r="AH100" s="154">
        <v>290.0</v>
      </c>
      <c r="AI100" s="154">
        <v>376.0</v>
      </c>
      <c r="AJ100" s="156">
        <f t="shared" ref="AJ100:AJ104" si="564">SUM(AG100:AI100)</f>
        <v>1164</v>
      </c>
      <c r="AK100" s="154">
        <v>776.0</v>
      </c>
      <c r="AL100" s="154">
        <v>624.0</v>
      </c>
      <c r="AM100" s="154">
        <v>320.0</v>
      </c>
      <c r="AN100" s="156">
        <f t="shared" ref="AN100:AN104" si="565">SUM(AK100:AM100)</f>
        <v>1720</v>
      </c>
      <c r="AO100" s="156">
        <f t="shared" ref="AO100:AO104" si="566">SUM(AN100,AJ100,AF100,AB100)</f>
        <v>6375</v>
      </c>
      <c r="AP100" s="154">
        <v>53.0</v>
      </c>
      <c r="AQ100" s="154">
        <v>319.0</v>
      </c>
      <c r="AR100" s="156">
        <v>446.0</v>
      </c>
      <c r="AS100" s="154">
        <f t="shared" ref="AS100:AS104" si="567">SUM(AP100:AR100)</f>
        <v>818</v>
      </c>
      <c r="AT100" s="154">
        <v>29.0</v>
      </c>
      <c r="AU100" s="154">
        <v>70.0</v>
      </c>
      <c r="AV100" s="154">
        <v>74.0</v>
      </c>
      <c r="AW100" s="154">
        <f t="shared" ref="AW100:AW104" si="568">SUM(AT100:AV100)</f>
        <v>173</v>
      </c>
      <c r="AX100" s="154">
        <v>391.0</v>
      </c>
      <c r="AY100" s="154">
        <v>241.0</v>
      </c>
      <c r="AZ100" s="154">
        <v>180.0</v>
      </c>
      <c r="BA100" s="154">
        <f t="shared" ref="BA100:BA104" si="569">SUM(AX100:AZ100)</f>
        <v>812</v>
      </c>
      <c r="BB100" s="154">
        <v>30.0</v>
      </c>
      <c r="BC100" s="154">
        <v>158.0</v>
      </c>
      <c r="BD100" s="154">
        <v>65.0</v>
      </c>
      <c r="BE100" s="154">
        <f t="shared" ref="BE100:BE104" si="570">SUM(BB100:BD100)</f>
        <v>253</v>
      </c>
      <c r="BF100" s="154">
        <f t="shared" ref="BF100:BF104" si="571">SUM(AS100,AW100,BA100,BE100)</f>
        <v>2056</v>
      </c>
      <c r="BG100" s="154">
        <v>53.0</v>
      </c>
      <c r="BH100" s="154">
        <v>107.0</v>
      </c>
      <c r="BI100" s="154">
        <v>126.0</v>
      </c>
      <c r="BJ100" s="154">
        <f t="shared" ref="BJ100:BJ104" si="572">SUM(BG100:BI100)</f>
        <v>286</v>
      </c>
      <c r="BK100" s="154">
        <v>316.0</v>
      </c>
      <c r="BL100" s="154">
        <v>138.0</v>
      </c>
      <c r="BM100" s="154">
        <v>18.0</v>
      </c>
      <c r="BN100" s="154">
        <f t="shared" ref="BN100:BN104" si="573">SUM(BK100:BM100)</f>
        <v>472</v>
      </c>
      <c r="BO100" s="154">
        <v>5.0</v>
      </c>
      <c r="BP100" s="154">
        <v>43.0</v>
      </c>
      <c r="BQ100" s="154">
        <v>56.0</v>
      </c>
      <c r="BR100" s="154">
        <f t="shared" ref="BR100:BR104" si="574">SUM(BO100:BQ100)</f>
        <v>104</v>
      </c>
      <c r="BS100" s="154">
        <v>73.0</v>
      </c>
      <c r="BT100" s="154">
        <v>119.0</v>
      </c>
      <c r="BU100" s="154">
        <v>68.0</v>
      </c>
      <c r="BV100" s="154">
        <f t="shared" ref="BV100:BV104" si="575">SUM(BS100:BU100)</f>
        <v>260</v>
      </c>
      <c r="BW100" s="154">
        <f t="shared" ref="BW100:BW104" si="576">SUM(BJ100,BN100,BR100,BV100)</f>
        <v>1122</v>
      </c>
      <c r="BX100" s="154">
        <v>0.0</v>
      </c>
      <c r="BY100" s="154">
        <f>676+23</f>
        <v>699</v>
      </c>
      <c r="BZ100" s="154">
        <f t="shared" ref="BZ100:BZ104" si="577">BY100-BX100</f>
        <v>699</v>
      </c>
      <c r="CA100" s="154">
        <v>0.0</v>
      </c>
      <c r="CB100" s="154">
        <f>730+56</f>
        <v>786</v>
      </c>
      <c r="CC100" s="154">
        <f t="shared" ref="CC100:CC104" si="578">CB100-CA100</f>
        <v>786</v>
      </c>
      <c r="CD100" s="154">
        <v>70.0</v>
      </c>
      <c r="CE100" s="154">
        <f>89+34</f>
        <v>123</v>
      </c>
      <c r="CF100" s="154">
        <f t="shared" ref="CF100:CF104" si="579">CE100-CD100</f>
        <v>53</v>
      </c>
      <c r="CG100" s="154">
        <f>SUM(BX100:CD100)</f>
        <v>3040</v>
      </c>
      <c r="CH100" s="154">
        <v>103.0</v>
      </c>
      <c r="CI100" s="154">
        <f>183+57</f>
        <v>240</v>
      </c>
      <c r="CJ100" s="154">
        <f t="shared" ref="CJ100:CJ104" si="580">CI100-CH100</f>
        <v>137</v>
      </c>
      <c r="CK100" s="154">
        <f t="shared" ref="CK100:CL100" si="555">100+9</f>
        <v>109</v>
      </c>
      <c r="CL100" s="154">
        <f t="shared" si="555"/>
        <v>109</v>
      </c>
      <c r="CM100" s="154">
        <f t="shared" ref="CM100:CM104" si="581">CL100-CK100</f>
        <v>0</v>
      </c>
      <c r="CN100" s="154">
        <f>24+20</f>
        <v>44</v>
      </c>
      <c r="CO100" s="154">
        <f>32+20</f>
        <v>52</v>
      </c>
      <c r="CP100" s="154">
        <f t="shared" ref="CP100:CP104" si="582">CO100-CN100</f>
        <v>8</v>
      </c>
      <c r="CQ100" s="154">
        <f>SUM(CH100:CN100)</f>
        <v>742</v>
      </c>
      <c r="CR100" s="154">
        <f>42+8</f>
        <v>50</v>
      </c>
      <c r="CS100" s="154">
        <f t="shared" ref="CS100:CS104" si="583">SUM(BZ100,CC100,CF100,CJ100,CM100,CP100)</f>
        <v>1683</v>
      </c>
      <c r="CT100" s="154">
        <f t="shared" ref="CT100:CT104" si="584">CR100+CS100</f>
        <v>1733</v>
      </c>
      <c r="CU100" s="154"/>
      <c r="CV100" s="154"/>
      <c r="CW100" s="154">
        <f t="shared" ref="CW100:CW104" si="585">SUM(CR100:CV100)</f>
        <v>3466</v>
      </c>
      <c r="CX100" s="154"/>
      <c r="CY100" s="154"/>
      <c r="CZ100" s="154"/>
      <c r="DA100" s="154">
        <f t="shared" ref="DA100:DA104" si="586">SUM(CX100:CZ100)</f>
        <v>0</v>
      </c>
      <c r="DB100" s="154">
        <f t="shared" ref="DB100:DB104" si="587">SUM(CG100,CQ100,CW100,DA100)</f>
        <v>7248</v>
      </c>
      <c r="DC100" s="171">
        <f t="shared" ref="DC100:DC104" si="588">SUM(A100,G100,X100,AO100,BF100,BW100,DB100)</f>
        <v>65754</v>
      </c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</row>
    <row r="101" ht="15.75" customHeight="1">
      <c r="A101" s="167" t="s">
        <v>173</v>
      </c>
      <c r="B101" s="154">
        <v>132.0</v>
      </c>
      <c r="C101" s="154">
        <v>174.0</v>
      </c>
      <c r="D101" s="154">
        <v>1763.0</v>
      </c>
      <c r="E101" s="154">
        <v>1735.0</v>
      </c>
      <c r="F101" s="154">
        <v>10360.0</v>
      </c>
      <c r="G101" s="154">
        <f t="shared" si="556"/>
        <v>14164</v>
      </c>
      <c r="H101" s="154">
        <v>2539.0</v>
      </c>
      <c r="I101" s="154">
        <v>6998.0</v>
      </c>
      <c r="J101" s="154">
        <v>4660.0</v>
      </c>
      <c r="K101" s="156">
        <f t="shared" si="557"/>
        <v>14197</v>
      </c>
      <c r="L101" s="154">
        <v>5177.0</v>
      </c>
      <c r="M101" s="154">
        <v>7859.0</v>
      </c>
      <c r="N101" s="154">
        <v>3289.0</v>
      </c>
      <c r="O101" s="156">
        <f t="shared" si="558"/>
        <v>16325</v>
      </c>
      <c r="P101" s="154">
        <v>991.0</v>
      </c>
      <c r="Q101" s="154">
        <v>2826.0</v>
      </c>
      <c r="R101" s="154">
        <v>5361.0</v>
      </c>
      <c r="S101" s="156">
        <f t="shared" si="559"/>
        <v>9178</v>
      </c>
      <c r="T101" s="154">
        <v>3326.0</v>
      </c>
      <c r="U101" s="154">
        <v>2227.0</v>
      </c>
      <c r="V101" s="154">
        <v>2476.0</v>
      </c>
      <c r="W101" s="156">
        <f t="shared" si="560"/>
        <v>8029</v>
      </c>
      <c r="X101" s="156">
        <f t="shared" si="561"/>
        <v>47729</v>
      </c>
      <c r="Y101" s="154">
        <v>1421.0</v>
      </c>
      <c r="Z101" s="154">
        <v>489.0</v>
      </c>
      <c r="AA101" s="154">
        <v>2820.0</v>
      </c>
      <c r="AB101" s="156">
        <f t="shared" si="562"/>
        <v>4730</v>
      </c>
      <c r="AC101" s="154">
        <v>2037.0</v>
      </c>
      <c r="AD101" s="154">
        <v>1186.0</v>
      </c>
      <c r="AE101" s="154">
        <v>675.0</v>
      </c>
      <c r="AF101" s="156">
        <f t="shared" si="563"/>
        <v>3898</v>
      </c>
      <c r="AG101" s="154">
        <v>841.0</v>
      </c>
      <c r="AH101" s="154">
        <v>1007.0</v>
      </c>
      <c r="AI101" s="154">
        <v>985.0</v>
      </c>
      <c r="AJ101" s="156">
        <f t="shared" si="564"/>
        <v>2833</v>
      </c>
      <c r="AK101" s="154">
        <v>155.0</v>
      </c>
      <c r="AL101" s="154">
        <v>267.0</v>
      </c>
      <c r="AM101" s="154">
        <v>154.0</v>
      </c>
      <c r="AN101" s="156">
        <f t="shared" si="565"/>
        <v>576</v>
      </c>
      <c r="AO101" s="156">
        <f t="shared" si="566"/>
        <v>12037</v>
      </c>
      <c r="AP101" s="154">
        <v>465.0</v>
      </c>
      <c r="AQ101" s="154">
        <v>1397.0</v>
      </c>
      <c r="AR101" s="156">
        <v>562.0</v>
      </c>
      <c r="AS101" s="154">
        <f t="shared" si="567"/>
        <v>2424</v>
      </c>
      <c r="AT101" s="154">
        <v>204.0</v>
      </c>
      <c r="AU101" s="154">
        <v>214.0</v>
      </c>
      <c r="AV101" s="154">
        <v>82.0</v>
      </c>
      <c r="AW101" s="154">
        <f t="shared" si="568"/>
        <v>500</v>
      </c>
      <c r="AX101" s="154">
        <v>1321.0</v>
      </c>
      <c r="AY101" s="154">
        <v>1574.0</v>
      </c>
      <c r="AZ101" s="154">
        <v>5002.0</v>
      </c>
      <c r="BA101" s="154">
        <f t="shared" si="569"/>
        <v>7897</v>
      </c>
      <c r="BB101" s="154">
        <v>729.0</v>
      </c>
      <c r="BC101" s="154">
        <v>2079.0</v>
      </c>
      <c r="BD101" s="154">
        <v>742.0</v>
      </c>
      <c r="BE101" s="154">
        <f t="shared" si="570"/>
        <v>3550</v>
      </c>
      <c r="BF101" s="154">
        <f t="shared" si="571"/>
        <v>14371</v>
      </c>
      <c r="BG101" s="154">
        <v>226.0</v>
      </c>
      <c r="BH101" s="154">
        <v>343.0</v>
      </c>
      <c r="BI101" s="154">
        <v>168.0</v>
      </c>
      <c r="BJ101" s="154">
        <f t="shared" si="572"/>
        <v>737</v>
      </c>
      <c r="BK101" s="154">
        <v>415.0</v>
      </c>
      <c r="BL101" s="154">
        <v>619.0</v>
      </c>
      <c r="BM101" s="154">
        <v>410.0</v>
      </c>
      <c r="BN101" s="154">
        <f t="shared" si="573"/>
        <v>1444</v>
      </c>
      <c r="BO101" s="154">
        <v>373.0</v>
      </c>
      <c r="BP101" s="154">
        <v>361.0</v>
      </c>
      <c r="BQ101" s="154">
        <v>317.0</v>
      </c>
      <c r="BR101" s="154">
        <f t="shared" si="574"/>
        <v>1051</v>
      </c>
      <c r="BS101" s="154">
        <v>87.0</v>
      </c>
      <c r="BT101" s="154">
        <v>61.0</v>
      </c>
      <c r="BU101" s="154">
        <v>0.0</v>
      </c>
      <c r="BV101" s="154">
        <f t="shared" si="575"/>
        <v>148</v>
      </c>
      <c r="BW101" s="154">
        <f t="shared" si="576"/>
        <v>3380</v>
      </c>
      <c r="BX101" s="154">
        <v>167.0</v>
      </c>
      <c r="BY101" s="154">
        <v>733.0</v>
      </c>
      <c r="BZ101" s="154">
        <f t="shared" si="577"/>
        <v>566</v>
      </c>
      <c r="CA101" s="154">
        <v>393.0</v>
      </c>
      <c r="CB101" s="154">
        <v>393.0</v>
      </c>
      <c r="CC101" s="154">
        <f t="shared" si="578"/>
        <v>0</v>
      </c>
      <c r="CD101" s="154">
        <v>133.0</v>
      </c>
      <c r="CE101" s="154">
        <v>256.0</v>
      </c>
      <c r="CF101" s="154">
        <f t="shared" si="579"/>
        <v>123</v>
      </c>
      <c r="CG101" s="154">
        <f t="shared" ref="CG101:CG104" si="589">SUM(BX101:CE101)</f>
        <v>2641</v>
      </c>
      <c r="CH101" s="154">
        <v>160.0</v>
      </c>
      <c r="CI101" s="154">
        <v>252.0</v>
      </c>
      <c r="CJ101" s="154">
        <f t="shared" si="580"/>
        <v>92</v>
      </c>
      <c r="CK101" s="154">
        <v>222.0</v>
      </c>
      <c r="CL101" s="154">
        <v>222.0</v>
      </c>
      <c r="CM101" s="154">
        <f t="shared" si="581"/>
        <v>0</v>
      </c>
      <c r="CN101" s="154">
        <v>215.0</v>
      </c>
      <c r="CO101" s="154">
        <v>215.0</v>
      </c>
      <c r="CP101" s="154">
        <f t="shared" si="582"/>
        <v>0</v>
      </c>
      <c r="CQ101" s="154">
        <f t="shared" ref="CQ101:CQ104" si="590">SUM(CH101:CO101)</f>
        <v>1378</v>
      </c>
      <c r="CR101" s="154">
        <v>195.0</v>
      </c>
      <c r="CS101" s="154">
        <f t="shared" si="583"/>
        <v>781</v>
      </c>
      <c r="CT101" s="154">
        <f t="shared" si="584"/>
        <v>976</v>
      </c>
      <c r="CU101" s="154"/>
      <c r="CV101" s="154"/>
      <c r="CW101" s="154">
        <f t="shared" si="585"/>
        <v>1952</v>
      </c>
      <c r="CX101" s="154"/>
      <c r="CY101" s="154"/>
      <c r="CZ101" s="154"/>
      <c r="DA101" s="154">
        <f t="shared" si="586"/>
        <v>0</v>
      </c>
      <c r="DB101" s="154">
        <f t="shared" si="587"/>
        <v>5971</v>
      </c>
      <c r="DC101" s="171">
        <f t="shared" si="588"/>
        <v>97652</v>
      </c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</row>
    <row r="102" ht="15.75" customHeight="1">
      <c r="A102" s="167" t="s">
        <v>174</v>
      </c>
      <c r="B102" s="154">
        <v>0.0</v>
      </c>
      <c r="C102" s="154">
        <v>0.0</v>
      </c>
      <c r="D102" s="154">
        <v>271.0</v>
      </c>
      <c r="E102" s="154">
        <v>966.0</v>
      </c>
      <c r="F102" s="154">
        <v>1329.0</v>
      </c>
      <c r="G102" s="154">
        <f t="shared" si="556"/>
        <v>2566</v>
      </c>
      <c r="H102" s="154">
        <v>249.0</v>
      </c>
      <c r="I102" s="154">
        <v>1817.0</v>
      </c>
      <c r="J102" s="155">
        <v>1646.0</v>
      </c>
      <c r="K102" s="156">
        <f t="shared" si="557"/>
        <v>3712</v>
      </c>
      <c r="L102" s="154">
        <v>528.0</v>
      </c>
      <c r="M102" s="154">
        <v>134.0</v>
      </c>
      <c r="N102" s="154">
        <v>350.0</v>
      </c>
      <c r="O102" s="156">
        <f t="shared" si="558"/>
        <v>1012</v>
      </c>
      <c r="P102" s="154">
        <v>280.0</v>
      </c>
      <c r="Q102" s="154">
        <v>182.0</v>
      </c>
      <c r="R102" s="154">
        <v>312.0</v>
      </c>
      <c r="S102" s="156">
        <f t="shared" si="559"/>
        <v>774</v>
      </c>
      <c r="T102" s="154">
        <v>222.0</v>
      </c>
      <c r="U102" s="154">
        <v>252.0</v>
      </c>
      <c r="V102" s="154">
        <v>29.0</v>
      </c>
      <c r="W102" s="156">
        <f t="shared" si="560"/>
        <v>503</v>
      </c>
      <c r="X102" s="156">
        <f t="shared" si="561"/>
        <v>6001</v>
      </c>
      <c r="Y102" s="154">
        <v>0.0</v>
      </c>
      <c r="Z102" s="154">
        <v>48.0</v>
      </c>
      <c r="AA102" s="155">
        <v>143.0</v>
      </c>
      <c r="AB102" s="156">
        <f t="shared" si="562"/>
        <v>191</v>
      </c>
      <c r="AC102" s="154">
        <v>415.0</v>
      </c>
      <c r="AD102" s="154">
        <v>727.0</v>
      </c>
      <c r="AE102" s="154">
        <v>905.0</v>
      </c>
      <c r="AF102" s="156">
        <f t="shared" si="563"/>
        <v>2047</v>
      </c>
      <c r="AG102" s="154">
        <v>286.0</v>
      </c>
      <c r="AH102" s="154">
        <v>181.0</v>
      </c>
      <c r="AI102" s="154">
        <v>458.0</v>
      </c>
      <c r="AJ102" s="156">
        <f t="shared" si="564"/>
        <v>925</v>
      </c>
      <c r="AK102" s="154">
        <v>479.0</v>
      </c>
      <c r="AL102" s="154">
        <v>404.0</v>
      </c>
      <c r="AM102" s="154">
        <v>135.0</v>
      </c>
      <c r="AN102" s="156">
        <f t="shared" si="565"/>
        <v>1018</v>
      </c>
      <c r="AO102" s="156">
        <f t="shared" si="566"/>
        <v>4181</v>
      </c>
      <c r="AP102" s="154">
        <v>0.0</v>
      </c>
      <c r="AQ102" s="154">
        <v>1.0</v>
      </c>
      <c r="AR102" s="156">
        <v>1924.0</v>
      </c>
      <c r="AS102" s="154">
        <f t="shared" si="567"/>
        <v>1925</v>
      </c>
      <c r="AT102" s="154">
        <v>1033.0</v>
      </c>
      <c r="AU102" s="154">
        <v>320.0</v>
      </c>
      <c r="AV102" s="154">
        <v>405.0</v>
      </c>
      <c r="AW102" s="154">
        <f t="shared" si="568"/>
        <v>1758</v>
      </c>
      <c r="AX102" s="154">
        <v>443.0</v>
      </c>
      <c r="AY102" s="154">
        <v>708.0</v>
      </c>
      <c r="AZ102" s="154">
        <v>2193.0</v>
      </c>
      <c r="BA102" s="154">
        <f t="shared" si="569"/>
        <v>3344</v>
      </c>
      <c r="BB102" s="154">
        <v>665.0</v>
      </c>
      <c r="BC102" s="154">
        <v>367.0</v>
      </c>
      <c r="BD102" s="154">
        <v>389.0</v>
      </c>
      <c r="BE102" s="154">
        <f t="shared" si="570"/>
        <v>1421</v>
      </c>
      <c r="BF102" s="154">
        <f t="shared" si="571"/>
        <v>8448</v>
      </c>
      <c r="BG102" s="154">
        <v>78.0</v>
      </c>
      <c r="BH102" s="154">
        <v>52.0</v>
      </c>
      <c r="BI102" s="154">
        <v>15.0</v>
      </c>
      <c r="BJ102" s="154">
        <f t="shared" si="572"/>
        <v>145</v>
      </c>
      <c r="BK102" s="154">
        <v>105.0</v>
      </c>
      <c r="BL102" s="154">
        <v>123.0</v>
      </c>
      <c r="BM102" s="154">
        <v>84.0</v>
      </c>
      <c r="BN102" s="154">
        <f t="shared" si="573"/>
        <v>312</v>
      </c>
      <c r="BO102" s="154">
        <v>175.0</v>
      </c>
      <c r="BP102" s="154">
        <v>35.0</v>
      </c>
      <c r="BQ102" s="154">
        <v>34.0</v>
      </c>
      <c r="BR102" s="154">
        <f t="shared" si="574"/>
        <v>244</v>
      </c>
      <c r="BS102" s="154">
        <v>40.0</v>
      </c>
      <c r="BT102" s="154">
        <v>81.0</v>
      </c>
      <c r="BU102" s="154">
        <v>30.0</v>
      </c>
      <c r="BV102" s="154">
        <f t="shared" si="575"/>
        <v>151</v>
      </c>
      <c r="BW102" s="154">
        <f t="shared" si="576"/>
        <v>852</v>
      </c>
      <c r="BX102" s="154">
        <v>45.0</v>
      </c>
      <c r="BY102" s="154">
        <v>45.0</v>
      </c>
      <c r="BZ102" s="154">
        <f t="shared" si="577"/>
        <v>0</v>
      </c>
      <c r="CA102" s="154">
        <v>62.0</v>
      </c>
      <c r="CB102" s="154">
        <v>62.0</v>
      </c>
      <c r="CC102" s="154">
        <f t="shared" si="578"/>
        <v>0</v>
      </c>
      <c r="CD102" s="154">
        <v>8.0</v>
      </c>
      <c r="CE102" s="154">
        <v>11.0</v>
      </c>
      <c r="CF102" s="154">
        <f t="shared" si="579"/>
        <v>3</v>
      </c>
      <c r="CG102" s="154">
        <f t="shared" si="589"/>
        <v>233</v>
      </c>
      <c r="CH102" s="154">
        <v>117.0</v>
      </c>
      <c r="CI102" s="154">
        <v>118.0</v>
      </c>
      <c r="CJ102" s="154">
        <f t="shared" si="580"/>
        <v>1</v>
      </c>
      <c r="CK102" s="154">
        <v>10.0</v>
      </c>
      <c r="CL102" s="155">
        <v>10.0</v>
      </c>
      <c r="CM102" s="154">
        <f t="shared" si="581"/>
        <v>0</v>
      </c>
      <c r="CN102" s="155">
        <v>1.0</v>
      </c>
      <c r="CO102" s="155">
        <v>1.0</v>
      </c>
      <c r="CP102" s="154">
        <f t="shared" si="582"/>
        <v>0</v>
      </c>
      <c r="CQ102" s="154">
        <f t="shared" si="590"/>
        <v>258</v>
      </c>
      <c r="CR102" s="154">
        <v>1.0</v>
      </c>
      <c r="CS102" s="154">
        <f t="shared" si="583"/>
        <v>4</v>
      </c>
      <c r="CT102" s="154">
        <f t="shared" si="584"/>
        <v>5</v>
      </c>
      <c r="CU102" s="154"/>
      <c r="CV102" s="155"/>
      <c r="CW102" s="154">
        <f t="shared" si="585"/>
        <v>10</v>
      </c>
      <c r="CX102" s="154"/>
      <c r="CY102" s="154"/>
      <c r="CZ102" s="155"/>
      <c r="DA102" s="154">
        <f t="shared" si="586"/>
        <v>0</v>
      </c>
      <c r="DB102" s="154">
        <f t="shared" si="587"/>
        <v>501</v>
      </c>
      <c r="DC102" s="171">
        <f t="shared" si="588"/>
        <v>22549</v>
      </c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</row>
    <row r="103" ht="15.75" customHeight="1">
      <c r="A103" s="167" t="s">
        <v>175</v>
      </c>
      <c r="B103" s="154">
        <v>23.0</v>
      </c>
      <c r="C103" s="154">
        <v>458.0</v>
      </c>
      <c r="D103" s="154">
        <v>1310.0</v>
      </c>
      <c r="E103" s="154">
        <v>721.0</v>
      </c>
      <c r="F103" s="154">
        <v>5547.0</v>
      </c>
      <c r="G103" s="154">
        <f t="shared" si="556"/>
        <v>8059</v>
      </c>
      <c r="H103" s="154">
        <v>3066.0</v>
      </c>
      <c r="I103" s="154">
        <v>5262.0</v>
      </c>
      <c r="J103" s="154">
        <v>2216.0</v>
      </c>
      <c r="K103" s="156">
        <f t="shared" si="557"/>
        <v>10544</v>
      </c>
      <c r="L103" s="154">
        <v>3906.0</v>
      </c>
      <c r="M103" s="154">
        <v>4423.0</v>
      </c>
      <c r="N103" s="154">
        <v>6019.0</v>
      </c>
      <c r="O103" s="156">
        <f t="shared" si="558"/>
        <v>14348</v>
      </c>
      <c r="P103" s="154">
        <v>9727.0</v>
      </c>
      <c r="Q103" s="154">
        <v>3893.0</v>
      </c>
      <c r="R103" s="154">
        <v>1514.0</v>
      </c>
      <c r="S103" s="156">
        <f t="shared" si="559"/>
        <v>15134</v>
      </c>
      <c r="T103" s="154">
        <v>920.0</v>
      </c>
      <c r="U103" s="154">
        <v>952.0</v>
      </c>
      <c r="V103" s="154">
        <v>1051.0</v>
      </c>
      <c r="W103" s="156">
        <f t="shared" si="560"/>
        <v>2923</v>
      </c>
      <c r="X103" s="156">
        <f t="shared" si="561"/>
        <v>42949</v>
      </c>
      <c r="Y103" s="154">
        <v>1485.0</v>
      </c>
      <c r="Z103" s="154">
        <v>733.0</v>
      </c>
      <c r="AA103" s="154">
        <v>1556.0</v>
      </c>
      <c r="AB103" s="156">
        <f t="shared" si="562"/>
        <v>3774</v>
      </c>
      <c r="AC103" s="154">
        <v>941.0</v>
      </c>
      <c r="AD103" s="154">
        <v>65.0</v>
      </c>
      <c r="AE103" s="154">
        <v>522.0</v>
      </c>
      <c r="AF103" s="156">
        <f t="shared" si="563"/>
        <v>1528</v>
      </c>
      <c r="AG103" s="154">
        <v>994.0</v>
      </c>
      <c r="AH103" s="154">
        <v>705.0</v>
      </c>
      <c r="AI103" s="154">
        <v>870.0</v>
      </c>
      <c r="AJ103" s="156">
        <f t="shared" si="564"/>
        <v>2569</v>
      </c>
      <c r="AK103" s="154">
        <v>359.0</v>
      </c>
      <c r="AL103" s="154">
        <v>652.0</v>
      </c>
      <c r="AM103" s="154">
        <v>115.0</v>
      </c>
      <c r="AN103" s="156">
        <f t="shared" si="565"/>
        <v>1126</v>
      </c>
      <c r="AO103" s="156">
        <f t="shared" si="566"/>
        <v>8997</v>
      </c>
      <c r="AP103" s="154">
        <v>447.0</v>
      </c>
      <c r="AQ103" s="154">
        <v>1534.0</v>
      </c>
      <c r="AR103" s="156">
        <v>896.0</v>
      </c>
      <c r="AS103" s="154">
        <f t="shared" si="567"/>
        <v>2877</v>
      </c>
      <c r="AT103" s="154">
        <v>412.0</v>
      </c>
      <c r="AU103" s="154">
        <v>1588.0</v>
      </c>
      <c r="AV103" s="154">
        <v>452.0</v>
      </c>
      <c r="AW103" s="154">
        <f t="shared" si="568"/>
        <v>2452</v>
      </c>
      <c r="AX103" s="154">
        <v>2006.0</v>
      </c>
      <c r="AY103" s="154">
        <v>1271.0</v>
      </c>
      <c r="AZ103" s="154">
        <v>422.0</v>
      </c>
      <c r="BA103" s="154">
        <f t="shared" si="569"/>
        <v>3699</v>
      </c>
      <c r="BB103" s="154">
        <v>189.0</v>
      </c>
      <c r="BC103" s="154">
        <v>369.0</v>
      </c>
      <c r="BD103" s="154">
        <v>119.0</v>
      </c>
      <c r="BE103" s="154">
        <f t="shared" si="570"/>
        <v>677</v>
      </c>
      <c r="BF103" s="154">
        <f t="shared" si="571"/>
        <v>9705</v>
      </c>
      <c r="BG103" s="154">
        <v>76.0</v>
      </c>
      <c r="BH103" s="154">
        <v>41.0</v>
      </c>
      <c r="BI103" s="154">
        <v>13.0</v>
      </c>
      <c r="BJ103" s="154">
        <f t="shared" si="572"/>
        <v>130</v>
      </c>
      <c r="BK103" s="154">
        <v>172.0</v>
      </c>
      <c r="BL103" s="154">
        <v>148.0</v>
      </c>
      <c r="BM103" s="154">
        <v>324.0</v>
      </c>
      <c r="BN103" s="154">
        <f t="shared" si="573"/>
        <v>644</v>
      </c>
      <c r="BO103" s="154">
        <v>139.0</v>
      </c>
      <c r="BP103" s="154">
        <v>344.0</v>
      </c>
      <c r="BQ103" s="154">
        <v>119.0</v>
      </c>
      <c r="BR103" s="154">
        <f t="shared" si="574"/>
        <v>602</v>
      </c>
      <c r="BS103" s="154">
        <v>181.0</v>
      </c>
      <c r="BT103" s="154">
        <v>144.0</v>
      </c>
      <c r="BU103" s="154">
        <v>41.0</v>
      </c>
      <c r="BV103" s="154">
        <f t="shared" si="575"/>
        <v>366</v>
      </c>
      <c r="BW103" s="154">
        <f t="shared" si="576"/>
        <v>1742</v>
      </c>
      <c r="BX103" s="154">
        <v>127.0</v>
      </c>
      <c r="BY103" s="154">
        <v>138.0</v>
      </c>
      <c r="BZ103" s="154">
        <f t="shared" si="577"/>
        <v>11</v>
      </c>
      <c r="CA103" s="154">
        <v>234.0</v>
      </c>
      <c r="CB103" s="154">
        <v>234.0</v>
      </c>
      <c r="CC103" s="154">
        <f t="shared" si="578"/>
        <v>0</v>
      </c>
      <c r="CD103" s="154">
        <v>54.0</v>
      </c>
      <c r="CE103" s="154">
        <v>201.0</v>
      </c>
      <c r="CF103" s="154">
        <f t="shared" si="579"/>
        <v>147</v>
      </c>
      <c r="CG103" s="154">
        <f t="shared" si="589"/>
        <v>999</v>
      </c>
      <c r="CH103" s="154">
        <v>121.0</v>
      </c>
      <c r="CI103" s="154">
        <v>285.0</v>
      </c>
      <c r="CJ103" s="154">
        <f t="shared" si="580"/>
        <v>164</v>
      </c>
      <c r="CK103" s="154">
        <v>183.0</v>
      </c>
      <c r="CL103" s="154">
        <v>183.0</v>
      </c>
      <c r="CM103" s="154">
        <f t="shared" si="581"/>
        <v>0</v>
      </c>
      <c r="CN103" s="154">
        <v>229.0</v>
      </c>
      <c r="CO103" s="154">
        <v>236.0</v>
      </c>
      <c r="CP103" s="154">
        <f t="shared" si="582"/>
        <v>7</v>
      </c>
      <c r="CQ103" s="154">
        <f t="shared" si="590"/>
        <v>1401</v>
      </c>
      <c r="CR103" s="154">
        <v>225.0</v>
      </c>
      <c r="CS103" s="154">
        <f t="shared" si="583"/>
        <v>329</v>
      </c>
      <c r="CT103" s="154">
        <f t="shared" si="584"/>
        <v>554</v>
      </c>
      <c r="CU103" s="154"/>
      <c r="CV103" s="154"/>
      <c r="CW103" s="154">
        <f t="shared" si="585"/>
        <v>1108</v>
      </c>
      <c r="CX103" s="154"/>
      <c r="CY103" s="154"/>
      <c r="CZ103" s="154"/>
      <c r="DA103" s="154">
        <f t="shared" si="586"/>
        <v>0</v>
      </c>
      <c r="DB103" s="154">
        <f t="shared" si="587"/>
        <v>3508</v>
      </c>
      <c r="DC103" s="171">
        <f t="shared" si="588"/>
        <v>74960</v>
      </c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</row>
    <row r="104" ht="15.75" customHeight="1">
      <c r="A104" s="167" t="s">
        <v>176</v>
      </c>
      <c r="B104" s="154">
        <v>340.0</v>
      </c>
      <c r="C104" s="154">
        <v>924.0</v>
      </c>
      <c r="D104" s="154">
        <v>1665.0</v>
      </c>
      <c r="E104" s="154">
        <v>502.0</v>
      </c>
      <c r="F104" s="154">
        <v>6190.0</v>
      </c>
      <c r="G104" s="154">
        <f t="shared" si="556"/>
        <v>9621</v>
      </c>
      <c r="H104" s="154">
        <v>1418.0</v>
      </c>
      <c r="I104" s="154">
        <v>5388.0</v>
      </c>
      <c r="J104" s="154">
        <v>7417.0</v>
      </c>
      <c r="K104" s="156">
        <f t="shared" si="557"/>
        <v>14223</v>
      </c>
      <c r="L104" s="154">
        <v>4131.0</v>
      </c>
      <c r="M104" s="154">
        <v>3642.0</v>
      </c>
      <c r="N104" s="154">
        <v>5365.0</v>
      </c>
      <c r="O104" s="156">
        <f t="shared" si="558"/>
        <v>13138</v>
      </c>
      <c r="P104" s="154">
        <v>4420.0</v>
      </c>
      <c r="Q104" s="154">
        <v>2200.0</v>
      </c>
      <c r="R104" s="154">
        <v>5711.0</v>
      </c>
      <c r="S104" s="156">
        <f t="shared" si="559"/>
        <v>12331</v>
      </c>
      <c r="T104" s="154">
        <v>4799.0</v>
      </c>
      <c r="U104" s="154">
        <v>4214.0</v>
      </c>
      <c r="V104" s="154">
        <v>1790.0</v>
      </c>
      <c r="W104" s="156">
        <f t="shared" si="560"/>
        <v>10803</v>
      </c>
      <c r="X104" s="156">
        <f t="shared" si="561"/>
        <v>50495</v>
      </c>
      <c r="Y104" s="154">
        <v>1185.0</v>
      </c>
      <c r="Z104" s="154">
        <v>460.0</v>
      </c>
      <c r="AA104" s="154">
        <v>831.0</v>
      </c>
      <c r="AB104" s="156">
        <f t="shared" si="562"/>
        <v>2476</v>
      </c>
      <c r="AC104" s="154">
        <v>608.0</v>
      </c>
      <c r="AD104" s="154">
        <v>282.0</v>
      </c>
      <c r="AE104" s="154">
        <v>923.0</v>
      </c>
      <c r="AF104" s="156">
        <f t="shared" si="563"/>
        <v>1813</v>
      </c>
      <c r="AG104" s="154">
        <v>1421.0</v>
      </c>
      <c r="AH104" s="154">
        <v>574.0</v>
      </c>
      <c r="AI104" s="154">
        <v>413.0</v>
      </c>
      <c r="AJ104" s="156">
        <f t="shared" si="564"/>
        <v>2408</v>
      </c>
      <c r="AK104" s="154">
        <v>693.0</v>
      </c>
      <c r="AL104" s="154">
        <v>254.0</v>
      </c>
      <c r="AM104" s="154">
        <v>173.0</v>
      </c>
      <c r="AN104" s="156">
        <f t="shared" si="565"/>
        <v>1120</v>
      </c>
      <c r="AO104" s="156">
        <f t="shared" si="566"/>
        <v>7817</v>
      </c>
      <c r="AP104" s="154">
        <v>475.0</v>
      </c>
      <c r="AQ104" s="154">
        <v>894.0</v>
      </c>
      <c r="AR104" s="156">
        <v>909.0</v>
      </c>
      <c r="AS104" s="154">
        <f t="shared" si="567"/>
        <v>2278</v>
      </c>
      <c r="AT104" s="154">
        <v>205.0</v>
      </c>
      <c r="AU104" s="154">
        <v>307.0</v>
      </c>
      <c r="AV104" s="154">
        <v>185.0</v>
      </c>
      <c r="AW104" s="154">
        <f t="shared" si="568"/>
        <v>697</v>
      </c>
      <c r="AX104" s="154">
        <v>1947.0</v>
      </c>
      <c r="AY104" s="154">
        <v>2060.0</v>
      </c>
      <c r="AZ104" s="154">
        <v>1036.0</v>
      </c>
      <c r="BA104" s="154">
        <f t="shared" si="569"/>
        <v>5043</v>
      </c>
      <c r="BB104" s="154">
        <v>284.0</v>
      </c>
      <c r="BC104" s="154">
        <v>455.0</v>
      </c>
      <c r="BD104" s="154">
        <v>201.0</v>
      </c>
      <c r="BE104" s="154">
        <f t="shared" si="570"/>
        <v>940</v>
      </c>
      <c r="BF104" s="154">
        <f t="shared" si="571"/>
        <v>8958</v>
      </c>
      <c r="BG104" s="154">
        <v>123.0</v>
      </c>
      <c r="BH104" s="154">
        <v>52.0</v>
      </c>
      <c r="BI104" s="154">
        <v>119.0</v>
      </c>
      <c r="BJ104" s="154">
        <f t="shared" si="572"/>
        <v>294</v>
      </c>
      <c r="BK104" s="154">
        <v>514.0</v>
      </c>
      <c r="BL104" s="154">
        <v>561.0</v>
      </c>
      <c r="BM104" s="154">
        <v>178.0</v>
      </c>
      <c r="BN104" s="154">
        <f t="shared" si="573"/>
        <v>1253</v>
      </c>
      <c r="BO104" s="154">
        <v>73.0</v>
      </c>
      <c r="BP104" s="154">
        <v>189.0</v>
      </c>
      <c r="BQ104" s="154">
        <v>222.0</v>
      </c>
      <c r="BR104" s="154">
        <f t="shared" si="574"/>
        <v>484</v>
      </c>
      <c r="BS104" s="154">
        <v>203.0</v>
      </c>
      <c r="BT104" s="154">
        <v>161.0</v>
      </c>
      <c r="BU104" s="154">
        <v>20.0</v>
      </c>
      <c r="BV104" s="154">
        <f t="shared" si="575"/>
        <v>384</v>
      </c>
      <c r="BW104" s="154">
        <f t="shared" si="576"/>
        <v>2415</v>
      </c>
      <c r="BX104" s="154">
        <v>0.0</v>
      </c>
      <c r="BY104" s="154">
        <v>389.0</v>
      </c>
      <c r="BZ104" s="154">
        <f t="shared" si="577"/>
        <v>389</v>
      </c>
      <c r="CA104" s="154">
        <v>0.0</v>
      </c>
      <c r="CB104" s="154">
        <v>214.0</v>
      </c>
      <c r="CC104" s="154">
        <f t="shared" si="578"/>
        <v>214</v>
      </c>
      <c r="CD104" s="154">
        <v>39.0</v>
      </c>
      <c r="CE104" s="154">
        <v>142.0</v>
      </c>
      <c r="CF104" s="154">
        <f t="shared" si="579"/>
        <v>103</v>
      </c>
      <c r="CG104" s="154">
        <f t="shared" si="589"/>
        <v>1387</v>
      </c>
      <c r="CH104" s="154">
        <v>154.0</v>
      </c>
      <c r="CI104" s="154">
        <v>482.0</v>
      </c>
      <c r="CJ104" s="154">
        <f t="shared" si="580"/>
        <v>328</v>
      </c>
      <c r="CK104" s="154">
        <v>204.0</v>
      </c>
      <c r="CL104" s="154">
        <v>204.0</v>
      </c>
      <c r="CM104" s="154">
        <f t="shared" si="581"/>
        <v>0</v>
      </c>
      <c r="CN104" s="154">
        <v>973.0</v>
      </c>
      <c r="CO104" s="154">
        <v>975.0</v>
      </c>
      <c r="CP104" s="154">
        <f t="shared" si="582"/>
        <v>2</v>
      </c>
      <c r="CQ104" s="154">
        <f t="shared" si="590"/>
        <v>3320</v>
      </c>
      <c r="CR104" s="154">
        <v>346.0</v>
      </c>
      <c r="CS104" s="154">
        <f t="shared" si="583"/>
        <v>1036</v>
      </c>
      <c r="CT104" s="154">
        <f t="shared" si="584"/>
        <v>1382</v>
      </c>
      <c r="CU104" s="154"/>
      <c r="CV104" s="154"/>
      <c r="CW104" s="154">
        <f t="shared" si="585"/>
        <v>2764</v>
      </c>
      <c r="CX104" s="154"/>
      <c r="CY104" s="154"/>
      <c r="CZ104" s="154"/>
      <c r="DA104" s="154">
        <f t="shared" si="586"/>
        <v>0</v>
      </c>
      <c r="DB104" s="154">
        <f t="shared" si="587"/>
        <v>7471</v>
      </c>
      <c r="DC104" s="171">
        <f t="shared" si="588"/>
        <v>86777</v>
      </c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</row>
    <row r="105" ht="15.75" customHeight="1">
      <c r="A105" s="137" t="s">
        <v>177</v>
      </c>
      <c r="B105" s="141">
        <f t="shared" ref="B105:BX105" si="591">SUM(B106:B111)</f>
        <v>6</v>
      </c>
      <c r="C105" s="141">
        <f t="shared" si="591"/>
        <v>236</v>
      </c>
      <c r="D105" s="141">
        <f t="shared" si="591"/>
        <v>263</v>
      </c>
      <c r="E105" s="141">
        <f t="shared" si="591"/>
        <v>193</v>
      </c>
      <c r="F105" s="141">
        <f t="shared" si="591"/>
        <v>206</v>
      </c>
      <c r="G105" s="141">
        <f t="shared" si="591"/>
        <v>904</v>
      </c>
      <c r="H105" s="141">
        <f t="shared" si="591"/>
        <v>2174</v>
      </c>
      <c r="I105" s="141">
        <f t="shared" si="591"/>
        <v>1465</v>
      </c>
      <c r="J105" s="141">
        <f t="shared" si="591"/>
        <v>567</v>
      </c>
      <c r="K105" s="141">
        <f t="shared" si="591"/>
        <v>4206</v>
      </c>
      <c r="L105" s="141">
        <f t="shared" si="591"/>
        <v>2088</v>
      </c>
      <c r="M105" s="141">
        <f t="shared" si="591"/>
        <v>198</v>
      </c>
      <c r="N105" s="141">
        <f t="shared" si="591"/>
        <v>46</v>
      </c>
      <c r="O105" s="141">
        <f t="shared" si="591"/>
        <v>2332</v>
      </c>
      <c r="P105" s="141">
        <f t="shared" si="591"/>
        <v>1445</v>
      </c>
      <c r="Q105" s="141">
        <f t="shared" si="591"/>
        <v>687</v>
      </c>
      <c r="R105" s="141">
        <f t="shared" si="591"/>
        <v>1344</v>
      </c>
      <c r="S105" s="141">
        <f t="shared" si="591"/>
        <v>3476</v>
      </c>
      <c r="T105" s="141">
        <f t="shared" si="591"/>
        <v>2400</v>
      </c>
      <c r="U105" s="141">
        <f t="shared" si="591"/>
        <v>1460</v>
      </c>
      <c r="V105" s="141">
        <f t="shared" si="591"/>
        <v>1573</v>
      </c>
      <c r="W105" s="141">
        <f t="shared" si="591"/>
        <v>5433</v>
      </c>
      <c r="X105" s="141">
        <f t="shared" si="591"/>
        <v>15447</v>
      </c>
      <c r="Y105" s="141">
        <f t="shared" si="591"/>
        <v>565</v>
      </c>
      <c r="Z105" s="141">
        <f t="shared" si="591"/>
        <v>1442</v>
      </c>
      <c r="AA105" s="141">
        <f t="shared" si="591"/>
        <v>2729</v>
      </c>
      <c r="AB105" s="141">
        <f t="shared" si="591"/>
        <v>4736</v>
      </c>
      <c r="AC105" s="141">
        <f t="shared" si="591"/>
        <v>1450</v>
      </c>
      <c r="AD105" s="141">
        <f t="shared" si="591"/>
        <v>411</v>
      </c>
      <c r="AE105" s="141">
        <f t="shared" si="591"/>
        <v>2071</v>
      </c>
      <c r="AF105" s="141">
        <f t="shared" si="591"/>
        <v>3932</v>
      </c>
      <c r="AG105" s="141">
        <f t="shared" si="591"/>
        <v>2258</v>
      </c>
      <c r="AH105" s="141">
        <f t="shared" si="591"/>
        <v>1941</v>
      </c>
      <c r="AI105" s="141">
        <f t="shared" si="591"/>
        <v>1999</v>
      </c>
      <c r="AJ105" s="141">
        <f t="shared" si="591"/>
        <v>6198</v>
      </c>
      <c r="AK105" s="141">
        <f t="shared" si="591"/>
        <v>1620</v>
      </c>
      <c r="AL105" s="141">
        <f t="shared" si="591"/>
        <v>1772</v>
      </c>
      <c r="AM105" s="141">
        <f t="shared" si="591"/>
        <v>2691</v>
      </c>
      <c r="AN105" s="141">
        <f t="shared" si="591"/>
        <v>6083</v>
      </c>
      <c r="AO105" s="141">
        <f t="shared" si="591"/>
        <v>20949</v>
      </c>
      <c r="AP105" s="141">
        <f t="shared" si="591"/>
        <v>1451</v>
      </c>
      <c r="AQ105" s="141">
        <f t="shared" si="591"/>
        <v>2364</v>
      </c>
      <c r="AR105" s="142">
        <f t="shared" si="591"/>
        <v>3024</v>
      </c>
      <c r="AS105" s="141">
        <f t="shared" si="591"/>
        <v>6839</v>
      </c>
      <c r="AT105" s="141">
        <f t="shared" si="591"/>
        <v>570</v>
      </c>
      <c r="AU105" s="141">
        <f t="shared" si="591"/>
        <v>51</v>
      </c>
      <c r="AV105" s="141">
        <f t="shared" si="591"/>
        <v>10716</v>
      </c>
      <c r="AW105" s="142">
        <f t="shared" si="591"/>
        <v>11337</v>
      </c>
      <c r="AX105" s="141">
        <f t="shared" si="591"/>
        <v>12488</v>
      </c>
      <c r="AY105" s="141">
        <f t="shared" si="591"/>
        <v>3732</v>
      </c>
      <c r="AZ105" s="141">
        <f t="shared" si="591"/>
        <v>2014</v>
      </c>
      <c r="BA105" s="142">
        <f t="shared" si="591"/>
        <v>18234</v>
      </c>
      <c r="BB105" s="141">
        <f t="shared" si="591"/>
        <v>7141</v>
      </c>
      <c r="BC105" s="141">
        <f t="shared" si="591"/>
        <v>7135</v>
      </c>
      <c r="BD105" s="141">
        <f t="shared" si="591"/>
        <v>4000</v>
      </c>
      <c r="BE105" s="142">
        <f t="shared" si="591"/>
        <v>18276</v>
      </c>
      <c r="BF105" s="142">
        <f t="shared" si="591"/>
        <v>54686</v>
      </c>
      <c r="BG105" s="141">
        <f t="shared" si="591"/>
        <v>1292</v>
      </c>
      <c r="BH105" s="141">
        <f t="shared" si="591"/>
        <v>209</v>
      </c>
      <c r="BI105" s="141">
        <f t="shared" si="591"/>
        <v>652</v>
      </c>
      <c r="BJ105" s="141">
        <f t="shared" si="591"/>
        <v>2153</v>
      </c>
      <c r="BK105" s="141">
        <f t="shared" si="591"/>
        <v>1630</v>
      </c>
      <c r="BL105" s="141">
        <f t="shared" si="591"/>
        <v>2617</v>
      </c>
      <c r="BM105" s="141">
        <f t="shared" si="591"/>
        <v>1964</v>
      </c>
      <c r="BN105" s="141">
        <f t="shared" si="591"/>
        <v>6211</v>
      </c>
      <c r="BO105" s="141">
        <f t="shared" si="591"/>
        <v>2540</v>
      </c>
      <c r="BP105" s="141">
        <f t="shared" si="591"/>
        <v>1943</v>
      </c>
      <c r="BQ105" s="141">
        <f t="shared" si="591"/>
        <v>1713</v>
      </c>
      <c r="BR105" s="141">
        <f t="shared" si="591"/>
        <v>6196</v>
      </c>
      <c r="BS105" s="141">
        <f t="shared" si="591"/>
        <v>879</v>
      </c>
      <c r="BT105" s="141">
        <f t="shared" si="591"/>
        <v>1670</v>
      </c>
      <c r="BU105" s="141">
        <f t="shared" si="591"/>
        <v>615</v>
      </c>
      <c r="BV105" s="141">
        <f t="shared" si="591"/>
        <v>3164</v>
      </c>
      <c r="BW105" s="141">
        <f t="shared" si="591"/>
        <v>17724</v>
      </c>
      <c r="BX105" s="141">
        <f t="shared" si="591"/>
        <v>554</v>
      </c>
      <c r="BY105" s="141"/>
      <c r="BZ105" s="141"/>
      <c r="CA105" s="141">
        <f>SUM(CA106:CA111)</f>
        <v>2328</v>
      </c>
      <c r="CB105" s="141"/>
      <c r="CC105" s="141"/>
      <c r="CD105" s="141">
        <f>SUM(CD106:CD111)</f>
        <v>766</v>
      </c>
      <c r="CE105" s="141"/>
      <c r="CF105" s="193"/>
      <c r="CG105" s="141">
        <f t="shared" ref="CG105:CH105" si="592">SUM(CG106:CG111)</f>
        <v>3648</v>
      </c>
      <c r="CH105" s="141">
        <f t="shared" si="592"/>
        <v>0</v>
      </c>
      <c r="CI105" s="141"/>
      <c r="CJ105" s="141"/>
      <c r="CK105" s="141">
        <f>SUM(CK106:CK111)</f>
        <v>0</v>
      </c>
      <c r="CL105" s="141"/>
      <c r="CM105" s="141"/>
      <c r="CN105" s="141">
        <f>SUM(CN106:CN111)</f>
        <v>0</v>
      </c>
      <c r="CO105" s="141"/>
      <c r="CP105" s="193"/>
      <c r="CQ105" s="141">
        <f t="shared" ref="CQ105:CR105" si="593">SUM(CQ106:CQ111)</f>
        <v>0</v>
      </c>
      <c r="CR105" s="141">
        <f t="shared" si="593"/>
        <v>0</v>
      </c>
      <c r="CS105" s="141"/>
      <c r="CT105" s="141"/>
      <c r="CU105" s="141">
        <f t="shared" ref="CU105:DC105" si="594">SUM(CU106:CU111)</f>
        <v>0</v>
      </c>
      <c r="CV105" s="141">
        <f t="shared" si="594"/>
        <v>0</v>
      </c>
      <c r="CW105" s="141">
        <f t="shared" si="594"/>
        <v>0</v>
      </c>
      <c r="CX105" s="141">
        <f t="shared" si="594"/>
        <v>0</v>
      </c>
      <c r="CY105" s="141">
        <f t="shared" si="594"/>
        <v>0</v>
      </c>
      <c r="CZ105" s="141">
        <f t="shared" si="594"/>
        <v>0</v>
      </c>
      <c r="DA105" s="141">
        <f t="shared" si="594"/>
        <v>0</v>
      </c>
      <c r="DB105" s="141">
        <f t="shared" si="594"/>
        <v>3648</v>
      </c>
      <c r="DC105" s="141">
        <f t="shared" si="594"/>
        <v>113358</v>
      </c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</row>
    <row r="106" ht="15.75" customHeight="1">
      <c r="A106" s="167" t="s">
        <v>178</v>
      </c>
      <c r="B106" s="154">
        <v>0.0</v>
      </c>
      <c r="C106" s="154">
        <v>0.0</v>
      </c>
      <c r="D106" s="154">
        <v>0.0</v>
      </c>
      <c r="E106" s="154">
        <v>0.0</v>
      </c>
      <c r="F106" s="154">
        <v>0.0</v>
      </c>
      <c r="G106" s="154">
        <f t="shared" ref="G106:G112" si="595">SUM(B106:F106)</f>
        <v>0</v>
      </c>
      <c r="H106" s="154">
        <v>308.0</v>
      </c>
      <c r="I106" s="154">
        <v>18.0</v>
      </c>
      <c r="J106" s="154">
        <v>1.0</v>
      </c>
      <c r="K106" s="156">
        <f t="shared" ref="K106:K112" si="596">SUM(H106:J106)</f>
        <v>327</v>
      </c>
      <c r="L106" s="154">
        <v>45.0</v>
      </c>
      <c r="M106" s="154">
        <v>0.0</v>
      </c>
      <c r="N106" s="154">
        <v>0.0</v>
      </c>
      <c r="O106" s="156">
        <f t="shared" ref="O106:O112" si="597">SUM(L106:N106)</f>
        <v>45</v>
      </c>
      <c r="P106" s="154">
        <v>0.0</v>
      </c>
      <c r="Q106" s="154">
        <v>0.0</v>
      </c>
      <c r="R106" s="154">
        <v>0.0</v>
      </c>
      <c r="S106" s="156">
        <f t="shared" ref="S106:S112" si="598">SUM(P106:R106)</f>
        <v>0</v>
      </c>
      <c r="T106" s="154">
        <v>0.0</v>
      </c>
      <c r="U106" s="154">
        <v>0.0</v>
      </c>
      <c r="V106" s="154">
        <v>0.0</v>
      </c>
      <c r="W106" s="156">
        <f t="shared" ref="W106:W112" si="599">SUM(T106:V106)</f>
        <v>0</v>
      </c>
      <c r="X106" s="156">
        <f t="shared" ref="X106:X112" si="600">SUM(W106,S106,O106,K106)</f>
        <v>372</v>
      </c>
      <c r="Y106" s="154">
        <v>0.0</v>
      </c>
      <c r="Z106" s="154">
        <v>0.0</v>
      </c>
      <c r="AA106" s="154">
        <v>0.0</v>
      </c>
      <c r="AB106" s="156">
        <f t="shared" ref="AB106:AB112" si="601">SUM(Y106:AA106)</f>
        <v>0</v>
      </c>
      <c r="AC106" s="154">
        <v>0.0</v>
      </c>
      <c r="AD106" s="154">
        <v>133.0</v>
      </c>
      <c r="AE106" s="154">
        <v>475.0</v>
      </c>
      <c r="AF106" s="156">
        <f t="shared" ref="AF106:AF112" si="602">SUM(AC106:AE106)</f>
        <v>608</v>
      </c>
      <c r="AG106" s="154">
        <v>308.0</v>
      </c>
      <c r="AH106" s="154">
        <v>118.0</v>
      </c>
      <c r="AI106" s="154">
        <v>228.0</v>
      </c>
      <c r="AJ106" s="156">
        <f t="shared" ref="AJ106:AJ112" si="603">SUM(AG106:AI106)</f>
        <v>654</v>
      </c>
      <c r="AK106" s="154">
        <v>199.0</v>
      </c>
      <c r="AL106" s="154">
        <v>0.0</v>
      </c>
      <c r="AM106" s="154">
        <v>513.0</v>
      </c>
      <c r="AN106" s="156">
        <f t="shared" ref="AN106:AN112" si="604">SUM(AK106:AM106)</f>
        <v>712</v>
      </c>
      <c r="AO106" s="156">
        <f t="shared" ref="AO106:AO112" si="605">SUM(AN106,AJ106,AF106,AB106)</f>
        <v>1974</v>
      </c>
      <c r="AP106" s="154">
        <v>213.0</v>
      </c>
      <c r="AQ106" s="154">
        <v>184.0</v>
      </c>
      <c r="AR106" s="156">
        <v>0.0</v>
      </c>
      <c r="AS106" s="154">
        <f t="shared" ref="AS106:AS112" si="606">SUM(AP106:AR106)</f>
        <v>397</v>
      </c>
      <c r="AT106" s="154">
        <v>0.0</v>
      </c>
      <c r="AU106" s="154">
        <v>0.0</v>
      </c>
      <c r="AV106" s="154">
        <v>365.0</v>
      </c>
      <c r="AW106" s="154">
        <f t="shared" ref="AW106:AW112" si="607">SUM(AT106:AV106)</f>
        <v>365</v>
      </c>
      <c r="AX106" s="154">
        <v>1561.0</v>
      </c>
      <c r="AY106" s="154">
        <v>75.0</v>
      </c>
      <c r="AZ106" s="154">
        <v>1.0</v>
      </c>
      <c r="BA106" s="154">
        <f t="shared" ref="BA106:BA112" si="608">SUM(AX106:AZ106)</f>
        <v>1637</v>
      </c>
      <c r="BB106" s="154">
        <v>0.0</v>
      </c>
      <c r="BC106" s="154">
        <v>1709.0</v>
      </c>
      <c r="BD106" s="154">
        <v>82.0</v>
      </c>
      <c r="BE106" s="154">
        <f t="shared" ref="BE106:BE112" si="609">SUM(BB106:BD106)</f>
        <v>1791</v>
      </c>
      <c r="BF106" s="154">
        <f t="shared" ref="BF106:BF111" si="610">SUM(AS106,AW106,BA106,BE106)</f>
        <v>4190</v>
      </c>
      <c r="BG106" s="154">
        <v>0.0</v>
      </c>
      <c r="BH106" s="154">
        <v>0.0</v>
      </c>
      <c r="BI106" s="154">
        <v>0.0</v>
      </c>
      <c r="BJ106" s="154">
        <f t="shared" ref="BJ106:BJ112" si="611">SUM(BG106:BI106)</f>
        <v>0</v>
      </c>
      <c r="BK106" s="154">
        <v>56.0</v>
      </c>
      <c r="BL106" s="154">
        <v>308.0</v>
      </c>
      <c r="BM106" s="154">
        <v>326.0</v>
      </c>
      <c r="BN106" s="154">
        <f t="shared" ref="BN106:BN112" si="612">SUM(BK106:BM106)</f>
        <v>690</v>
      </c>
      <c r="BO106" s="154">
        <v>55.0</v>
      </c>
      <c r="BP106" s="154">
        <v>551.0</v>
      </c>
      <c r="BQ106" s="154">
        <v>757.0</v>
      </c>
      <c r="BR106" s="154">
        <f t="shared" ref="BR106:BR112" si="613">SUM(BO106:BQ106)</f>
        <v>1363</v>
      </c>
      <c r="BS106" s="154">
        <v>436.0</v>
      </c>
      <c r="BT106" s="154">
        <v>588.0</v>
      </c>
      <c r="BU106" s="154">
        <v>93.0</v>
      </c>
      <c r="BV106" s="154">
        <f t="shared" ref="BV106:BV112" si="614">SUM(BS106:BU106)</f>
        <v>1117</v>
      </c>
      <c r="BW106" s="154">
        <f t="shared" ref="BW106:BW111" si="615">SUM(BJ106,BN106,BR106,BV106)</f>
        <v>3170</v>
      </c>
      <c r="BX106" s="154">
        <v>0.0</v>
      </c>
      <c r="BY106" s="154"/>
      <c r="BZ106" s="154"/>
      <c r="CA106" s="154">
        <v>204.0</v>
      </c>
      <c r="CB106" s="154"/>
      <c r="CC106" s="154"/>
      <c r="CD106" s="154">
        <v>704.0</v>
      </c>
      <c r="CE106" s="154"/>
      <c r="CF106" s="194"/>
      <c r="CG106" s="154">
        <f t="shared" ref="CG106:CG112" si="616">SUM(BX106:CD106)</f>
        <v>908</v>
      </c>
      <c r="CH106" s="154"/>
      <c r="CI106" s="154"/>
      <c r="CJ106" s="154"/>
      <c r="CK106" s="154"/>
      <c r="CL106" s="154"/>
      <c r="CM106" s="154"/>
      <c r="CN106" s="154"/>
      <c r="CO106" s="154"/>
      <c r="CP106" s="194"/>
      <c r="CQ106" s="154">
        <f t="shared" ref="CQ106:CQ112" si="617">SUM(CH106:CN106)</f>
        <v>0</v>
      </c>
      <c r="CR106" s="154"/>
      <c r="CS106" s="154"/>
      <c r="CT106" s="154"/>
      <c r="CU106" s="154"/>
      <c r="CV106" s="154"/>
      <c r="CW106" s="154">
        <f t="shared" ref="CW106:CW112" si="618">SUM(CR106:CV106)</f>
        <v>0</v>
      </c>
      <c r="CX106" s="154"/>
      <c r="CY106" s="154"/>
      <c r="CZ106" s="154"/>
      <c r="DA106" s="154">
        <f t="shared" ref="DA106:DA112" si="619">SUM(CX106:CZ106)</f>
        <v>0</v>
      </c>
      <c r="DB106" s="154">
        <f t="shared" ref="DB106:DB111" si="620">SUM(CG106,CQ106,CW106,DA106)</f>
        <v>908</v>
      </c>
      <c r="DC106" s="171">
        <f t="shared" ref="DC106:DC111" si="621">SUM(A106,G106,X106,AO106,BF106,BW106,DB106)</f>
        <v>10614</v>
      </c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</row>
    <row r="107" ht="15.75" customHeight="1">
      <c r="A107" s="167" t="s">
        <v>179</v>
      </c>
      <c r="B107" s="154">
        <v>0.0</v>
      </c>
      <c r="C107" s="154">
        <v>0.0</v>
      </c>
      <c r="D107" s="154">
        <v>0.0</v>
      </c>
      <c r="E107" s="154">
        <v>0.0</v>
      </c>
      <c r="F107" s="154">
        <v>0.0</v>
      </c>
      <c r="G107" s="154">
        <f t="shared" si="595"/>
        <v>0</v>
      </c>
      <c r="H107" s="154">
        <v>0.0</v>
      </c>
      <c r="I107" s="154">
        <v>0.0</v>
      </c>
      <c r="J107" s="154">
        <v>5.0</v>
      </c>
      <c r="K107" s="156">
        <f t="shared" si="596"/>
        <v>5</v>
      </c>
      <c r="L107" s="154">
        <v>3.0</v>
      </c>
      <c r="M107" s="154">
        <v>0.0</v>
      </c>
      <c r="N107" s="154">
        <v>1.0</v>
      </c>
      <c r="O107" s="156">
        <f t="shared" si="597"/>
        <v>4</v>
      </c>
      <c r="P107" s="154">
        <v>89.0</v>
      </c>
      <c r="Q107" s="154">
        <v>0.0</v>
      </c>
      <c r="R107" s="154">
        <v>141.0</v>
      </c>
      <c r="S107" s="156">
        <f t="shared" si="598"/>
        <v>230</v>
      </c>
      <c r="T107" s="154">
        <v>209.0</v>
      </c>
      <c r="U107" s="154">
        <v>815.0</v>
      </c>
      <c r="V107" s="154">
        <v>423.0</v>
      </c>
      <c r="W107" s="156">
        <f t="shared" si="599"/>
        <v>1447</v>
      </c>
      <c r="X107" s="156">
        <f t="shared" si="600"/>
        <v>1686</v>
      </c>
      <c r="Y107" s="154">
        <v>120.0</v>
      </c>
      <c r="Z107" s="154">
        <v>49.0</v>
      </c>
      <c r="AA107" s="154">
        <v>304.0</v>
      </c>
      <c r="AB107" s="156">
        <f t="shared" si="601"/>
        <v>473</v>
      </c>
      <c r="AC107" s="154">
        <v>60.0</v>
      </c>
      <c r="AD107" s="154">
        <v>0.0</v>
      </c>
      <c r="AE107" s="154">
        <v>399.0</v>
      </c>
      <c r="AF107" s="156">
        <f t="shared" si="602"/>
        <v>459</v>
      </c>
      <c r="AG107" s="154">
        <v>606.0</v>
      </c>
      <c r="AH107" s="154">
        <v>465.0</v>
      </c>
      <c r="AI107" s="154">
        <v>508.0</v>
      </c>
      <c r="AJ107" s="156">
        <f t="shared" si="603"/>
        <v>1579</v>
      </c>
      <c r="AK107" s="154">
        <v>67.0</v>
      </c>
      <c r="AL107" s="154">
        <v>212.0</v>
      </c>
      <c r="AM107" s="154">
        <v>759.0</v>
      </c>
      <c r="AN107" s="156">
        <f t="shared" si="604"/>
        <v>1038</v>
      </c>
      <c r="AO107" s="156">
        <f t="shared" si="605"/>
        <v>3549</v>
      </c>
      <c r="AP107" s="154">
        <v>501.0</v>
      </c>
      <c r="AQ107" s="154">
        <v>53.0</v>
      </c>
      <c r="AR107" s="156">
        <v>721.0</v>
      </c>
      <c r="AS107" s="154">
        <f t="shared" si="606"/>
        <v>1275</v>
      </c>
      <c r="AT107" s="154">
        <v>424.0</v>
      </c>
      <c r="AU107" s="154">
        <v>47.0</v>
      </c>
      <c r="AV107" s="154">
        <v>3226.0</v>
      </c>
      <c r="AW107" s="154">
        <f t="shared" si="607"/>
        <v>3697</v>
      </c>
      <c r="AX107" s="154">
        <v>4890.0</v>
      </c>
      <c r="AY107" s="154">
        <v>1268.0</v>
      </c>
      <c r="AZ107" s="154">
        <v>312.0</v>
      </c>
      <c r="BA107" s="154">
        <f t="shared" si="608"/>
        <v>6470</v>
      </c>
      <c r="BB107" s="154">
        <v>296.0</v>
      </c>
      <c r="BC107" s="154">
        <v>146.0</v>
      </c>
      <c r="BD107" s="154">
        <v>50.0</v>
      </c>
      <c r="BE107" s="154">
        <f t="shared" si="609"/>
        <v>492</v>
      </c>
      <c r="BF107" s="154">
        <f t="shared" si="610"/>
        <v>11934</v>
      </c>
      <c r="BG107" s="154">
        <v>123.0</v>
      </c>
      <c r="BH107" s="154">
        <v>0.0</v>
      </c>
      <c r="BI107" s="154">
        <v>29.0</v>
      </c>
      <c r="BJ107" s="154">
        <f t="shared" si="611"/>
        <v>152</v>
      </c>
      <c r="BK107" s="154">
        <v>350.0</v>
      </c>
      <c r="BL107" s="154">
        <v>1104.0</v>
      </c>
      <c r="BM107" s="154">
        <v>367.0</v>
      </c>
      <c r="BN107" s="154">
        <f t="shared" si="612"/>
        <v>1821</v>
      </c>
      <c r="BO107" s="154">
        <v>3.0</v>
      </c>
      <c r="BP107" s="154">
        <v>42.0</v>
      </c>
      <c r="BQ107" s="154">
        <v>187.0</v>
      </c>
      <c r="BR107" s="154">
        <f t="shared" si="613"/>
        <v>232</v>
      </c>
      <c r="BS107" s="154">
        <v>22.0</v>
      </c>
      <c r="BT107" s="154">
        <v>817.0</v>
      </c>
      <c r="BU107" s="154">
        <v>51.0</v>
      </c>
      <c r="BV107" s="154">
        <f t="shared" si="614"/>
        <v>890</v>
      </c>
      <c r="BW107" s="154">
        <f t="shared" si="615"/>
        <v>3095</v>
      </c>
      <c r="BX107" s="154">
        <v>307.0</v>
      </c>
      <c r="BY107" s="154"/>
      <c r="BZ107" s="154"/>
      <c r="CA107" s="154">
        <v>883.0</v>
      </c>
      <c r="CB107" s="154"/>
      <c r="CC107" s="154"/>
      <c r="CD107" s="154">
        <v>0.0</v>
      </c>
      <c r="CE107" s="154"/>
      <c r="CF107" s="194"/>
      <c r="CG107" s="154">
        <f t="shared" si="616"/>
        <v>1190</v>
      </c>
      <c r="CH107" s="154"/>
      <c r="CI107" s="154"/>
      <c r="CJ107" s="154"/>
      <c r="CK107" s="154"/>
      <c r="CL107" s="154"/>
      <c r="CM107" s="154"/>
      <c r="CN107" s="154"/>
      <c r="CO107" s="154"/>
      <c r="CP107" s="194"/>
      <c r="CQ107" s="154">
        <f t="shared" si="617"/>
        <v>0</v>
      </c>
      <c r="CR107" s="154"/>
      <c r="CS107" s="154"/>
      <c r="CT107" s="154"/>
      <c r="CU107" s="154"/>
      <c r="CV107" s="154"/>
      <c r="CW107" s="154">
        <f t="shared" si="618"/>
        <v>0</v>
      </c>
      <c r="CX107" s="154"/>
      <c r="CY107" s="154"/>
      <c r="CZ107" s="154"/>
      <c r="DA107" s="154">
        <f t="shared" si="619"/>
        <v>0</v>
      </c>
      <c r="DB107" s="154">
        <f t="shared" si="620"/>
        <v>1190</v>
      </c>
      <c r="DC107" s="171">
        <f t="shared" si="621"/>
        <v>21454</v>
      </c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</row>
    <row r="108" ht="15.75" customHeight="1">
      <c r="A108" s="167" t="s">
        <v>180</v>
      </c>
      <c r="B108" s="154">
        <v>0.0</v>
      </c>
      <c r="C108" s="154">
        <v>164.0</v>
      </c>
      <c r="D108" s="154">
        <v>103.0</v>
      </c>
      <c r="E108" s="154">
        <v>75.0</v>
      </c>
      <c r="F108" s="154">
        <v>64.0</v>
      </c>
      <c r="G108" s="154">
        <f t="shared" si="595"/>
        <v>406</v>
      </c>
      <c r="H108" s="154">
        <v>156.0</v>
      </c>
      <c r="I108" s="154">
        <v>111.0</v>
      </c>
      <c r="J108" s="154">
        <v>61.0</v>
      </c>
      <c r="K108" s="156">
        <f t="shared" si="596"/>
        <v>328</v>
      </c>
      <c r="L108" s="154">
        <v>41.0</v>
      </c>
      <c r="M108" s="154">
        <v>48.0</v>
      </c>
      <c r="N108" s="154">
        <v>19.0</v>
      </c>
      <c r="O108" s="156">
        <f t="shared" si="597"/>
        <v>108</v>
      </c>
      <c r="P108" s="154">
        <v>458.0</v>
      </c>
      <c r="Q108" s="154">
        <v>368.0</v>
      </c>
      <c r="R108" s="154">
        <v>867.0</v>
      </c>
      <c r="S108" s="156">
        <f t="shared" si="598"/>
        <v>1693</v>
      </c>
      <c r="T108" s="154">
        <v>1188.0</v>
      </c>
      <c r="U108" s="154">
        <v>433.0</v>
      </c>
      <c r="V108" s="154">
        <v>1147.0</v>
      </c>
      <c r="W108" s="156">
        <f t="shared" si="599"/>
        <v>2768</v>
      </c>
      <c r="X108" s="156">
        <f t="shared" si="600"/>
        <v>4897</v>
      </c>
      <c r="Y108" s="154">
        <v>435.0</v>
      </c>
      <c r="Z108" s="154">
        <v>1390.0</v>
      </c>
      <c r="AA108" s="154">
        <v>2142.0</v>
      </c>
      <c r="AB108" s="156">
        <f t="shared" si="601"/>
        <v>3967</v>
      </c>
      <c r="AC108" s="154">
        <v>1115.0</v>
      </c>
      <c r="AD108" s="154">
        <v>202.0</v>
      </c>
      <c r="AE108" s="154">
        <v>828.0</v>
      </c>
      <c r="AF108" s="156">
        <f t="shared" si="602"/>
        <v>2145</v>
      </c>
      <c r="AG108" s="154">
        <v>1140.0</v>
      </c>
      <c r="AH108" s="154">
        <v>1258.0</v>
      </c>
      <c r="AI108" s="154">
        <v>828.0</v>
      </c>
      <c r="AJ108" s="156">
        <f t="shared" si="603"/>
        <v>3226</v>
      </c>
      <c r="AK108" s="154">
        <v>1093.0</v>
      </c>
      <c r="AL108" s="154">
        <v>1475.0</v>
      </c>
      <c r="AM108" s="154">
        <v>1407.0</v>
      </c>
      <c r="AN108" s="156">
        <f t="shared" si="604"/>
        <v>3975</v>
      </c>
      <c r="AO108" s="156">
        <f t="shared" si="605"/>
        <v>13313</v>
      </c>
      <c r="AP108" s="154">
        <v>719.0</v>
      </c>
      <c r="AQ108" s="154">
        <v>1775.0</v>
      </c>
      <c r="AR108" s="156">
        <v>1475.0</v>
      </c>
      <c r="AS108" s="154">
        <f t="shared" si="606"/>
        <v>3969</v>
      </c>
      <c r="AT108" s="154">
        <v>111.0</v>
      </c>
      <c r="AU108" s="154">
        <v>0.0</v>
      </c>
      <c r="AV108" s="154">
        <v>6932.0</v>
      </c>
      <c r="AW108" s="154">
        <f t="shared" si="607"/>
        <v>7043</v>
      </c>
      <c r="AX108" s="154">
        <v>4602.0</v>
      </c>
      <c r="AY108" s="154">
        <v>2337.0</v>
      </c>
      <c r="AZ108" s="154">
        <v>1646.0</v>
      </c>
      <c r="BA108" s="154">
        <f t="shared" si="608"/>
        <v>8585</v>
      </c>
      <c r="BB108" s="154">
        <v>4099.0</v>
      </c>
      <c r="BC108" s="154">
        <v>3564.0</v>
      </c>
      <c r="BD108" s="154">
        <v>3083.0</v>
      </c>
      <c r="BE108" s="154">
        <f t="shared" si="609"/>
        <v>10746</v>
      </c>
      <c r="BF108" s="154">
        <f t="shared" si="610"/>
        <v>30343</v>
      </c>
      <c r="BG108" s="154">
        <v>925.0</v>
      </c>
      <c r="BH108" s="154">
        <v>209.0</v>
      </c>
      <c r="BI108" s="154">
        <v>606.0</v>
      </c>
      <c r="BJ108" s="154">
        <f t="shared" si="611"/>
        <v>1740</v>
      </c>
      <c r="BK108" s="154">
        <v>915.0</v>
      </c>
      <c r="BL108" s="154">
        <v>1092.0</v>
      </c>
      <c r="BM108" s="154">
        <v>506.0</v>
      </c>
      <c r="BN108" s="154">
        <f t="shared" si="612"/>
        <v>2513</v>
      </c>
      <c r="BO108" s="154">
        <v>1949.0</v>
      </c>
      <c r="BP108" s="154">
        <v>1286.0</v>
      </c>
      <c r="BQ108" s="154">
        <v>729.0</v>
      </c>
      <c r="BR108" s="154">
        <f t="shared" si="613"/>
        <v>3964</v>
      </c>
      <c r="BS108" s="154">
        <v>421.0</v>
      </c>
      <c r="BT108" s="154">
        <v>44.0</v>
      </c>
      <c r="BU108" s="154">
        <v>401.0</v>
      </c>
      <c r="BV108" s="154">
        <f t="shared" si="614"/>
        <v>866</v>
      </c>
      <c r="BW108" s="154">
        <f t="shared" si="615"/>
        <v>9083</v>
      </c>
      <c r="BX108" s="154">
        <v>247.0</v>
      </c>
      <c r="BY108" s="154"/>
      <c r="BZ108" s="154"/>
      <c r="CA108" s="154">
        <v>723.0</v>
      </c>
      <c r="CB108" s="154"/>
      <c r="CC108" s="154"/>
      <c r="CD108" s="154">
        <v>0.0</v>
      </c>
      <c r="CE108" s="154"/>
      <c r="CF108" s="194"/>
      <c r="CG108" s="154">
        <f t="shared" si="616"/>
        <v>970</v>
      </c>
      <c r="CH108" s="154"/>
      <c r="CI108" s="154"/>
      <c r="CJ108" s="154"/>
      <c r="CK108" s="154"/>
      <c r="CL108" s="154"/>
      <c r="CM108" s="154"/>
      <c r="CN108" s="154"/>
      <c r="CO108" s="154"/>
      <c r="CP108" s="194"/>
      <c r="CQ108" s="154">
        <f t="shared" si="617"/>
        <v>0</v>
      </c>
      <c r="CR108" s="154"/>
      <c r="CS108" s="154"/>
      <c r="CT108" s="154"/>
      <c r="CU108" s="154"/>
      <c r="CV108" s="154"/>
      <c r="CW108" s="154">
        <f t="shared" si="618"/>
        <v>0</v>
      </c>
      <c r="CX108" s="154"/>
      <c r="CY108" s="154"/>
      <c r="CZ108" s="154"/>
      <c r="DA108" s="154">
        <f t="shared" si="619"/>
        <v>0</v>
      </c>
      <c r="DB108" s="154">
        <f t="shared" si="620"/>
        <v>970</v>
      </c>
      <c r="DC108" s="171">
        <f t="shared" si="621"/>
        <v>59012</v>
      </c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</row>
    <row r="109" ht="15.75" customHeight="1">
      <c r="A109" s="167" t="s">
        <v>181</v>
      </c>
      <c r="B109" s="154">
        <v>0.0</v>
      </c>
      <c r="C109" s="154">
        <v>0.0</v>
      </c>
      <c r="D109" s="154">
        <v>0.0</v>
      </c>
      <c r="E109" s="154">
        <v>0.0</v>
      </c>
      <c r="F109" s="154">
        <v>0.0</v>
      </c>
      <c r="G109" s="154">
        <f t="shared" si="595"/>
        <v>0</v>
      </c>
      <c r="H109" s="154">
        <v>0.0</v>
      </c>
      <c r="I109" s="154">
        <v>0.0</v>
      </c>
      <c r="J109" s="154">
        <v>0.0</v>
      </c>
      <c r="K109" s="156">
        <f t="shared" si="596"/>
        <v>0</v>
      </c>
      <c r="L109" s="154">
        <v>0.0</v>
      </c>
      <c r="M109" s="154">
        <v>0.0</v>
      </c>
      <c r="N109" s="154">
        <v>0.0</v>
      </c>
      <c r="O109" s="156">
        <f t="shared" si="597"/>
        <v>0</v>
      </c>
      <c r="P109" s="154">
        <v>0.0</v>
      </c>
      <c r="Q109" s="154">
        <v>0.0</v>
      </c>
      <c r="R109" s="154">
        <v>0.0</v>
      </c>
      <c r="S109" s="156">
        <f t="shared" si="598"/>
        <v>0</v>
      </c>
      <c r="T109" s="154">
        <v>0.0</v>
      </c>
      <c r="U109" s="154">
        <v>0.0</v>
      </c>
      <c r="V109" s="154">
        <v>0.0</v>
      </c>
      <c r="W109" s="156">
        <f t="shared" si="599"/>
        <v>0</v>
      </c>
      <c r="X109" s="156">
        <f t="shared" si="600"/>
        <v>0</v>
      </c>
      <c r="Y109" s="154">
        <v>0.0</v>
      </c>
      <c r="Z109" s="154">
        <v>0.0</v>
      </c>
      <c r="AA109" s="154">
        <v>0.0</v>
      </c>
      <c r="AB109" s="156">
        <f t="shared" si="601"/>
        <v>0</v>
      </c>
      <c r="AC109" s="154">
        <v>0.0</v>
      </c>
      <c r="AD109" s="154">
        <v>0.0</v>
      </c>
      <c r="AE109" s="154">
        <v>0.0</v>
      </c>
      <c r="AF109" s="156">
        <f t="shared" si="602"/>
        <v>0</v>
      </c>
      <c r="AG109" s="154">
        <v>0.0</v>
      </c>
      <c r="AH109" s="154">
        <v>0.0</v>
      </c>
      <c r="AI109" s="154">
        <v>0.0</v>
      </c>
      <c r="AJ109" s="156">
        <f t="shared" si="603"/>
        <v>0</v>
      </c>
      <c r="AK109" s="154">
        <v>172.0</v>
      </c>
      <c r="AL109" s="154">
        <v>72.0</v>
      </c>
      <c r="AM109" s="154">
        <v>0.0</v>
      </c>
      <c r="AN109" s="156">
        <f t="shared" si="604"/>
        <v>244</v>
      </c>
      <c r="AO109" s="156">
        <f t="shared" si="605"/>
        <v>244</v>
      </c>
      <c r="AP109" s="154">
        <v>0.0</v>
      </c>
      <c r="AQ109" s="154">
        <v>0.0</v>
      </c>
      <c r="AR109" s="156">
        <v>97.0</v>
      </c>
      <c r="AS109" s="154">
        <f t="shared" si="606"/>
        <v>97</v>
      </c>
      <c r="AT109" s="154">
        <v>0.0</v>
      </c>
      <c r="AU109" s="154">
        <v>0.0</v>
      </c>
      <c r="AV109" s="154">
        <v>99.0</v>
      </c>
      <c r="AW109" s="154">
        <f t="shared" si="607"/>
        <v>99</v>
      </c>
      <c r="AX109" s="154">
        <v>191.0</v>
      </c>
      <c r="AY109" s="154">
        <v>0.0</v>
      </c>
      <c r="AZ109" s="154">
        <v>0.0</v>
      </c>
      <c r="BA109" s="154">
        <f t="shared" si="608"/>
        <v>191</v>
      </c>
      <c r="BB109" s="154">
        <v>0.0</v>
      </c>
      <c r="BC109" s="154">
        <v>277.0</v>
      </c>
      <c r="BD109" s="154">
        <v>2.0</v>
      </c>
      <c r="BE109" s="154">
        <f t="shared" si="609"/>
        <v>279</v>
      </c>
      <c r="BF109" s="154">
        <f t="shared" si="610"/>
        <v>666</v>
      </c>
      <c r="BG109" s="154">
        <v>0.0</v>
      </c>
      <c r="BH109" s="154">
        <v>0.0</v>
      </c>
      <c r="BI109" s="154">
        <v>0.0</v>
      </c>
      <c r="BJ109" s="154">
        <f t="shared" si="611"/>
        <v>0</v>
      </c>
      <c r="BK109" s="154">
        <v>0.0</v>
      </c>
      <c r="BL109" s="154">
        <v>0.0</v>
      </c>
      <c r="BM109" s="154">
        <v>0.0</v>
      </c>
      <c r="BN109" s="154">
        <f t="shared" si="612"/>
        <v>0</v>
      </c>
      <c r="BO109" s="154">
        <v>0.0</v>
      </c>
      <c r="BP109" s="125"/>
      <c r="BQ109" s="154">
        <v>0.0</v>
      </c>
      <c r="BR109" s="154">
        <f t="shared" si="613"/>
        <v>0</v>
      </c>
      <c r="BS109" s="154">
        <v>0.0</v>
      </c>
      <c r="BT109" s="154">
        <v>221.0</v>
      </c>
      <c r="BU109" s="154">
        <v>0.0</v>
      </c>
      <c r="BV109" s="154">
        <f t="shared" si="614"/>
        <v>221</v>
      </c>
      <c r="BW109" s="154">
        <f t="shared" si="615"/>
        <v>221</v>
      </c>
      <c r="BX109" s="154">
        <v>0.0</v>
      </c>
      <c r="BY109" s="154"/>
      <c r="BZ109" s="154"/>
      <c r="CA109" s="154">
        <v>508.0</v>
      </c>
      <c r="CB109" s="154"/>
      <c r="CC109" s="154"/>
      <c r="CD109" s="154">
        <v>25.0</v>
      </c>
      <c r="CE109" s="154"/>
      <c r="CF109" s="194"/>
      <c r="CG109" s="154">
        <f t="shared" si="616"/>
        <v>533</v>
      </c>
      <c r="CH109" s="125"/>
      <c r="CI109" s="125"/>
      <c r="CJ109" s="125"/>
      <c r="CK109" s="125"/>
      <c r="CL109" s="125"/>
      <c r="CM109" s="125"/>
      <c r="CN109" s="125"/>
      <c r="CO109" s="125"/>
      <c r="CP109" s="194"/>
      <c r="CQ109" s="154">
        <f t="shared" si="617"/>
        <v>0</v>
      </c>
      <c r="CR109" s="125"/>
      <c r="CS109" s="125"/>
      <c r="CT109" s="125"/>
      <c r="CU109" s="125"/>
      <c r="CV109" s="125"/>
      <c r="CW109" s="154">
        <f t="shared" si="618"/>
        <v>0</v>
      </c>
      <c r="CX109" s="125"/>
      <c r="CY109" s="125"/>
      <c r="CZ109" s="125"/>
      <c r="DA109" s="154">
        <f t="shared" si="619"/>
        <v>0</v>
      </c>
      <c r="DB109" s="154">
        <f t="shared" si="620"/>
        <v>533</v>
      </c>
      <c r="DC109" s="171">
        <f t="shared" si="621"/>
        <v>1664</v>
      </c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</row>
    <row r="110" ht="15.75" customHeight="1">
      <c r="A110" s="167" t="s">
        <v>182</v>
      </c>
      <c r="B110" s="154">
        <v>0.0</v>
      </c>
      <c r="C110" s="154">
        <v>0.0</v>
      </c>
      <c r="D110" s="154">
        <v>0.0</v>
      </c>
      <c r="E110" s="154">
        <v>0.0</v>
      </c>
      <c r="F110" s="154">
        <v>0.0</v>
      </c>
      <c r="G110" s="154">
        <f t="shared" si="595"/>
        <v>0</v>
      </c>
      <c r="H110" s="154">
        <v>0.0</v>
      </c>
      <c r="I110" s="154">
        <v>0.0</v>
      </c>
      <c r="J110" s="154">
        <v>0.0</v>
      </c>
      <c r="K110" s="156">
        <f t="shared" si="596"/>
        <v>0</v>
      </c>
      <c r="L110" s="154">
        <v>0.0</v>
      </c>
      <c r="M110" s="154">
        <v>0.0</v>
      </c>
      <c r="N110" s="154">
        <v>0.0</v>
      </c>
      <c r="O110" s="156">
        <f t="shared" si="597"/>
        <v>0</v>
      </c>
      <c r="P110" s="154">
        <v>0.0</v>
      </c>
      <c r="Q110" s="154">
        <v>0.0</v>
      </c>
      <c r="R110" s="154">
        <v>17.0</v>
      </c>
      <c r="S110" s="156">
        <f t="shared" si="598"/>
        <v>17</v>
      </c>
      <c r="T110" s="154">
        <v>0.0</v>
      </c>
      <c r="U110" s="154">
        <v>0.0</v>
      </c>
      <c r="V110" s="154">
        <v>0.0</v>
      </c>
      <c r="W110" s="156">
        <f t="shared" si="599"/>
        <v>0</v>
      </c>
      <c r="X110" s="156">
        <f t="shared" si="600"/>
        <v>17</v>
      </c>
      <c r="Y110" s="154">
        <v>0.0</v>
      </c>
      <c r="Z110" s="154">
        <v>0.0</v>
      </c>
      <c r="AA110" s="154">
        <v>160.0</v>
      </c>
      <c r="AB110" s="156">
        <f t="shared" si="601"/>
        <v>160</v>
      </c>
      <c r="AC110" s="154">
        <v>275.0</v>
      </c>
      <c r="AD110" s="154">
        <v>27.0</v>
      </c>
      <c r="AE110" s="154">
        <v>36.0</v>
      </c>
      <c r="AF110" s="156">
        <f t="shared" si="602"/>
        <v>338</v>
      </c>
      <c r="AG110" s="154">
        <v>0.0</v>
      </c>
      <c r="AH110" s="154">
        <v>0.0</v>
      </c>
      <c r="AI110" s="154">
        <v>153.0</v>
      </c>
      <c r="AJ110" s="156">
        <f t="shared" si="603"/>
        <v>153</v>
      </c>
      <c r="AK110" s="154">
        <v>55.0</v>
      </c>
      <c r="AL110" s="154">
        <v>0.0</v>
      </c>
      <c r="AM110" s="154">
        <v>0.0</v>
      </c>
      <c r="AN110" s="156">
        <f t="shared" si="604"/>
        <v>55</v>
      </c>
      <c r="AO110" s="156">
        <f t="shared" si="605"/>
        <v>706</v>
      </c>
      <c r="AP110" s="154">
        <v>0.0</v>
      </c>
      <c r="AQ110" s="154">
        <v>352.0</v>
      </c>
      <c r="AR110" s="156">
        <v>724.0</v>
      </c>
      <c r="AS110" s="154">
        <f t="shared" si="606"/>
        <v>1076</v>
      </c>
      <c r="AT110" s="154">
        <v>12.0</v>
      </c>
      <c r="AU110" s="154">
        <v>0.0</v>
      </c>
      <c r="AV110" s="154">
        <v>85.0</v>
      </c>
      <c r="AW110" s="154">
        <f t="shared" si="607"/>
        <v>97</v>
      </c>
      <c r="AX110" s="154">
        <v>1243.0</v>
      </c>
      <c r="AY110" s="154">
        <v>26.0</v>
      </c>
      <c r="AZ110" s="154">
        <v>1.0</v>
      </c>
      <c r="BA110" s="154">
        <f t="shared" si="608"/>
        <v>1270</v>
      </c>
      <c r="BB110" s="154">
        <v>0.0</v>
      </c>
      <c r="BC110" s="154">
        <v>7.0</v>
      </c>
      <c r="BD110" s="154">
        <v>0.0</v>
      </c>
      <c r="BE110" s="154">
        <f t="shared" si="609"/>
        <v>7</v>
      </c>
      <c r="BF110" s="154">
        <f t="shared" si="610"/>
        <v>2450</v>
      </c>
      <c r="BG110" s="154">
        <v>0.0</v>
      </c>
      <c r="BH110" s="154">
        <v>0.0</v>
      </c>
      <c r="BI110" s="154">
        <v>0.0</v>
      </c>
      <c r="BJ110" s="154">
        <f t="shared" si="611"/>
        <v>0</v>
      </c>
      <c r="BK110" s="154">
        <v>0.0</v>
      </c>
      <c r="BL110" s="154">
        <v>0.0</v>
      </c>
      <c r="BM110" s="154">
        <v>0.0</v>
      </c>
      <c r="BN110" s="154">
        <f t="shared" si="612"/>
        <v>0</v>
      </c>
      <c r="BO110" s="154">
        <v>125.0</v>
      </c>
      <c r="BP110" s="154">
        <v>49.0</v>
      </c>
      <c r="BQ110" s="154">
        <v>35.0</v>
      </c>
      <c r="BR110" s="154">
        <f t="shared" si="613"/>
        <v>209</v>
      </c>
      <c r="BS110" s="154">
        <v>0.0</v>
      </c>
      <c r="BT110" s="154">
        <v>0.0</v>
      </c>
      <c r="BU110" s="154">
        <v>70.0</v>
      </c>
      <c r="BV110" s="154">
        <f t="shared" si="614"/>
        <v>70</v>
      </c>
      <c r="BW110" s="154">
        <f t="shared" si="615"/>
        <v>279</v>
      </c>
      <c r="BX110" s="154">
        <v>0.0</v>
      </c>
      <c r="BY110" s="154"/>
      <c r="BZ110" s="154"/>
      <c r="CA110" s="154">
        <v>0.0</v>
      </c>
      <c r="CB110" s="154"/>
      <c r="CC110" s="154"/>
      <c r="CD110" s="154">
        <v>0.0</v>
      </c>
      <c r="CE110" s="154"/>
      <c r="CF110" s="194"/>
      <c r="CG110" s="154">
        <f t="shared" si="616"/>
        <v>0</v>
      </c>
      <c r="CH110" s="125"/>
      <c r="CI110" s="125"/>
      <c r="CJ110" s="125"/>
      <c r="CK110" s="125"/>
      <c r="CL110" s="125"/>
      <c r="CM110" s="125"/>
      <c r="CN110" s="125"/>
      <c r="CO110" s="125"/>
      <c r="CP110" s="194"/>
      <c r="CQ110" s="154">
        <f t="shared" si="617"/>
        <v>0</v>
      </c>
      <c r="CR110" s="125"/>
      <c r="CS110" s="125"/>
      <c r="CT110" s="125"/>
      <c r="CU110" s="125"/>
      <c r="CV110" s="125"/>
      <c r="CW110" s="154">
        <f t="shared" si="618"/>
        <v>0</v>
      </c>
      <c r="CX110" s="125"/>
      <c r="CY110" s="125"/>
      <c r="CZ110" s="125"/>
      <c r="DA110" s="154">
        <f t="shared" si="619"/>
        <v>0</v>
      </c>
      <c r="DB110" s="154">
        <f t="shared" si="620"/>
        <v>0</v>
      </c>
      <c r="DC110" s="171">
        <f t="shared" si="621"/>
        <v>3452</v>
      </c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</row>
    <row r="111" ht="15.75" customHeight="1">
      <c r="A111" s="167" t="s">
        <v>183</v>
      </c>
      <c r="B111" s="154">
        <v>6.0</v>
      </c>
      <c r="C111" s="154">
        <v>72.0</v>
      </c>
      <c r="D111" s="154">
        <v>160.0</v>
      </c>
      <c r="E111" s="154">
        <v>118.0</v>
      </c>
      <c r="F111" s="154">
        <v>142.0</v>
      </c>
      <c r="G111" s="154">
        <f t="shared" si="595"/>
        <v>498</v>
      </c>
      <c r="H111" s="154">
        <v>1710.0</v>
      </c>
      <c r="I111" s="154">
        <v>1336.0</v>
      </c>
      <c r="J111" s="154">
        <v>500.0</v>
      </c>
      <c r="K111" s="156">
        <f t="shared" si="596"/>
        <v>3546</v>
      </c>
      <c r="L111" s="154">
        <v>1999.0</v>
      </c>
      <c r="M111" s="154">
        <v>150.0</v>
      </c>
      <c r="N111" s="154">
        <v>26.0</v>
      </c>
      <c r="O111" s="156">
        <f t="shared" si="597"/>
        <v>2175</v>
      </c>
      <c r="P111" s="154">
        <v>898.0</v>
      </c>
      <c r="Q111" s="154">
        <v>319.0</v>
      </c>
      <c r="R111" s="154">
        <v>319.0</v>
      </c>
      <c r="S111" s="156">
        <f t="shared" si="598"/>
        <v>1536</v>
      </c>
      <c r="T111" s="154">
        <v>1003.0</v>
      </c>
      <c r="U111" s="154">
        <v>212.0</v>
      </c>
      <c r="V111" s="154">
        <v>3.0</v>
      </c>
      <c r="W111" s="156">
        <f t="shared" si="599"/>
        <v>1218</v>
      </c>
      <c r="X111" s="156">
        <f t="shared" si="600"/>
        <v>8475</v>
      </c>
      <c r="Y111" s="154">
        <v>10.0</v>
      </c>
      <c r="Z111" s="154">
        <v>3.0</v>
      </c>
      <c r="AA111" s="154">
        <v>123.0</v>
      </c>
      <c r="AB111" s="156">
        <f t="shared" si="601"/>
        <v>136</v>
      </c>
      <c r="AC111" s="154">
        <v>0.0</v>
      </c>
      <c r="AD111" s="154">
        <v>49.0</v>
      </c>
      <c r="AE111" s="154">
        <v>333.0</v>
      </c>
      <c r="AF111" s="156">
        <f t="shared" si="602"/>
        <v>382</v>
      </c>
      <c r="AG111" s="154">
        <v>204.0</v>
      </c>
      <c r="AH111" s="154">
        <v>100.0</v>
      </c>
      <c r="AI111" s="154">
        <v>282.0</v>
      </c>
      <c r="AJ111" s="156">
        <f t="shared" si="603"/>
        <v>586</v>
      </c>
      <c r="AK111" s="154">
        <v>34.0</v>
      </c>
      <c r="AL111" s="154">
        <v>13.0</v>
      </c>
      <c r="AM111" s="154">
        <v>12.0</v>
      </c>
      <c r="AN111" s="156">
        <f t="shared" si="604"/>
        <v>59</v>
      </c>
      <c r="AO111" s="156">
        <f t="shared" si="605"/>
        <v>1163</v>
      </c>
      <c r="AP111" s="154">
        <v>18.0</v>
      </c>
      <c r="AQ111" s="154">
        <v>0.0</v>
      </c>
      <c r="AR111" s="156">
        <v>7.0</v>
      </c>
      <c r="AS111" s="154">
        <f t="shared" si="606"/>
        <v>25</v>
      </c>
      <c r="AT111" s="154">
        <v>23.0</v>
      </c>
      <c r="AU111" s="154">
        <v>4.0</v>
      </c>
      <c r="AV111" s="154">
        <v>9.0</v>
      </c>
      <c r="AW111" s="154">
        <f t="shared" si="607"/>
        <v>36</v>
      </c>
      <c r="AX111" s="154">
        <v>1.0</v>
      </c>
      <c r="AY111" s="154">
        <v>26.0</v>
      </c>
      <c r="AZ111" s="154">
        <v>54.0</v>
      </c>
      <c r="BA111" s="154">
        <f t="shared" si="608"/>
        <v>81</v>
      </c>
      <c r="BB111" s="154">
        <v>2746.0</v>
      </c>
      <c r="BC111" s="154">
        <v>1432.0</v>
      </c>
      <c r="BD111" s="154">
        <v>783.0</v>
      </c>
      <c r="BE111" s="154">
        <f t="shared" si="609"/>
        <v>4961</v>
      </c>
      <c r="BF111" s="154">
        <f t="shared" si="610"/>
        <v>5103</v>
      </c>
      <c r="BG111" s="154">
        <v>244.0</v>
      </c>
      <c r="BH111" s="154">
        <v>0.0</v>
      </c>
      <c r="BI111" s="154">
        <v>17.0</v>
      </c>
      <c r="BJ111" s="154">
        <f t="shared" si="611"/>
        <v>261</v>
      </c>
      <c r="BK111" s="154">
        <v>309.0</v>
      </c>
      <c r="BL111" s="154">
        <v>113.0</v>
      </c>
      <c r="BM111" s="154">
        <v>765.0</v>
      </c>
      <c r="BN111" s="154">
        <f t="shared" si="612"/>
        <v>1187</v>
      </c>
      <c r="BO111" s="154">
        <v>408.0</v>
      </c>
      <c r="BP111" s="154">
        <v>15.0</v>
      </c>
      <c r="BQ111" s="154">
        <v>5.0</v>
      </c>
      <c r="BR111" s="154">
        <f t="shared" si="613"/>
        <v>428</v>
      </c>
      <c r="BS111" s="154">
        <v>0.0</v>
      </c>
      <c r="BT111" s="154">
        <v>0.0</v>
      </c>
      <c r="BU111" s="154">
        <v>0.0</v>
      </c>
      <c r="BV111" s="154">
        <f t="shared" si="614"/>
        <v>0</v>
      </c>
      <c r="BW111" s="154">
        <f t="shared" si="615"/>
        <v>1876</v>
      </c>
      <c r="BX111" s="154">
        <v>0.0</v>
      </c>
      <c r="BY111" s="154"/>
      <c r="BZ111" s="154"/>
      <c r="CA111" s="154">
        <v>10.0</v>
      </c>
      <c r="CB111" s="154"/>
      <c r="CC111" s="154"/>
      <c r="CD111" s="154">
        <v>37.0</v>
      </c>
      <c r="CE111" s="154"/>
      <c r="CF111" s="194"/>
      <c r="CG111" s="154">
        <f t="shared" si="616"/>
        <v>47</v>
      </c>
      <c r="CH111" s="125"/>
      <c r="CI111" s="125"/>
      <c r="CJ111" s="125"/>
      <c r="CK111" s="125"/>
      <c r="CL111" s="125"/>
      <c r="CM111" s="125"/>
      <c r="CN111" s="125"/>
      <c r="CO111" s="125"/>
      <c r="CP111" s="194"/>
      <c r="CQ111" s="154">
        <f t="shared" si="617"/>
        <v>0</v>
      </c>
      <c r="CR111" s="125"/>
      <c r="CS111" s="125"/>
      <c r="CT111" s="125"/>
      <c r="CU111" s="125"/>
      <c r="CV111" s="125"/>
      <c r="CW111" s="154">
        <f t="shared" si="618"/>
        <v>0</v>
      </c>
      <c r="CX111" s="125"/>
      <c r="CY111" s="125"/>
      <c r="CZ111" s="125"/>
      <c r="DA111" s="154">
        <f t="shared" si="619"/>
        <v>0</v>
      </c>
      <c r="DB111" s="154">
        <f t="shared" si="620"/>
        <v>47</v>
      </c>
      <c r="DC111" s="171">
        <f t="shared" si="621"/>
        <v>17162</v>
      </c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</row>
    <row r="112" ht="15.75" customHeight="1">
      <c r="A112" s="195" t="s">
        <v>184</v>
      </c>
      <c r="B112" s="196"/>
      <c r="C112" s="196"/>
      <c r="D112" s="196"/>
      <c r="E112" s="196"/>
      <c r="F112" s="196"/>
      <c r="G112" s="195">
        <f t="shared" si="595"/>
        <v>0</v>
      </c>
      <c r="H112" s="196"/>
      <c r="I112" s="196"/>
      <c r="J112" s="196"/>
      <c r="K112" s="195">
        <f t="shared" si="596"/>
        <v>0</v>
      </c>
      <c r="L112" s="196"/>
      <c r="M112" s="196"/>
      <c r="N112" s="196"/>
      <c r="O112" s="195">
        <f t="shared" si="597"/>
        <v>0</v>
      </c>
      <c r="P112" s="196"/>
      <c r="Q112" s="196"/>
      <c r="R112" s="196"/>
      <c r="S112" s="195">
        <f t="shared" si="598"/>
        <v>0</v>
      </c>
      <c r="T112" s="196"/>
      <c r="U112" s="196"/>
      <c r="V112" s="196"/>
      <c r="W112" s="195">
        <f t="shared" si="599"/>
        <v>0</v>
      </c>
      <c r="X112" s="195">
        <f t="shared" si="600"/>
        <v>0</v>
      </c>
      <c r="Y112" s="196"/>
      <c r="Z112" s="196"/>
      <c r="AA112" s="196"/>
      <c r="AB112" s="195">
        <f t="shared" si="601"/>
        <v>0</v>
      </c>
      <c r="AC112" s="196"/>
      <c r="AD112" s="196"/>
      <c r="AE112" s="196"/>
      <c r="AF112" s="195">
        <f t="shared" si="602"/>
        <v>0</v>
      </c>
      <c r="AG112" s="196"/>
      <c r="AH112" s="196"/>
      <c r="AI112" s="196"/>
      <c r="AJ112" s="195">
        <f t="shared" si="603"/>
        <v>0</v>
      </c>
      <c r="AK112" s="196"/>
      <c r="AL112" s="196"/>
      <c r="AM112" s="196"/>
      <c r="AN112" s="195">
        <f t="shared" si="604"/>
        <v>0</v>
      </c>
      <c r="AO112" s="195">
        <f t="shared" si="605"/>
        <v>0</v>
      </c>
      <c r="AP112" s="196"/>
      <c r="AQ112" s="196"/>
      <c r="AR112" s="196"/>
      <c r="AS112" s="195">
        <f t="shared" si="606"/>
        <v>0</v>
      </c>
      <c r="AT112" s="196"/>
      <c r="AU112" s="196"/>
      <c r="AV112" s="196"/>
      <c r="AW112" s="195">
        <f t="shared" si="607"/>
        <v>0</v>
      </c>
      <c r="AX112" s="196"/>
      <c r="AY112" s="196"/>
      <c r="AZ112" s="196"/>
      <c r="BA112" s="195">
        <f t="shared" si="608"/>
        <v>0</v>
      </c>
      <c r="BB112" s="196"/>
      <c r="BC112" s="196"/>
      <c r="BD112" s="196"/>
      <c r="BE112" s="195">
        <f t="shared" si="609"/>
        <v>0</v>
      </c>
      <c r="BF112" s="195">
        <f>SUM(BE112,BA112,AW112,AS112)</f>
        <v>0</v>
      </c>
      <c r="BG112" s="196"/>
      <c r="BH112" s="196"/>
      <c r="BI112" s="196"/>
      <c r="BJ112" s="195">
        <f t="shared" si="611"/>
        <v>0</v>
      </c>
      <c r="BK112" s="196"/>
      <c r="BL112" s="196"/>
      <c r="BM112" s="196"/>
      <c r="BN112" s="195">
        <f t="shared" si="612"/>
        <v>0</v>
      </c>
      <c r="BO112" s="196"/>
      <c r="BP112" s="196"/>
      <c r="BQ112" s="196"/>
      <c r="BR112" s="195">
        <f t="shared" si="613"/>
        <v>0</v>
      </c>
      <c r="BS112" s="196"/>
      <c r="BT112" s="196"/>
      <c r="BU112" s="196"/>
      <c r="BV112" s="195">
        <f t="shared" si="614"/>
        <v>0</v>
      </c>
      <c r="BW112" s="195">
        <f>SUM(BV112,BR112,BN112,BJ112)</f>
        <v>0</v>
      </c>
      <c r="BX112" s="196"/>
      <c r="BY112" s="196"/>
      <c r="BZ112" s="196"/>
      <c r="CA112" s="196"/>
      <c r="CB112" s="196"/>
      <c r="CC112" s="196"/>
      <c r="CD112" s="196"/>
      <c r="CE112" s="196"/>
      <c r="CF112" s="193"/>
      <c r="CG112" s="195">
        <f t="shared" si="616"/>
        <v>0</v>
      </c>
      <c r="CH112" s="196"/>
      <c r="CI112" s="196"/>
      <c r="CJ112" s="196"/>
      <c r="CK112" s="196"/>
      <c r="CL112" s="196"/>
      <c r="CM112" s="196"/>
      <c r="CN112" s="196"/>
      <c r="CO112" s="196"/>
      <c r="CP112" s="193"/>
      <c r="CQ112" s="195">
        <f t="shared" si="617"/>
        <v>0</v>
      </c>
      <c r="CR112" s="196"/>
      <c r="CS112" s="196"/>
      <c r="CT112" s="196"/>
      <c r="CU112" s="196"/>
      <c r="CV112" s="196"/>
      <c r="CW112" s="195">
        <f t="shared" si="618"/>
        <v>0</v>
      </c>
      <c r="CX112" s="196"/>
      <c r="CY112" s="196"/>
      <c r="CZ112" s="196"/>
      <c r="DA112" s="195">
        <f t="shared" si="619"/>
        <v>0</v>
      </c>
      <c r="DB112" s="195">
        <f>SUM(DA112,CW112,CQ112,CG112)</f>
        <v>0</v>
      </c>
      <c r="DC112" s="195">
        <f>SUM(G112,X112,AO112,BF112,DB112)</f>
        <v>0</v>
      </c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</row>
    <row r="113" ht="15.75" customHeight="1">
      <c r="A113" s="199"/>
      <c r="B113" s="199"/>
      <c r="C113" s="199"/>
      <c r="D113" s="199"/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  <c r="Y113" s="221"/>
      <c r="Z113" s="199"/>
      <c r="AA113" s="199"/>
      <c r="AB113" s="199"/>
      <c r="AC113" s="199"/>
      <c r="AD113" s="199"/>
      <c r="AE113" s="199"/>
      <c r="AF113" s="199"/>
      <c r="AG113" s="199"/>
      <c r="AH113" s="199"/>
      <c r="AI113" s="199"/>
      <c r="AJ113" s="199"/>
      <c r="AK113" s="199"/>
      <c r="AL113" s="199"/>
      <c r="AM113" s="199"/>
      <c r="AN113" s="199"/>
      <c r="AO113" s="199"/>
      <c r="AP113" s="199"/>
      <c r="AQ113" s="199"/>
      <c r="AR113" s="199"/>
      <c r="AS113" s="199"/>
      <c r="AT113" s="199"/>
      <c r="AU113" s="199"/>
      <c r="AV113" s="199"/>
      <c r="AW113" s="199"/>
      <c r="AX113" s="199"/>
      <c r="AY113" s="199"/>
      <c r="AZ113" s="199"/>
      <c r="BA113" s="199"/>
      <c r="BB113" s="199"/>
      <c r="BC113" s="199"/>
      <c r="BD113" s="199"/>
      <c r="BE113" s="199"/>
      <c r="BF113" s="199"/>
      <c r="BG113" s="199"/>
      <c r="BH113" s="199"/>
      <c r="BI113" s="199"/>
      <c r="BJ113" s="199"/>
      <c r="BK113" s="199"/>
      <c r="BL113" s="199"/>
      <c r="BM113" s="199"/>
      <c r="BN113" s="199"/>
      <c r="BO113" s="199"/>
      <c r="BP113" s="199"/>
      <c r="BQ113" s="199"/>
      <c r="BR113" s="199"/>
      <c r="BS113" s="199"/>
      <c r="BT113" s="199"/>
      <c r="BU113" s="199"/>
      <c r="BV113" s="199"/>
      <c r="BW113" s="199"/>
      <c r="BX113" s="199"/>
      <c r="BY113" s="199"/>
      <c r="BZ113" s="199"/>
      <c r="CA113" s="199"/>
      <c r="CB113" s="199"/>
      <c r="CC113" s="199"/>
      <c r="CD113" s="199"/>
      <c r="CE113" s="199"/>
      <c r="CF113" s="200"/>
      <c r="CG113" s="199"/>
      <c r="CH113" s="199"/>
      <c r="CI113" s="199"/>
      <c r="CJ113" s="199"/>
      <c r="CK113" s="199"/>
      <c r="CL113" s="199"/>
      <c r="CM113" s="199"/>
      <c r="CN113" s="199"/>
      <c r="CO113" s="199"/>
      <c r="CP113" s="200"/>
      <c r="CQ113" s="199"/>
      <c r="CR113" s="199"/>
      <c r="CS113" s="199"/>
      <c r="CT113" s="199"/>
      <c r="CU113" s="199"/>
      <c r="CV113" s="199"/>
      <c r="CW113" s="199"/>
      <c r="CX113" s="199"/>
      <c r="CY113" s="199"/>
      <c r="CZ113" s="199"/>
      <c r="DA113" s="199"/>
      <c r="DB113" s="199"/>
      <c r="DC113" s="199"/>
      <c r="DD113" s="219"/>
      <c r="DE113" s="219"/>
      <c r="DF113" s="219"/>
      <c r="DG113" s="219"/>
      <c r="DH113" s="219"/>
      <c r="DI113" s="219"/>
      <c r="DJ113" s="219"/>
      <c r="DK113" s="219"/>
      <c r="DL113" s="219"/>
      <c r="DM113" s="219"/>
      <c r="DN113" s="219"/>
      <c r="DO113" s="219"/>
      <c r="DP113" s="219"/>
      <c r="DQ113" s="219"/>
      <c r="DR113" s="219"/>
      <c r="DS113" s="219"/>
    </row>
    <row r="114" ht="15.75" customHeight="1">
      <c r="A114" s="130" t="s">
        <v>46</v>
      </c>
      <c r="B114" s="222">
        <f t="shared" ref="B114:G114" si="622">SUM(B105,B99,B93,B87,B81,B75,B68,B63,B56,B49,B43,B37,B29,B23,B18,B11,B112)</f>
        <v>36456</v>
      </c>
      <c r="C114" s="222">
        <f t="shared" si="622"/>
        <v>68769</v>
      </c>
      <c r="D114" s="222">
        <f t="shared" si="622"/>
        <v>142467</v>
      </c>
      <c r="E114" s="222">
        <f t="shared" si="622"/>
        <v>262286</v>
      </c>
      <c r="F114" s="222">
        <f t="shared" si="622"/>
        <v>542088</v>
      </c>
      <c r="G114" s="133">
        <f t="shared" si="622"/>
        <v>1052066</v>
      </c>
      <c r="H114" s="115">
        <f t="shared" ref="H114:Q114" si="623">SUM(H105,H99,H93,H87,H81,H75,H68,H63,H56,H49,H43,H37,H29,H23,H18,H11)</f>
        <v>337072</v>
      </c>
      <c r="I114" s="115">
        <f t="shared" si="623"/>
        <v>412874</v>
      </c>
      <c r="J114" s="115">
        <f t="shared" si="623"/>
        <v>390327</v>
      </c>
      <c r="K114" s="175">
        <f t="shared" si="623"/>
        <v>1140273</v>
      </c>
      <c r="L114" s="115">
        <f t="shared" si="623"/>
        <v>338049</v>
      </c>
      <c r="M114" s="115">
        <f t="shared" si="623"/>
        <v>311865</v>
      </c>
      <c r="N114" s="115">
        <f t="shared" si="623"/>
        <v>268951</v>
      </c>
      <c r="O114" s="175">
        <f t="shared" si="623"/>
        <v>918865</v>
      </c>
      <c r="P114" s="115">
        <f t="shared" si="623"/>
        <v>276570</v>
      </c>
      <c r="Q114" s="115">
        <f t="shared" si="623"/>
        <v>288671</v>
      </c>
      <c r="R114" s="115">
        <f>SUM(R105,R99,R93,R87,R81,R75,R68,R63,R56,R49,R43,R37,R29,R23,R18,R11,R112)</f>
        <v>445401</v>
      </c>
      <c r="S114" s="175">
        <f t="shared" ref="S114:W114" si="624">SUM(S105,S99,S93,S87,S81,S75,S68,S63,S56,S49,S43,S37,S29,S23,S18,S11)</f>
        <v>1010642</v>
      </c>
      <c r="T114" s="115">
        <f t="shared" si="624"/>
        <v>247710</v>
      </c>
      <c r="U114" s="115">
        <f t="shared" si="624"/>
        <v>249730</v>
      </c>
      <c r="V114" s="115">
        <f t="shared" si="624"/>
        <v>298752</v>
      </c>
      <c r="W114" s="175">
        <f t="shared" si="624"/>
        <v>796192</v>
      </c>
      <c r="X114" s="175">
        <f>SUM(X105,X99,X93,X87,X81,X75,X68,X63,X56,X49,X43,X37,X29,X23,X18,X11,X112)</f>
        <v>3865972</v>
      </c>
      <c r="Y114" s="135">
        <f t="shared" ref="Y114:BE114" si="625">SUM(Y105,Y99,Y93,Y87,Y81,Y75,Y68,Y63,Y56,Y49,Y43,Y37,Y29,Y23,Y18,Y11)</f>
        <v>133065</v>
      </c>
      <c r="Z114" s="135">
        <f t="shared" si="625"/>
        <v>105881</v>
      </c>
      <c r="AA114" s="135">
        <f t="shared" si="625"/>
        <v>151682</v>
      </c>
      <c r="AB114" s="136">
        <f t="shared" si="625"/>
        <v>390628</v>
      </c>
      <c r="AC114" s="135">
        <f t="shared" si="625"/>
        <v>124434</v>
      </c>
      <c r="AD114" s="135">
        <f t="shared" si="625"/>
        <v>81951</v>
      </c>
      <c r="AE114" s="135">
        <f t="shared" si="625"/>
        <v>142221</v>
      </c>
      <c r="AF114" s="136">
        <f t="shared" si="625"/>
        <v>348606</v>
      </c>
      <c r="AG114" s="135">
        <f t="shared" si="625"/>
        <v>128305</v>
      </c>
      <c r="AH114" s="135">
        <f t="shared" si="625"/>
        <v>95608</v>
      </c>
      <c r="AI114" s="135">
        <f t="shared" si="625"/>
        <v>109324</v>
      </c>
      <c r="AJ114" s="136">
        <f t="shared" si="625"/>
        <v>333237</v>
      </c>
      <c r="AK114" s="135">
        <f t="shared" si="625"/>
        <v>83491</v>
      </c>
      <c r="AL114" s="135">
        <f t="shared" si="625"/>
        <v>75286</v>
      </c>
      <c r="AM114" s="135">
        <f t="shared" si="625"/>
        <v>64183</v>
      </c>
      <c r="AN114" s="136">
        <f t="shared" si="625"/>
        <v>222960</v>
      </c>
      <c r="AO114" s="136">
        <f t="shared" si="625"/>
        <v>1295431</v>
      </c>
      <c r="AP114" s="223">
        <f t="shared" si="625"/>
        <v>55688</v>
      </c>
      <c r="AQ114" s="223">
        <f t="shared" si="625"/>
        <v>72434</v>
      </c>
      <c r="AR114" s="223">
        <f t="shared" si="625"/>
        <v>82672</v>
      </c>
      <c r="AS114" s="224">
        <f t="shared" si="625"/>
        <v>210794</v>
      </c>
      <c r="AT114" s="223">
        <f t="shared" si="625"/>
        <v>27930</v>
      </c>
      <c r="AU114" s="223">
        <f t="shared" si="625"/>
        <v>34644</v>
      </c>
      <c r="AV114" s="223">
        <f t="shared" si="625"/>
        <v>49355</v>
      </c>
      <c r="AW114" s="224">
        <f t="shared" si="625"/>
        <v>111929</v>
      </c>
      <c r="AX114" s="223">
        <f t="shared" si="625"/>
        <v>96242</v>
      </c>
      <c r="AY114" s="223">
        <f t="shared" si="625"/>
        <v>91631</v>
      </c>
      <c r="AZ114" s="223">
        <f t="shared" si="625"/>
        <v>87612</v>
      </c>
      <c r="BA114" s="224">
        <f t="shared" si="625"/>
        <v>275485</v>
      </c>
      <c r="BB114" s="223">
        <f t="shared" si="625"/>
        <v>63692</v>
      </c>
      <c r="BC114" s="223">
        <f t="shared" si="625"/>
        <v>79375</v>
      </c>
      <c r="BD114" s="223">
        <f t="shared" si="625"/>
        <v>58277</v>
      </c>
      <c r="BE114" s="224">
        <f t="shared" si="625"/>
        <v>201344</v>
      </c>
      <c r="BF114" s="224">
        <f>SUM(BF105,BF99,BF93,BF87,BF81,BF75,BF68,BF63,BF56,BF49,BF43,BF37,BF29,BF23,BF18,BF11,BF112)</f>
        <v>799552</v>
      </c>
      <c r="BG114" s="145">
        <f t="shared" ref="BG114:BH114" si="626">SUM(BG11,BG18,BG23,BG29,BG37,BG43,BG49,BG56,BG63,BG68,BG75,BG81,BG87,BG93,BG99,BG105,BG112)</f>
        <v>47093</v>
      </c>
      <c r="BH114" s="145">
        <f t="shared" si="626"/>
        <v>46497</v>
      </c>
      <c r="BI114" s="145">
        <f t="shared" ref="BI114:BJ114" si="627">SUM(BI105,BI99,BI93,BI87,BI81,BI75,BI68,BI63,BI56,BI49,BI43,BI37,BI29,BI23,BI18,BI11,BI112)</f>
        <v>42974</v>
      </c>
      <c r="BJ114" s="147">
        <f t="shared" si="627"/>
        <v>138980</v>
      </c>
      <c r="BK114" s="145">
        <f t="shared" ref="BK114:BL114" si="628">SUM(BK11,BK18,BK23,BK29,BK37,BK43,BK49,BK56,BK63,BK68,BK75,BK81,BK87,BK93,BK99,BK105,BK112)</f>
        <v>56713</v>
      </c>
      <c r="BL114" s="145">
        <f t="shared" si="628"/>
        <v>47947</v>
      </c>
      <c r="BM114" s="145">
        <f t="shared" ref="BM114:BN114" si="629">SUM(BM105,BM99,BM93,BM87,BM81,BM75,BM68,BM63,BM56,BM49,BM43,BM37,BM29,BM23,BM18,BM11,BM112)</f>
        <v>38945</v>
      </c>
      <c r="BN114" s="147">
        <f t="shared" si="629"/>
        <v>142430</v>
      </c>
      <c r="BO114" s="145">
        <f t="shared" ref="BO114:BP114" si="630">SUM(BO11,BO18,BO23,BO29,BO37,BO43,BO49,BO56,BO63,BO68,BO75,BO81,BO87,BO93,BO99,BO105,BO112)</f>
        <v>46856</v>
      </c>
      <c r="BP114" s="145">
        <f t="shared" si="630"/>
        <v>35573</v>
      </c>
      <c r="BQ114" s="145">
        <f t="shared" ref="BQ114:BR114" si="631">SUM(BQ105,BQ99,BQ93,BQ87,BQ81,BQ75,BQ68,BQ63,BQ56,BQ49,BQ43,BQ37,BQ29,BQ23,BQ18,BQ11,BQ112)</f>
        <v>34826</v>
      </c>
      <c r="BR114" s="147">
        <f t="shared" si="631"/>
        <v>117255</v>
      </c>
      <c r="BS114" s="145">
        <f t="shared" ref="BS114:BT114" si="632">SUM(BS11,BS18,BS23,BS29,BS37,BS43,BS49,BS56,BS63,BS68,BS75,BS81,BS87,BS93,BS99,BS105,BS112)</f>
        <v>38228</v>
      </c>
      <c r="BT114" s="145">
        <f t="shared" si="632"/>
        <v>27732</v>
      </c>
      <c r="BU114" s="145">
        <f t="shared" ref="BU114:BW114" si="633">SUM(BU105,BU99,BU93,BU87,BU81,BU75,BU68,BU63,BU56,BU49,BU43,BU37,BU29,BU23,BU18,BU11,BU112)</f>
        <v>18173</v>
      </c>
      <c r="BV114" s="147">
        <f t="shared" si="633"/>
        <v>84133</v>
      </c>
      <c r="BW114" s="147">
        <f t="shared" si="633"/>
        <v>482798</v>
      </c>
      <c r="BX114" s="151">
        <f t="shared" ref="BX114:CC114" si="634">SUM(BX11,BX18,BX23,BX29,BX37,BX43,BX49,BX56,BX63,BX68,BX75,BX81,BX87,BX93,BX99,BX105,BX112)</f>
        <v>12699</v>
      </c>
      <c r="BY114" s="151">
        <f t="shared" si="634"/>
        <v>23811</v>
      </c>
      <c r="BZ114" s="151">
        <f t="shared" si="634"/>
        <v>11666</v>
      </c>
      <c r="CA114" s="151">
        <f t="shared" si="634"/>
        <v>17994</v>
      </c>
      <c r="CB114" s="151">
        <f t="shared" si="634"/>
        <v>25466</v>
      </c>
      <c r="CC114" s="151">
        <f t="shared" si="634"/>
        <v>9800</v>
      </c>
      <c r="CD114" s="151">
        <f t="shared" ref="CD114:CE114" si="635">SUM(CD105,CD99,CD93,CD87,CD81,CD75,CD68,CD63,CD56,CD49,CD43,CD37,CD29,CD23,CD18,CD11,CD112)</f>
        <v>8492</v>
      </c>
      <c r="CE114" s="151">
        <f t="shared" si="635"/>
        <v>26176</v>
      </c>
      <c r="CF114" s="157">
        <f>SUM(CF11,CF18,CF23,CF29,CF37,CF43,CF49,CF56,CF63,CF68,CF75,CF81,CF87,CF93,CF99,CF105,CF112)</f>
        <v>18450</v>
      </c>
      <c r="CG114" s="158">
        <f t="shared" ref="CG114:CO114" si="636">SUM(CG105,CG99,CG93,CG87,CG81,CG75,CG68,CG63,CG56,CG49,CG43,CG37,CG29,CG23,CG18,CG11,CG112)</f>
        <v>130411</v>
      </c>
      <c r="CH114" s="151">
        <f t="shared" si="636"/>
        <v>22601</v>
      </c>
      <c r="CI114" s="151">
        <f t="shared" si="636"/>
        <v>20080</v>
      </c>
      <c r="CJ114" s="151">
        <f t="shared" si="636"/>
        <v>-2521</v>
      </c>
      <c r="CK114" s="151">
        <f t="shared" si="636"/>
        <v>23922</v>
      </c>
      <c r="CL114" s="151">
        <f t="shared" si="636"/>
        <v>23822</v>
      </c>
      <c r="CM114" s="151">
        <f t="shared" si="636"/>
        <v>-100</v>
      </c>
      <c r="CN114" s="151">
        <f t="shared" si="636"/>
        <v>19112</v>
      </c>
      <c r="CO114" s="151">
        <f t="shared" si="636"/>
        <v>19417</v>
      </c>
      <c r="CP114" s="157">
        <f>SUM(CP11,CP18,CP23,CP29,CP37,CP43,CP49,CP56,CP63,CP68,CP75,CP81,CP87,CP93,CP99,CP105,CP112)</f>
        <v>305</v>
      </c>
      <c r="CQ114" s="158">
        <f t="shared" ref="CQ114:DC114" si="637">SUM(CQ105,CQ99,CQ93,CQ87,CQ81,CQ75,CQ68,CQ63,CQ56,CQ49,CQ43,CQ37,CQ29,CQ23,CQ18,CQ11,CQ112)</f>
        <v>121581</v>
      </c>
      <c r="CR114" s="151">
        <f t="shared" si="637"/>
        <v>20813</v>
      </c>
      <c r="CS114" s="151">
        <f t="shared" si="637"/>
        <v>37600</v>
      </c>
      <c r="CT114" s="151">
        <f t="shared" si="637"/>
        <v>58413</v>
      </c>
      <c r="CU114" s="151">
        <f t="shared" si="637"/>
        <v>0</v>
      </c>
      <c r="CV114" s="151">
        <f t="shared" si="637"/>
        <v>0</v>
      </c>
      <c r="CW114" s="158">
        <f t="shared" si="637"/>
        <v>116826</v>
      </c>
      <c r="CX114" s="151">
        <f t="shared" si="637"/>
        <v>0</v>
      </c>
      <c r="CY114" s="151">
        <f t="shared" si="637"/>
        <v>0</v>
      </c>
      <c r="CZ114" s="151">
        <f t="shared" si="637"/>
        <v>0</v>
      </c>
      <c r="DA114" s="158">
        <f t="shared" si="637"/>
        <v>0</v>
      </c>
      <c r="DB114" s="158">
        <f t="shared" si="637"/>
        <v>368818</v>
      </c>
      <c r="DC114" s="225">
        <f t="shared" si="637"/>
        <v>7864637</v>
      </c>
      <c r="DD114" s="4"/>
      <c r="DE114" s="20">
        <f>SUM(DE11:DE99)</f>
        <v>2119026</v>
      </c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20"/>
      <c r="DR114" s="4"/>
      <c r="DS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20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20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20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</row>
  </sheetData>
  <customSheetViews>
    <customSheetView guid="{BFAD3FC5-7D50-478A-A1C9-F01A1867A3B2}" filter="1" showAutoFilter="1">
      <autoFilter ref="$A$11:$DC$113">
        <filterColumn colId="0">
          <filters blank="1">
            <filter val="Cavite"/>
            <filter val="Laguna"/>
            <filter val="Zambales (w/ HUC)"/>
            <filter val="Eastern Samar"/>
            <filter val="Tarlac"/>
            <filter val="Camarines Sur"/>
            <filter val="Romblon"/>
            <filter val="Iloilo (w/ HUC)"/>
            <filter val="Camiguin"/>
            <filter val="Aurora"/>
            <filter val="Sorsogon"/>
            <filter val="Davao De Oro"/>
            <filter val="Bataan"/>
            <filter val="Negros Oriental"/>
            <filter val="REGION 10 (NORTHERN MINDANAO)"/>
            <filter val="Pangasinan"/>
            <filter val="Quirino"/>
            <filter val="Albay"/>
            <filter val="Cagayan"/>
            <filter val="Abra"/>
            <filter val="REGION 7 (CENTRAL VISAYAS)"/>
            <filter val="Zamboanga Sibugay"/>
            <filter val="Benguet (w/ HUC)"/>
            <filter val="Siquijor"/>
            <filter val="NCR"/>
            <filter val="Davao del Norte"/>
            <filter val="Antique"/>
            <filter val="Ilocos Sur"/>
            <filter val="REGION 13 (CARAGA)"/>
            <filter val="Sarangani"/>
            <filter val="Quezon (w/ HUC)"/>
            <filter val="REGION 3 (CENTRAL LUZON)"/>
            <filter val="REGION 1 (ILOCOS)"/>
            <filter val="REGION 4-A (CALABARZON)"/>
            <filter val="Nueva Ecija"/>
            <filter val="Dinagat Islands"/>
            <filter val="Ilocos Norte"/>
            <filter val="Batanes"/>
            <filter val="Kalinga"/>
            <filter val="Southern Leyte"/>
            <filter val="Bohol"/>
            <filter val="Batangas"/>
            <filter val="REGION 11 (DAVAO)"/>
            <filter val="South Cotabato (w/ HUC)"/>
            <filter val="Apayao"/>
            <filter val="Nueva Vizcaya"/>
            <filter val="Camarines Norte"/>
            <filter val="Maguindanao"/>
            <filter val="Misamis Oriental (w/ HUC)"/>
            <filter val="Lanao del Sur"/>
            <filter val="Bulacan"/>
            <filter val="REGION 8 (EASTERN VISAYAS)"/>
            <filter val="North Cotabato (BARMM Interim Prov)"/>
            <filter val="Occidental Mindoro"/>
            <filter val="Zamboanga del Sur (w/ HUC)"/>
            <filter val="Tawi-Tawi"/>
            <filter val="Ifugao"/>
            <filter val="REGION 9 (ZAMBOANGA PENINSULA)"/>
            <filter val="Davao Oriental"/>
            <filter val="Isabela"/>
            <filter val="Bukidnon"/>
            <filter val="Marinduque"/>
            <filter val="Agusan del Sur"/>
            <filter val="Sulu"/>
            <filter val="Oriental Mindoro"/>
            <filter val="Zamboanga City"/>
            <filter val="REGION 4-B (MIMAROPA)"/>
            <filter val="Leyte (w/ HUC)"/>
            <filter val="Davao del Sur (w/ HUC)"/>
            <filter val="Capiz"/>
            <filter val="Pampanga (w/ HUC)"/>
            <filter val="City of Isabela"/>
            <filter val="Aklan"/>
            <filter val="REGION 12 (SOCCSKSARGEN)"/>
            <filter val="Agusan del Norte (w/ HUC)"/>
            <filter val="REGION 2 (CAGAYAN VALLEY)"/>
            <filter val="Davao Occidental"/>
            <filter val="Biliran"/>
            <filter val="Guimaras"/>
            <filter val="Sultan Kudarat"/>
            <filter val="REGION 5 (BICOL)"/>
            <filter val="Rizal"/>
            <filter val="Cebu (w/ 3 HUC)"/>
            <filter val="Surigao del Sur"/>
            <filter val="REGION 6 (WESTERN VISAYAS)"/>
            <filter val="Negros Occidental (w/ HUC)"/>
            <filter val="Mountain Province"/>
            <filter val="Palawan (w/ HUC)"/>
            <filter val="Basilan"/>
            <filter val="Masbate"/>
            <filter val="Zamboanga del Norte"/>
            <filter val="Misamis Occidental"/>
            <filter val="Lanao del Norte (w/ HUC)"/>
            <filter val="Northern Samar"/>
            <filter val="Cotabato City"/>
            <filter val="North Cotabato"/>
            <filter val="Western Samar (Samar)"/>
            <filter val="La Union"/>
            <filter val="Catanduanes"/>
            <filter val="Surigao del Norte"/>
          </filters>
        </filterColumn>
      </autoFilter>
    </customSheetView>
  </customSheetViews>
  <mergeCells count="15">
    <mergeCell ref="Y7:AN7"/>
    <mergeCell ref="AP7:BE7"/>
    <mergeCell ref="BF7:BF8"/>
    <mergeCell ref="BG7:BV7"/>
    <mergeCell ref="BW7:BW8"/>
    <mergeCell ref="BX7:DA7"/>
    <mergeCell ref="DB7:DB8"/>
    <mergeCell ref="DC7:DC8"/>
    <mergeCell ref="A6:A8"/>
    <mergeCell ref="B6:DC6"/>
    <mergeCell ref="B7:F7"/>
    <mergeCell ref="G7:G8"/>
    <mergeCell ref="H7:W7"/>
    <mergeCell ref="X7:X8"/>
    <mergeCell ref="AO7:AO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1" width="50.63"/>
    <col customWidth="1" hidden="1" min="2" max="2" width="12.25"/>
    <col customWidth="1" hidden="1" min="3" max="3" width="12.38"/>
    <col customWidth="1" hidden="1" min="4" max="4" width="13.63"/>
    <col customWidth="1" hidden="1" min="5" max="5" width="12.38"/>
    <col customWidth="1" hidden="1" min="6" max="6" width="11.75"/>
    <col customWidth="1" hidden="1" min="7" max="7" width="13.75"/>
    <col customWidth="1" hidden="1" min="8" max="8" width="14.38"/>
    <col customWidth="1" hidden="1" min="9" max="76" width="12.63"/>
    <col customWidth="1" hidden="1" min="110" max="110" width="21.88"/>
  </cols>
  <sheetData>
    <row r="1" ht="15.75" customHeight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8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8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</row>
    <row r="2" ht="15.75" customHeight="1">
      <c r="A2" s="5" t="s">
        <v>4</v>
      </c>
      <c r="B2" s="6"/>
      <c r="C2" s="6"/>
      <c r="D2" s="6"/>
      <c r="E2" s="6"/>
      <c r="F2" s="6"/>
      <c r="G2" s="6"/>
      <c r="H2" s="6"/>
      <c r="I2" s="6"/>
      <c r="J2" s="6"/>
      <c r="K2" s="19"/>
      <c r="L2" s="6"/>
      <c r="M2" s="6"/>
      <c r="N2" s="6"/>
      <c r="O2" s="6"/>
      <c r="P2" s="6"/>
      <c r="Q2" s="6"/>
      <c r="R2" s="6"/>
      <c r="S2" s="6"/>
      <c r="T2" s="6"/>
      <c r="U2" s="24"/>
      <c r="V2" s="6"/>
      <c r="W2" s="26"/>
      <c r="X2" s="19"/>
      <c r="Y2" s="24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24"/>
      <c r="AM2" s="6"/>
      <c r="AN2" s="26"/>
      <c r="AO2" s="19"/>
      <c r="AP2" s="24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</row>
    <row r="3" ht="15.75" customHeight="1">
      <c r="A3" s="41" t="s">
        <v>15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24"/>
      <c r="W3" s="24"/>
      <c r="X3" s="43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24"/>
      <c r="AN3" s="24"/>
      <c r="AO3" s="43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</row>
    <row r="4" ht="15.75" customHeight="1">
      <c r="A4" s="45" t="s">
        <v>18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43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43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24"/>
      <c r="BB5" s="6"/>
      <c r="BC5" s="6"/>
      <c r="BD5" s="6"/>
      <c r="BE5" s="6"/>
      <c r="BF5" s="6"/>
      <c r="BG5" s="24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24"/>
      <c r="CD5" s="24"/>
      <c r="CE5" s="24"/>
      <c r="CF5" s="24"/>
      <c r="CG5" s="24"/>
      <c r="CH5" s="6"/>
      <c r="CI5" s="6"/>
      <c r="CJ5" s="24"/>
      <c r="CK5" s="24"/>
      <c r="CL5" s="24"/>
      <c r="CM5" s="24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24"/>
      <c r="DD5" s="6"/>
      <c r="DE5" s="6"/>
      <c r="DF5" s="6"/>
      <c r="DG5" s="6"/>
      <c r="DH5" s="6"/>
      <c r="DI5" s="6"/>
      <c r="DJ5" s="6"/>
      <c r="DK5" s="6"/>
      <c r="DL5" s="6"/>
    </row>
    <row r="6" ht="15.75" customHeight="1">
      <c r="A6" s="69" t="s">
        <v>25</v>
      </c>
      <c r="B6" s="71" t="s">
        <v>27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  <c r="CV6" s="72"/>
      <c r="CW6" s="72"/>
      <c r="CX6" s="72"/>
      <c r="CY6" s="72"/>
      <c r="CZ6" s="72"/>
      <c r="DA6" s="72"/>
      <c r="DB6" s="72"/>
      <c r="DC6" s="72"/>
      <c r="DD6" s="77"/>
      <c r="DE6" s="6"/>
      <c r="DF6" s="6"/>
      <c r="DG6" s="6"/>
      <c r="DH6" s="6"/>
      <c r="DI6" s="6"/>
      <c r="DJ6" s="6"/>
      <c r="DK6" s="6"/>
      <c r="DL6" s="6"/>
    </row>
    <row r="7" ht="15.75" customHeight="1">
      <c r="A7" s="81"/>
      <c r="B7" s="84" t="s">
        <v>35</v>
      </c>
      <c r="C7" s="85">
        <v>2020.0</v>
      </c>
      <c r="D7" s="86"/>
      <c r="E7" s="86"/>
      <c r="F7" s="86"/>
      <c r="G7" s="87"/>
      <c r="H7" s="88">
        <v>2020.0</v>
      </c>
      <c r="I7" s="90">
        <v>2021.0</v>
      </c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7"/>
      <c r="Y7" s="91">
        <v>2021.0</v>
      </c>
      <c r="Z7" s="92">
        <v>2022.0</v>
      </c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7"/>
      <c r="AP7" s="93">
        <v>2022.0</v>
      </c>
      <c r="AQ7" s="94">
        <v>2023.0</v>
      </c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6"/>
      <c r="BF7" s="87"/>
      <c r="BG7" s="95">
        <v>2023.0</v>
      </c>
      <c r="BH7" s="96">
        <v>2024.0</v>
      </c>
      <c r="BI7" s="86"/>
      <c r="BJ7" s="86"/>
      <c r="BK7" s="86"/>
      <c r="BL7" s="86"/>
      <c r="BM7" s="86"/>
      <c r="BN7" s="86"/>
      <c r="BO7" s="86"/>
      <c r="BP7" s="86"/>
      <c r="BQ7" s="86"/>
      <c r="BR7" s="86"/>
      <c r="BS7" s="86"/>
      <c r="BT7" s="86"/>
      <c r="BU7" s="86"/>
      <c r="BV7" s="86"/>
      <c r="BW7" s="87"/>
      <c r="BX7" s="97">
        <v>2024.0</v>
      </c>
      <c r="BY7" s="98">
        <v>2025.0</v>
      </c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7"/>
      <c r="DC7" s="99">
        <v>2025.0</v>
      </c>
      <c r="DD7" s="102" t="s">
        <v>46</v>
      </c>
      <c r="DE7" s="4"/>
      <c r="DF7" s="4"/>
      <c r="DG7" s="4"/>
      <c r="DH7" s="4"/>
      <c r="DI7" s="4"/>
      <c r="DJ7" s="4"/>
      <c r="DK7" s="4"/>
      <c r="DL7" s="4"/>
    </row>
    <row r="8" ht="87.0" customHeight="1">
      <c r="A8" s="104"/>
      <c r="B8" s="106"/>
      <c r="C8" s="105" t="s">
        <v>54</v>
      </c>
      <c r="D8" s="105" t="s">
        <v>56</v>
      </c>
      <c r="E8" s="105" t="s">
        <v>57</v>
      </c>
      <c r="F8" s="105" t="s">
        <v>58</v>
      </c>
      <c r="G8" s="105" t="s">
        <v>59</v>
      </c>
      <c r="H8" s="106"/>
      <c r="I8" s="107" t="s">
        <v>60</v>
      </c>
      <c r="J8" s="107" t="s">
        <v>61</v>
      </c>
      <c r="K8" s="107" t="s">
        <v>62</v>
      </c>
      <c r="L8" s="108" t="s">
        <v>34</v>
      </c>
      <c r="M8" s="107" t="s">
        <v>63</v>
      </c>
      <c r="N8" s="107" t="s">
        <v>64</v>
      </c>
      <c r="O8" s="107" t="s">
        <v>65</v>
      </c>
      <c r="P8" s="108" t="s">
        <v>40</v>
      </c>
      <c r="Q8" s="107" t="s">
        <v>66</v>
      </c>
      <c r="R8" s="107" t="s">
        <v>54</v>
      </c>
      <c r="S8" s="107" t="s">
        <v>56</v>
      </c>
      <c r="T8" s="108" t="s">
        <v>44</v>
      </c>
      <c r="U8" s="107" t="s">
        <v>57</v>
      </c>
      <c r="V8" s="107" t="s">
        <v>58</v>
      </c>
      <c r="W8" s="107" t="s">
        <v>59</v>
      </c>
      <c r="X8" s="108" t="s">
        <v>45</v>
      </c>
      <c r="Y8" s="106"/>
      <c r="Z8" s="110" t="s">
        <v>60</v>
      </c>
      <c r="AA8" s="110" t="s">
        <v>61</v>
      </c>
      <c r="AB8" s="110" t="s">
        <v>62</v>
      </c>
      <c r="AC8" s="114" t="s">
        <v>34</v>
      </c>
      <c r="AD8" s="110" t="s">
        <v>63</v>
      </c>
      <c r="AE8" s="110" t="s">
        <v>64</v>
      </c>
      <c r="AF8" s="110" t="s">
        <v>65</v>
      </c>
      <c r="AG8" s="114" t="s">
        <v>40</v>
      </c>
      <c r="AH8" s="110" t="s">
        <v>66</v>
      </c>
      <c r="AI8" s="110" t="s">
        <v>54</v>
      </c>
      <c r="AJ8" s="110" t="s">
        <v>56</v>
      </c>
      <c r="AK8" s="114" t="s">
        <v>44</v>
      </c>
      <c r="AL8" s="110" t="s">
        <v>57</v>
      </c>
      <c r="AM8" s="110" t="s">
        <v>58</v>
      </c>
      <c r="AN8" s="110" t="s">
        <v>59</v>
      </c>
      <c r="AO8" s="114" t="s">
        <v>45</v>
      </c>
      <c r="AP8" s="106"/>
      <c r="AQ8" s="116" t="s">
        <v>60</v>
      </c>
      <c r="AR8" s="116" t="s">
        <v>61</v>
      </c>
      <c r="AS8" s="116" t="s">
        <v>62</v>
      </c>
      <c r="AT8" s="117" t="s">
        <v>34</v>
      </c>
      <c r="AU8" s="116" t="s">
        <v>63</v>
      </c>
      <c r="AV8" s="116" t="s">
        <v>64</v>
      </c>
      <c r="AW8" s="116" t="s">
        <v>65</v>
      </c>
      <c r="AX8" s="117" t="s">
        <v>40</v>
      </c>
      <c r="AY8" s="116" t="s">
        <v>66</v>
      </c>
      <c r="AZ8" s="116" t="s">
        <v>54</v>
      </c>
      <c r="BA8" s="116" t="s">
        <v>56</v>
      </c>
      <c r="BB8" s="117" t="s">
        <v>44</v>
      </c>
      <c r="BC8" s="116" t="s">
        <v>57</v>
      </c>
      <c r="BD8" s="116" t="s">
        <v>58</v>
      </c>
      <c r="BE8" s="116" t="s">
        <v>59</v>
      </c>
      <c r="BF8" s="117" t="s">
        <v>45</v>
      </c>
      <c r="BG8" s="106"/>
      <c r="BH8" s="118" t="s">
        <v>60</v>
      </c>
      <c r="BI8" s="118" t="s">
        <v>61</v>
      </c>
      <c r="BJ8" s="118" t="s">
        <v>62</v>
      </c>
      <c r="BK8" s="119" t="s">
        <v>34</v>
      </c>
      <c r="BL8" s="118" t="s">
        <v>63</v>
      </c>
      <c r="BM8" s="118" t="s">
        <v>64</v>
      </c>
      <c r="BN8" s="118" t="s">
        <v>65</v>
      </c>
      <c r="BO8" s="119" t="s">
        <v>40</v>
      </c>
      <c r="BP8" s="118" t="s">
        <v>66</v>
      </c>
      <c r="BQ8" s="118" t="s">
        <v>54</v>
      </c>
      <c r="BR8" s="118" t="s">
        <v>56</v>
      </c>
      <c r="BS8" s="119" t="s">
        <v>44</v>
      </c>
      <c r="BT8" s="118" t="s">
        <v>57</v>
      </c>
      <c r="BU8" s="118" t="s">
        <v>58</v>
      </c>
      <c r="BV8" s="118" t="s">
        <v>59</v>
      </c>
      <c r="BW8" s="119" t="s">
        <v>45</v>
      </c>
      <c r="BX8" s="106"/>
      <c r="BY8" s="120" t="s">
        <v>60</v>
      </c>
      <c r="BZ8" s="121" t="s">
        <v>60</v>
      </c>
      <c r="CA8" s="122" t="s">
        <v>60</v>
      </c>
      <c r="CB8" s="120" t="s">
        <v>61</v>
      </c>
      <c r="CC8" s="123" t="s">
        <v>61</v>
      </c>
      <c r="CD8" s="122" t="s">
        <v>61</v>
      </c>
      <c r="CE8" s="120" t="s">
        <v>62</v>
      </c>
      <c r="CF8" s="123" t="s">
        <v>62</v>
      </c>
      <c r="CG8" s="122" t="s">
        <v>62</v>
      </c>
      <c r="CH8" s="124" t="s">
        <v>34</v>
      </c>
      <c r="CI8" s="120" t="s">
        <v>63</v>
      </c>
      <c r="CJ8" s="123" t="s">
        <v>63</v>
      </c>
      <c r="CK8" s="122" t="s">
        <v>63</v>
      </c>
      <c r="CL8" s="120" t="s">
        <v>64</v>
      </c>
      <c r="CM8" s="123" t="s">
        <v>64</v>
      </c>
      <c r="CN8" s="122" t="s">
        <v>64</v>
      </c>
      <c r="CO8" s="120" t="s">
        <v>65</v>
      </c>
      <c r="CP8" s="123" t="s">
        <v>65</v>
      </c>
      <c r="CQ8" s="122" t="s">
        <v>65</v>
      </c>
      <c r="CR8" s="124" t="s">
        <v>40</v>
      </c>
      <c r="CS8" s="120" t="s">
        <v>66</v>
      </c>
      <c r="CT8" s="107" t="s">
        <v>66</v>
      </c>
      <c r="CU8" s="128" t="s">
        <v>66</v>
      </c>
      <c r="CV8" s="120" t="s">
        <v>54</v>
      </c>
      <c r="CW8" s="120" t="s">
        <v>56</v>
      </c>
      <c r="CX8" s="124" t="s">
        <v>44</v>
      </c>
      <c r="CY8" s="120" t="s">
        <v>57</v>
      </c>
      <c r="CZ8" s="120" t="s">
        <v>58</v>
      </c>
      <c r="DA8" s="120" t="s">
        <v>59</v>
      </c>
      <c r="DB8" s="124" t="s">
        <v>45</v>
      </c>
      <c r="DC8" s="106"/>
      <c r="DD8" s="104"/>
      <c r="DE8" s="6"/>
      <c r="DF8" s="6"/>
      <c r="DG8" s="6"/>
      <c r="DH8" s="6"/>
      <c r="DI8" s="6"/>
      <c r="DJ8" s="6"/>
      <c r="DK8" s="6"/>
      <c r="DL8" s="6"/>
    </row>
    <row r="9" ht="15.75" customHeight="1">
      <c r="A9" s="130" t="s">
        <v>46</v>
      </c>
      <c r="B9" s="132">
        <f t="shared" ref="B9:BZ9" si="1">SUM(B114)</f>
        <v>209960</v>
      </c>
      <c r="C9" s="131">
        <f t="shared" si="1"/>
        <v>0</v>
      </c>
      <c r="D9" s="131">
        <f t="shared" si="1"/>
        <v>0</v>
      </c>
      <c r="E9" s="131">
        <f t="shared" si="1"/>
        <v>90</v>
      </c>
      <c r="F9" s="131">
        <f t="shared" si="1"/>
        <v>2080</v>
      </c>
      <c r="G9" s="131">
        <f t="shared" si="1"/>
        <v>5490</v>
      </c>
      <c r="H9" s="133">
        <f t="shared" si="1"/>
        <v>7660</v>
      </c>
      <c r="I9" s="115">
        <f t="shared" si="1"/>
        <v>8006</v>
      </c>
      <c r="J9" s="115">
        <f t="shared" si="1"/>
        <v>13831</v>
      </c>
      <c r="K9" s="115">
        <f t="shared" si="1"/>
        <v>9595</v>
      </c>
      <c r="L9" s="134">
        <f t="shared" si="1"/>
        <v>31432</v>
      </c>
      <c r="M9" s="115">
        <f t="shared" si="1"/>
        <v>7955</v>
      </c>
      <c r="N9" s="115">
        <f t="shared" si="1"/>
        <v>2335</v>
      </c>
      <c r="O9" s="115">
        <f t="shared" si="1"/>
        <v>0</v>
      </c>
      <c r="P9" s="134">
        <f t="shared" si="1"/>
        <v>10290</v>
      </c>
      <c r="Q9" s="115">
        <f t="shared" si="1"/>
        <v>6021</v>
      </c>
      <c r="R9" s="115">
        <f t="shared" si="1"/>
        <v>37600</v>
      </c>
      <c r="S9" s="115">
        <f t="shared" si="1"/>
        <v>58668</v>
      </c>
      <c r="T9" s="134">
        <f t="shared" si="1"/>
        <v>102289</v>
      </c>
      <c r="U9" s="115">
        <f t="shared" si="1"/>
        <v>65534</v>
      </c>
      <c r="V9" s="115">
        <f t="shared" si="1"/>
        <v>61283</v>
      </c>
      <c r="W9" s="115">
        <f t="shared" si="1"/>
        <v>37949</v>
      </c>
      <c r="X9" s="134">
        <f t="shared" si="1"/>
        <v>164766</v>
      </c>
      <c r="Y9" s="134">
        <f t="shared" si="1"/>
        <v>308777</v>
      </c>
      <c r="Z9" s="135">
        <f t="shared" si="1"/>
        <v>25967</v>
      </c>
      <c r="AA9" s="135">
        <f t="shared" si="1"/>
        <v>33039</v>
      </c>
      <c r="AB9" s="135">
        <f t="shared" si="1"/>
        <v>89967</v>
      </c>
      <c r="AC9" s="136">
        <f t="shared" si="1"/>
        <v>148973</v>
      </c>
      <c r="AD9" s="135">
        <f t="shared" si="1"/>
        <v>79248</v>
      </c>
      <c r="AE9" s="135">
        <f t="shared" si="1"/>
        <v>78397</v>
      </c>
      <c r="AF9" s="135">
        <f t="shared" si="1"/>
        <v>79510</v>
      </c>
      <c r="AG9" s="136">
        <f t="shared" si="1"/>
        <v>237155</v>
      </c>
      <c r="AH9" s="135">
        <f t="shared" si="1"/>
        <v>66426</v>
      </c>
      <c r="AI9" s="135">
        <f t="shared" si="1"/>
        <v>91201</v>
      </c>
      <c r="AJ9" s="135">
        <f t="shared" si="1"/>
        <v>86481</v>
      </c>
      <c r="AK9" s="136">
        <f t="shared" si="1"/>
        <v>244108</v>
      </c>
      <c r="AL9" s="135">
        <f t="shared" si="1"/>
        <v>85748</v>
      </c>
      <c r="AM9" s="135">
        <f t="shared" si="1"/>
        <v>76919</v>
      </c>
      <c r="AN9" s="135">
        <f t="shared" si="1"/>
        <v>60461</v>
      </c>
      <c r="AO9" s="136">
        <f t="shared" si="1"/>
        <v>223128</v>
      </c>
      <c r="AP9" s="136">
        <f t="shared" si="1"/>
        <v>853364</v>
      </c>
      <c r="AQ9" s="143">
        <f t="shared" si="1"/>
        <v>52032</v>
      </c>
      <c r="AR9" s="143">
        <f t="shared" si="1"/>
        <v>70840</v>
      </c>
      <c r="AS9" s="143">
        <f t="shared" si="1"/>
        <v>86143</v>
      </c>
      <c r="AT9" s="144">
        <f t="shared" si="1"/>
        <v>209015</v>
      </c>
      <c r="AU9" s="143">
        <f t="shared" si="1"/>
        <v>32238</v>
      </c>
      <c r="AV9" s="143">
        <f t="shared" si="1"/>
        <v>54740</v>
      </c>
      <c r="AW9" s="143">
        <f t="shared" si="1"/>
        <v>55545</v>
      </c>
      <c r="AX9" s="144">
        <f t="shared" si="1"/>
        <v>142523</v>
      </c>
      <c r="AY9" s="143">
        <f t="shared" si="1"/>
        <v>64198</v>
      </c>
      <c r="AZ9" s="143">
        <f t="shared" si="1"/>
        <v>74539</v>
      </c>
      <c r="BA9" s="143">
        <f t="shared" si="1"/>
        <v>64899</v>
      </c>
      <c r="BB9" s="144">
        <f t="shared" si="1"/>
        <v>203636</v>
      </c>
      <c r="BC9" s="143">
        <f t="shared" si="1"/>
        <v>25766</v>
      </c>
      <c r="BD9" s="143">
        <f t="shared" si="1"/>
        <v>46774</v>
      </c>
      <c r="BE9" s="143">
        <f t="shared" si="1"/>
        <v>54714</v>
      </c>
      <c r="BF9" s="144">
        <f t="shared" si="1"/>
        <v>127254</v>
      </c>
      <c r="BG9" s="144">
        <f t="shared" si="1"/>
        <v>682428</v>
      </c>
      <c r="BH9" s="145">
        <f t="shared" si="1"/>
        <v>101902</v>
      </c>
      <c r="BI9" s="145">
        <f t="shared" si="1"/>
        <v>69465</v>
      </c>
      <c r="BJ9" s="145">
        <f t="shared" si="1"/>
        <v>42017</v>
      </c>
      <c r="BK9" s="146">
        <f t="shared" si="1"/>
        <v>213384</v>
      </c>
      <c r="BL9" s="145">
        <f t="shared" si="1"/>
        <v>68272</v>
      </c>
      <c r="BM9" s="145">
        <f t="shared" si="1"/>
        <v>59719</v>
      </c>
      <c r="BN9" s="145">
        <f t="shared" si="1"/>
        <v>35341</v>
      </c>
      <c r="BO9" s="146">
        <f t="shared" si="1"/>
        <v>163332</v>
      </c>
      <c r="BP9" s="145">
        <f t="shared" si="1"/>
        <v>50723</v>
      </c>
      <c r="BQ9" s="145">
        <f t="shared" si="1"/>
        <v>66444</v>
      </c>
      <c r="BR9" s="145">
        <f t="shared" si="1"/>
        <v>93178</v>
      </c>
      <c r="BS9" s="146">
        <f t="shared" si="1"/>
        <v>210345</v>
      </c>
      <c r="BT9" s="145">
        <f t="shared" si="1"/>
        <v>76468</v>
      </c>
      <c r="BU9" s="145">
        <f t="shared" si="1"/>
        <v>48755</v>
      </c>
      <c r="BV9" s="145">
        <f t="shared" si="1"/>
        <v>48719</v>
      </c>
      <c r="BW9" s="146">
        <f t="shared" si="1"/>
        <v>173942</v>
      </c>
      <c r="BX9" s="146">
        <f t="shared" si="1"/>
        <v>761003</v>
      </c>
      <c r="BY9" s="151">
        <f t="shared" si="1"/>
        <v>50297</v>
      </c>
      <c r="BZ9" s="151">
        <f t="shared" si="1"/>
        <v>50382</v>
      </c>
      <c r="CA9" s="151">
        <f>CA114</f>
        <v>108</v>
      </c>
      <c r="CB9" s="151">
        <f t="shared" ref="CB9:CC9" si="2">SUM(CB114)</f>
        <v>65430</v>
      </c>
      <c r="CC9" s="151">
        <f t="shared" si="2"/>
        <v>65157</v>
      </c>
      <c r="CD9" s="151">
        <f>CD114</f>
        <v>-52</v>
      </c>
      <c r="CE9" s="151">
        <f t="shared" ref="CE9:CF9" si="3">SUM(CE114)</f>
        <v>3103</v>
      </c>
      <c r="CF9" s="151">
        <f t="shared" si="3"/>
        <v>75185</v>
      </c>
      <c r="CG9" s="157">
        <f>CG114</f>
        <v>72083</v>
      </c>
      <c r="CH9" s="158">
        <f t="shared" ref="CH9:CJ9" si="4">SUM(CH114)</f>
        <v>292140</v>
      </c>
      <c r="CI9" s="151">
        <f t="shared" si="4"/>
        <v>64514</v>
      </c>
      <c r="CJ9" s="151">
        <f t="shared" si="4"/>
        <v>66153</v>
      </c>
      <c r="CK9" s="157">
        <f>CK114</f>
        <v>1639</v>
      </c>
      <c r="CL9" s="151">
        <f t="shared" ref="CL9:CM9" si="5">SUM(CL114)</f>
        <v>69312</v>
      </c>
      <c r="CM9" s="151">
        <f t="shared" si="5"/>
        <v>69109</v>
      </c>
      <c r="CN9" s="157">
        <f>CN114</f>
        <v>-203</v>
      </c>
      <c r="CO9" s="151">
        <f t="shared" ref="CO9:CP9" si="6">SUM(CO114)</f>
        <v>66270</v>
      </c>
      <c r="CP9" s="151">
        <f t="shared" si="6"/>
        <v>67639</v>
      </c>
      <c r="CQ9" s="157">
        <f>CQ114</f>
        <v>1369</v>
      </c>
      <c r="CR9" s="158">
        <f t="shared" ref="CR9:CS9" si="7">SUM(CR114)</f>
        <v>336794</v>
      </c>
      <c r="CS9" s="151">
        <f t="shared" si="7"/>
        <v>72511</v>
      </c>
      <c r="CT9" s="151">
        <f t="shared" ref="CT9:CU9" si="8">CT114</f>
        <v>74944</v>
      </c>
      <c r="CU9" s="151">
        <f t="shared" si="8"/>
        <v>147455</v>
      </c>
      <c r="CV9" s="151">
        <f t="shared" ref="CV9:DD9" si="9">SUM(CV114)</f>
        <v>0</v>
      </c>
      <c r="CW9" s="151">
        <f t="shared" si="9"/>
        <v>0</v>
      </c>
      <c r="CX9" s="158">
        <f t="shared" si="9"/>
        <v>294910</v>
      </c>
      <c r="CY9" s="151">
        <f t="shared" si="9"/>
        <v>0</v>
      </c>
      <c r="CZ9" s="151">
        <f t="shared" si="9"/>
        <v>0</v>
      </c>
      <c r="DA9" s="151">
        <f t="shared" si="9"/>
        <v>0</v>
      </c>
      <c r="DB9" s="158">
        <f t="shared" si="9"/>
        <v>0</v>
      </c>
      <c r="DC9" s="159">
        <f t="shared" si="9"/>
        <v>923844</v>
      </c>
      <c r="DD9" s="160">
        <f t="shared" si="9"/>
        <v>3747036</v>
      </c>
      <c r="DE9" s="6"/>
      <c r="DF9" s="6"/>
      <c r="DG9" s="6"/>
      <c r="DH9" s="6"/>
      <c r="DI9" s="6"/>
      <c r="DJ9" s="6"/>
      <c r="DK9" s="6"/>
      <c r="DL9" s="6"/>
    </row>
    <row r="10" ht="15.75" customHeight="1">
      <c r="A10" s="125"/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62" t="s">
        <v>72</v>
      </c>
      <c r="BZ10" s="162" t="s">
        <v>73</v>
      </c>
      <c r="CA10" s="162" t="s">
        <v>74</v>
      </c>
      <c r="CB10" s="162" t="s">
        <v>72</v>
      </c>
      <c r="CC10" s="162" t="s">
        <v>73</v>
      </c>
      <c r="CD10" s="162" t="s">
        <v>74</v>
      </c>
      <c r="CE10" s="162" t="s">
        <v>72</v>
      </c>
      <c r="CF10" s="162" t="s">
        <v>73</v>
      </c>
      <c r="CG10" s="162" t="s">
        <v>74</v>
      </c>
      <c r="CH10" s="125"/>
      <c r="CI10" s="162" t="s">
        <v>72</v>
      </c>
      <c r="CJ10" s="162" t="s">
        <v>73</v>
      </c>
      <c r="CK10" s="162" t="s">
        <v>74</v>
      </c>
      <c r="CL10" s="166" t="s">
        <v>72</v>
      </c>
      <c r="CM10" s="166" t="s">
        <v>73</v>
      </c>
      <c r="CN10" s="162" t="s">
        <v>74</v>
      </c>
      <c r="CO10" s="166" t="s">
        <v>72</v>
      </c>
      <c r="CP10" s="166" t="s">
        <v>73</v>
      </c>
      <c r="CQ10" s="162" t="s">
        <v>74</v>
      </c>
      <c r="CR10" s="125"/>
      <c r="CS10" s="125"/>
      <c r="CT10" s="162" t="s">
        <v>75</v>
      </c>
      <c r="CU10" s="162" t="s">
        <v>72</v>
      </c>
      <c r="CV10" s="125"/>
      <c r="CW10" s="125"/>
      <c r="CX10" s="125"/>
      <c r="CY10" s="125"/>
      <c r="CZ10" s="125"/>
      <c r="DA10" s="125"/>
      <c r="DB10" s="125"/>
      <c r="DC10" s="125"/>
      <c r="DD10" s="125"/>
      <c r="DE10" s="6"/>
      <c r="DF10" s="6"/>
      <c r="DG10" s="6"/>
      <c r="DH10" s="6"/>
      <c r="DI10" s="6"/>
      <c r="DJ10" s="6"/>
      <c r="DK10" s="6"/>
      <c r="DL10" s="6"/>
    </row>
    <row r="11" ht="15.75" customHeight="1">
      <c r="A11" s="137" t="s">
        <v>76</v>
      </c>
      <c r="B11" s="141">
        <f>SUM(B12:B17)</f>
        <v>15184</v>
      </c>
      <c r="C11" s="141">
        <f t="shared" ref="C11:G11" si="10">C12+C13+C14+C15+C16+C17</f>
        <v>0</v>
      </c>
      <c r="D11" s="141">
        <f t="shared" si="10"/>
        <v>0</v>
      </c>
      <c r="E11" s="141">
        <f t="shared" si="10"/>
        <v>1</v>
      </c>
      <c r="F11" s="141">
        <f t="shared" si="10"/>
        <v>1</v>
      </c>
      <c r="G11" s="141">
        <f t="shared" si="10"/>
        <v>86</v>
      </c>
      <c r="H11" s="141">
        <f t="shared" ref="H11:CH11" si="11">SUM(H12:H17)</f>
        <v>88</v>
      </c>
      <c r="I11" s="141">
        <f t="shared" si="11"/>
        <v>921</v>
      </c>
      <c r="J11" s="141">
        <f t="shared" si="11"/>
        <v>2728</v>
      </c>
      <c r="K11" s="141">
        <f t="shared" si="11"/>
        <v>384</v>
      </c>
      <c r="L11" s="141">
        <f t="shared" si="11"/>
        <v>4033</v>
      </c>
      <c r="M11" s="141">
        <f t="shared" si="11"/>
        <v>269</v>
      </c>
      <c r="N11" s="141">
        <f t="shared" si="11"/>
        <v>62</v>
      </c>
      <c r="O11" s="141">
        <f t="shared" si="11"/>
        <v>0</v>
      </c>
      <c r="P11" s="141">
        <f t="shared" si="11"/>
        <v>331</v>
      </c>
      <c r="Q11" s="141">
        <f t="shared" si="11"/>
        <v>127</v>
      </c>
      <c r="R11" s="141">
        <f t="shared" si="11"/>
        <v>606</v>
      </c>
      <c r="S11" s="141">
        <f t="shared" si="11"/>
        <v>498</v>
      </c>
      <c r="T11" s="141">
        <f t="shared" si="11"/>
        <v>1231</v>
      </c>
      <c r="U11" s="141">
        <f t="shared" si="11"/>
        <v>355</v>
      </c>
      <c r="V11" s="141">
        <f t="shared" si="11"/>
        <v>398</v>
      </c>
      <c r="W11" s="141">
        <f t="shared" si="11"/>
        <v>393</v>
      </c>
      <c r="X11" s="141">
        <f t="shared" si="11"/>
        <v>1146</v>
      </c>
      <c r="Y11" s="141">
        <f t="shared" si="11"/>
        <v>6741</v>
      </c>
      <c r="Z11" s="141">
        <f t="shared" si="11"/>
        <v>997</v>
      </c>
      <c r="AA11" s="141">
        <f t="shared" si="11"/>
        <v>3035</v>
      </c>
      <c r="AB11" s="141">
        <f t="shared" si="11"/>
        <v>8078</v>
      </c>
      <c r="AC11" s="141">
        <f t="shared" si="11"/>
        <v>12110</v>
      </c>
      <c r="AD11" s="141">
        <f t="shared" si="11"/>
        <v>2475</v>
      </c>
      <c r="AE11" s="141">
        <f t="shared" si="11"/>
        <v>2624</v>
      </c>
      <c r="AF11" s="141">
        <f t="shared" si="11"/>
        <v>1837</v>
      </c>
      <c r="AG11" s="141">
        <f t="shared" si="11"/>
        <v>6936</v>
      </c>
      <c r="AH11" s="141">
        <f t="shared" si="11"/>
        <v>2730</v>
      </c>
      <c r="AI11" s="141">
        <f t="shared" si="11"/>
        <v>5193</v>
      </c>
      <c r="AJ11" s="141">
        <f t="shared" si="11"/>
        <v>7393</v>
      </c>
      <c r="AK11" s="141">
        <f t="shared" si="11"/>
        <v>15316</v>
      </c>
      <c r="AL11" s="141">
        <f t="shared" si="11"/>
        <v>2346</v>
      </c>
      <c r="AM11" s="141">
        <f t="shared" si="11"/>
        <v>3897</v>
      </c>
      <c r="AN11" s="141">
        <f t="shared" si="11"/>
        <v>4933</v>
      </c>
      <c r="AO11" s="141">
        <f t="shared" si="11"/>
        <v>11176</v>
      </c>
      <c r="AP11" s="141">
        <f t="shared" si="11"/>
        <v>45538</v>
      </c>
      <c r="AQ11" s="141">
        <f t="shared" si="11"/>
        <v>8621</v>
      </c>
      <c r="AR11" s="141">
        <f t="shared" si="11"/>
        <v>3308</v>
      </c>
      <c r="AS11" s="141">
        <f t="shared" si="11"/>
        <v>10289</v>
      </c>
      <c r="AT11" s="141">
        <f t="shared" si="11"/>
        <v>22218</v>
      </c>
      <c r="AU11" s="141">
        <f t="shared" si="11"/>
        <v>961</v>
      </c>
      <c r="AV11" s="141">
        <f t="shared" si="11"/>
        <v>3474</v>
      </c>
      <c r="AW11" s="141">
        <f t="shared" si="11"/>
        <v>2123</v>
      </c>
      <c r="AX11" s="141">
        <f t="shared" si="11"/>
        <v>6558</v>
      </c>
      <c r="AY11" s="141">
        <f t="shared" si="11"/>
        <v>667</v>
      </c>
      <c r="AZ11" s="141">
        <f t="shared" si="11"/>
        <v>1077</v>
      </c>
      <c r="BA11" s="141">
        <f t="shared" si="11"/>
        <v>674</v>
      </c>
      <c r="BB11" s="141">
        <f t="shared" si="11"/>
        <v>2418</v>
      </c>
      <c r="BC11" s="141">
        <f t="shared" si="11"/>
        <v>1223</v>
      </c>
      <c r="BD11" s="141">
        <f t="shared" si="11"/>
        <v>1083</v>
      </c>
      <c r="BE11" s="141">
        <f t="shared" si="11"/>
        <v>823</v>
      </c>
      <c r="BF11" s="141">
        <f t="shared" si="11"/>
        <v>3129</v>
      </c>
      <c r="BG11" s="141">
        <f t="shared" si="11"/>
        <v>34323</v>
      </c>
      <c r="BH11" s="141">
        <f t="shared" si="11"/>
        <v>2327</v>
      </c>
      <c r="BI11" s="141">
        <f t="shared" si="11"/>
        <v>3208</v>
      </c>
      <c r="BJ11" s="141">
        <f t="shared" si="11"/>
        <v>993</v>
      </c>
      <c r="BK11" s="141">
        <f t="shared" si="11"/>
        <v>6528</v>
      </c>
      <c r="BL11" s="141">
        <f t="shared" si="11"/>
        <v>1588</v>
      </c>
      <c r="BM11" s="141">
        <f t="shared" si="11"/>
        <v>3791</v>
      </c>
      <c r="BN11" s="141">
        <f t="shared" si="11"/>
        <v>1598</v>
      </c>
      <c r="BO11" s="141">
        <f t="shared" si="11"/>
        <v>6977</v>
      </c>
      <c r="BP11" s="141">
        <f t="shared" si="11"/>
        <v>4782</v>
      </c>
      <c r="BQ11" s="141">
        <f t="shared" si="11"/>
        <v>2404</v>
      </c>
      <c r="BR11" s="141">
        <f t="shared" si="11"/>
        <v>2030</v>
      </c>
      <c r="BS11" s="141">
        <f t="shared" si="11"/>
        <v>9216</v>
      </c>
      <c r="BT11" s="141">
        <f t="shared" si="11"/>
        <v>2126</v>
      </c>
      <c r="BU11" s="141">
        <f t="shared" si="11"/>
        <v>1571</v>
      </c>
      <c r="BV11" s="141">
        <f t="shared" si="11"/>
        <v>733</v>
      </c>
      <c r="BW11" s="141">
        <f t="shared" si="11"/>
        <v>4430</v>
      </c>
      <c r="BX11" s="141">
        <f t="shared" si="11"/>
        <v>27151</v>
      </c>
      <c r="BY11" s="141">
        <f t="shared" si="11"/>
        <v>2752</v>
      </c>
      <c r="BZ11" s="141">
        <f t="shared" si="11"/>
        <v>2752</v>
      </c>
      <c r="CA11" s="141">
        <f t="shared" si="11"/>
        <v>0</v>
      </c>
      <c r="CB11" s="141">
        <f t="shared" si="11"/>
        <v>1385</v>
      </c>
      <c r="CC11" s="141">
        <f t="shared" si="11"/>
        <v>1385</v>
      </c>
      <c r="CD11" s="141">
        <f t="shared" si="11"/>
        <v>0</v>
      </c>
      <c r="CE11" s="141">
        <f t="shared" si="11"/>
        <v>65</v>
      </c>
      <c r="CF11" s="141">
        <f t="shared" si="11"/>
        <v>1516</v>
      </c>
      <c r="CG11" s="141">
        <f t="shared" si="11"/>
        <v>1451</v>
      </c>
      <c r="CH11" s="141">
        <f t="shared" si="11"/>
        <v>9796</v>
      </c>
      <c r="CI11" s="141">
        <f t="shared" ref="CI11:CJ11" si="12">CI12+CI13+CI14+CI15+CI16+CI17</f>
        <v>1929</v>
      </c>
      <c r="CJ11" s="141">
        <f t="shared" si="12"/>
        <v>768</v>
      </c>
      <c r="CK11" s="141">
        <f>SUM(CK12:CK17)</f>
        <v>-1161</v>
      </c>
      <c r="CL11" s="141">
        <f t="shared" ref="CL11:CM11" si="13">CL12+CL13+CL14+CL15+CL16+CL17</f>
        <v>3697</v>
      </c>
      <c r="CM11" s="141">
        <f t="shared" si="13"/>
        <v>3494</v>
      </c>
      <c r="CN11" s="141">
        <f>SUM(CN12:CN17)</f>
        <v>-203</v>
      </c>
      <c r="CO11" s="141">
        <f t="shared" ref="CO11:CP11" si="14">CO12+CO13+CO14+CO15+CO16+CO17</f>
        <v>3268</v>
      </c>
      <c r="CP11" s="141">
        <f t="shared" si="14"/>
        <v>3269</v>
      </c>
      <c r="CQ11" s="141">
        <f t="shared" ref="CQ11:CR11" si="15">SUM(CQ12:CQ17)</f>
        <v>1</v>
      </c>
      <c r="CR11" s="141">
        <f t="shared" si="15"/>
        <v>11792</v>
      </c>
      <c r="CS11" s="141">
        <f>CS12+CS13+CS14+CS15+CS16+CS17</f>
        <v>5039</v>
      </c>
      <c r="CT11" s="141">
        <f t="shared" ref="CT11:CX11" si="16">SUM(CT12:CT17)</f>
        <v>88</v>
      </c>
      <c r="CU11" s="141">
        <f t="shared" si="16"/>
        <v>5127</v>
      </c>
      <c r="CV11" s="141">
        <f t="shared" si="16"/>
        <v>0</v>
      </c>
      <c r="CW11" s="141">
        <f t="shared" si="16"/>
        <v>0</v>
      </c>
      <c r="CX11" s="141">
        <f t="shared" si="16"/>
        <v>10254</v>
      </c>
      <c r="CY11" s="141">
        <f>CY12+CY13+CY14+CY15+CY16+CY17</f>
        <v>0</v>
      </c>
      <c r="CZ11" s="141">
        <f t="shared" ref="CZ11:DD11" si="17">SUM(CZ12:CZ17)</f>
        <v>0</v>
      </c>
      <c r="DA11" s="141">
        <f t="shared" si="17"/>
        <v>0</v>
      </c>
      <c r="DB11" s="141">
        <f t="shared" si="17"/>
        <v>0</v>
      </c>
      <c r="DC11" s="141">
        <f t="shared" si="17"/>
        <v>31842</v>
      </c>
      <c r="DD11" s="141">
        <f t="shared" si="17"/>
        <v>160867</v>
      </c>
      <c r="DE11" s="6"/>
      <c r="DF11" s="24">
        <f>SUM(AK11,AO11,BG11,BX11,DC11)</f>
        <v>119808</v>
      </c>
      <c r="DG11" s="6"/>
      <c r="DH11" s="6"/>
      <c r="DI11" s="6"/>
      <c r="DJ11" s="6"/>
      <c r="DK11" s="6"/>
      <c r="DL11" s="6"/>
    </row>
    <row r="12" ht="15.75" customHeight="1">
      <c r="A12" s="167" t="s">
        <v>77</v>
      </c>
      <c r="B12" s="125">
        <v>1551.0</v>
      </c>
      <c r="C12" s="154">
        <v>0.0</v>
      </c>
      <c r="D12" s="154">
        <v>0.0</v>
      </c>
      <c r="E12" s="154">
        <v>0.0</v>
      </c>
      <c r="F12" s="154">
        <v>0.0</v>
      </c>
      <c r="G12" s="154">
        <v>13.0</v>
      </c>
      <c r="H12" s="154">
        <f t="shared" ref="H12:H17" si="18">SUM(C12:G12)</f>
        <v>13</v>
      </c>
      <c r="I12" s="154">
        <v>72.0</v>
      </c>
      <c r="J12" s="154">
        <v>1000.0</v>
      </c>
      <c r="K12" s="155">
        <v>46.0</v>
      </c>
      <c r="L12" s="156">
        <f t="shared" ref="L12:L17" si="19">SUM(I12:K12)</f>
        <v>1118</v>
      </c>
      <c r="M12" s="154">
        <v>7.0</v>
      </c>
      <c r="N12" s="154">
        <v>4.0</v>
      </c>
      <c r="O12" s="154">
        <v>0.0</v>
      </c>
      <c r="P12" s="156">
        <f t="shared" ref="P12:P17" si="20">SUM(M12:O12)</f>
        <v>11</v>
      </c>
      <c r="Q12" s="154">
        <v>35.0</v>
      </c>
      <c r="R12" s="154">
        <v>45.0</v>
      </c>
      <c r="S12" s="154">
        <v>61.0</v>
      </c>
      <c r="T12" s="156">
        <f t="shared" ref="T12:T17" si="21">SUM(Q12:S12)</f>
        <v>141</v>
      </c>
      <c r="U12" s="154">
        <v>26.0</v>
      </c>
      <c r="V12" s="154">
        <v>48.0</v>
      </c>
      <c r="W12" s="154">
        <v>27.0</v>
      </c>
      <c r="X12" s="156">
        <f t="shared" ref="X12:X17" si="22">SUM(U12:W12)</f>
        <v>101</v>
      </c>
      <c r="Y12" s="156">
        <f t="shared" ref="Y12:Y17" si="23">SUM(X12,T12,P12,L12)</f>
        <v>1371</v>
      </c>
      <c r="Z12" s="154">
        <v>102.0</v>
      </c>
      <c r="AA12" s="154">
        <v>1008.0</v>
      </c>
      <c r="AB12" s="155">
        <v>57.0</v>
      </c>
      <c r="AC12" s="156">
        <f t="shared" ref="AC12:AC17" si="24">SUM(Z12:AB12)</f>
        <v>1167</v>
      </c>
      <c r="AD12" s="154">
        <v>312.0</v>
      </c>
      <c r="AE12" s="154">
        <v>1246.0</v>
      </c>
      <c r="AF12" s="154">
        <v>117.0</v>
      </c>
      <c r="AG12" s="156">
        <f t="shared" ref="AG12:AG17" si="25">SUM(AD12:AF12)</f>
        <v>1675</v>
      </c>
      <c r="AH12" s="154">
        <v>419.0</v>
      </c>
      <c r="AI12" s="154">
        <v>888.0</v>
      </c>
      <c r="AJ12" s="154">
        <v>955.0</v>
      </c>
      <c r="AK12" s="156">
        <f t="shared" ref="AK12:AK17" si="26">SUM(AH12:AJ12)</f>
        <v>2262</v>
      </c>
      <c r="AL12" s="154">
        <v>127.0</v>
      </c>
      <c r="AM12" s="154">
        <v>477.0</v>
      </c>
      <c r="AN12" s="154">
        <v>139.0</v>
      </c>
      <c r="AO12" s="156">
        <f t="shared" ref="AO12:AO17" si="27">SUM(AL12:AN12)</f>
        <v>743</v>
      </c>
      <c r="AP12" s="154">
        <f t="shared" ref="AP12:AP17" si="28">SUM(AO12,AK12,AG12,AC12)</f>
        <v>5847</v>
      </c>
      <c r="AQ12" s="154">
        <v>949.0</v>
      </c>
      <c r="AR12" s="154">
        <v>802.0</v>
      </c>
      <c r="AS12" s="154">
        <v>884.0</v>
      </c>
      <c r="AT12" s="154">
        <f t="shared" ref="AT12:AT17" si="29">SUM(AQ12:AS12)</f>
        <v>2635</v>
      </c>
      <c r="AU12" s="154">
        <v>258.0</v>
      </c>
      <c r="AV12" s="154">
        <v>427.0</v>
      </c>
      <c r="AW12" s="154">
        <v>558.0</v>
      </c>
      <c r="AX12" s="154">
        <f t="shared" ref="AX12:AX17" si="30">SUM(AU12:AW12)</f>
        <v>1243</v>
      </c>
      <c r="AY12" s="154">
        <v>103.0</v>
      </c>
      <c r="AZ12" s="154">
        <v>92.0</v>
      </c>
      <c r="BA12" s="154">
        <v>56.0</v>
      </c>
      <c r="BB12" s="154">
        <f t="shared" ref="BB12:BB17" si="31">SUM(AY12:BA12)</f>
        <v>251</v>
      </c>
      <c r="BC12" s="154">
        <v>224.0</v>
      </c>
      <c r="BD12" s="154">
        <v>234.0</v>
      </c>
      <c r="BE12" s="154">
        <v>202.0</v>
      </c>
      <c r="BF12" s="154">
        <f t="shared" ref="BF12:BF17" si="32">SUM(BC12:BE12)</f>
        <v>660</v>
      </c>
      <c r="BG12" s="154">
        <f t="shared" ref="BG12:BG17" si="33">SUM(AT12,AX12,BB12,BF12)</f>
        <v>4789</v>
      </c>
      <c r="BH12" s="154">
        <v>292.0</v>
      </c>
      <c r="BI12" s="154">
        <v>896.0</v>
      </c>
      <c r="BJ12" s="154">
        <v>210.0</v>
      </c>
      <c r="BK12" s="154">
        <f t="shared" ref="BK12:BK17" si="34">SUM(BH12:BJ12)</f>
        <v>1398</v>
      </c>
      <c r="BL12" s="154">
        <v>671.0</v>
      </c>
      <c r="BM12" s="154">
        <v>389.0</v>
      </c>
      <c r="BN12" s="154">
        <v>6.0</v>
      </c>
      <c r="BO12" s="154">
        <f t="shared" ref="BO12:BO17" si="35">SUM(BL12:BN12)</f>
        <v>1066</v>
      </c>
      <c r="BP12" s="154">
        <v>282.0</v>
      </c>
      <c r="BQ12" s="154">
        <v>124.0</v>
      </c>
      <c r="BR12" s="154">
        <v>169.0</v>
      </c>
      <c r="BS12" s="154">
        <f t="shared" ref="BS12:BS17" si="36">SUM(BP12:BR12)</f>
        <v>575</v>
      </c>
      <c r="BT12" s="154">
        <v>286.0</v>
      </c>
      <c r="BU12" s="154">
        <v>146.0</v>
      </c>
      <c r="BV12" s="154">
        <v>132.0</v>
      </c>
      <c r="BW12" s="154">
        <f t="shared" ref="BW12:BW17" si="37">SUM(BT12:BV12)</f>
        <v>564</v>
      </c>
      <c r="BX12" s="154">
        <f t="shared" ref="BX12:BX17" si="38">SUM(BK12,BO12,BS12,BW12)</f>
        <v>3603</v>
      </c>
      <c r="BY12" s="154">
        <v>461.0</v>
      </c>
      <c r="BZ12" s="154">
        <v>461.0</v>
      </c>
      <c r="CA12" s="154">
        <f t="shared" ref="CA12:CA17" si="39">BZ12-BY12</f>
        <v>0</v>
      </c>
      <c r="CB12" s="154">
        <v>11.0</v>
      </c>
      <c r="CC12" s="154">
        <v>11.0</v>
      </c>
      <c r="CD12" s="154">
        <f t="shared" ref="CD12:CD17" si="40">CC12-CB12</f>
        <v>0</v>
      </c>
      <c r="CE12" s="154">
        <v>13.0</v>
      </c>
      <c r="CF12" s="154">
        <v>233.0</v>
      </c>
      <c r="CG12" s="154">
        <f t="shared" ref="CG12:CG17" si="41">CF12-CE12</f>
        <v>220</v>
      </c>
      <c r="CH12" s="154">
        <f t="shared" ref="CH12:CH13" si="42">SUM(BY12:CF12)</f>
        <v>1190</v>
      </c>
      <c r="CI12" s="154">
        <v>211.0</v>
      </c>
      <c r="CJ12" s="154">
        <v>44.0</v>
      </c>
      <c r="CK12" s="154">
        <f t="shared" ref="CK12:CK17" si="43">CJ12-CI12</f>
        <v>-167</v>
      </c>
      <c r="CL12" s="154">
        <v>557.0</v>
      </c>
      <c r="CM12" s="154">
        <v>557.0</v>
      </c>
      <c r="CN12" s="154">
        <f t="shared" ref="CN12:CN17" si="44">CM12-CL12</f>
        <v>0</v>
      </c>
      <c r="CO12" s="155">
        <v>890.0</v>
      </c>
      <c r="CP12" s="155">
        <v>890.0</v>
      </c>
      <c r="CQ12" s="154">
        <f t="shared" ref="CQ12:CQ17" si="45">CP12-CO12</f>
        <v>0</v>
      </c>
      <c r="CR12" s="154">
        <f t="shared" ref="CR12:CR17" si="46">SUM(CI12:CO12)</f>
        <v>2092</v>
      </c>
      <c r="CS12" s="154">
        <v>1706.0</v>
      </c>
      <c r="CT12" s="154">
        <f t="shared" ref="CT12:CT17" si="47">SUM(CA12,CD12,CG12,CK12,CN12,CQ12)</f>
        <v>53</v>
      </c>
      <c r="CU12" s="154">
        <f t="shared" ref="CU12:CU17" si="48">CS12+CT12</f>
        <v>1759</v>
      </c>
      <c r="CV12" s="154"/>
      <c r="CW12" s="155"/>
      <c r="CX12" s="154">
        <f t="shared" ref="CX12:CX17" si="49">SUM(CS12:CW12)</f>
        <v>3518</v>
      </c>
      <c r="CY12" s="154"/>
      <c r="CZ12" s="154"/>
      <c r="DA12" s="155"/>
      <c r="DB12" s="154">
        <f t="shared" ref="DB12:DB17" si="50">SUM(CY12:DA12)</f>
        <v>0</v>
      </c>
      <c r="DC12" s="154">
        <f t="shared" ref="DC12:DC17" si="51">SUM(CH12,CR12,CX12,DB12)</f>
        <v>6800</v>
      </c>
      <c r="DD12" s="154">
        <f t="shared" ref="DD12:DD17" si="52">SUM(B12,H12,Y12,AP12,BG12,BX12,DC12)</f>
        <v>23974</v>
      </c>
      <c r="DE12" s="6"/>
      <c r="DF12" s="5"/>
      <c r="DG12" s="6"/>
      <c r="DH12" s="6"/>
      <c r="DI12" s="6"/>
      <c r="DJ12" s="6"/>
      <c r="DK12" s="6"/>
      <c r="DL12" s="6"/>
    </row>
    <row r="13" ht="15.75" customHeight="1">
      <c r="A13" s="167" t="s">
        <v>78</v>
      </c>
      <c r="B13" s="125">
        <v>4238.0</v>
      </c>
      <c r="C13" s="154">
        <v>0.0</v>
      </c>
      <c r="D13" s="154">
        <v>0.0</v>
      </c>
      <c r="E13" s="154">
        <v>0.0</v>
      </c>
      <c r="F13" s="154">
        <v>0.0</v>
      </c>
      <c r="G13" s="154">
        <v>2.0</v>
      </c>
      <c r="H13" s="154">
        <f t="shared" si="18"/>
        <v>2</v>
      </c>
      <c r="I13" s="154">
        <v>126.0</v>
      </c>
      <c r="J13" s="154">
        <v>385.0</v>
      </c>
      <c r="K13" s="155">
        <v>3.0</v>
      </c>
      <c r="L13" s="156">
        <f t="shared" si="19"/>
        <v>514</v>
      </c>
      <c r="M13" s="154">
        <v>3.0</v>
      </c>
      <c r="N13" s="154">
        <v>0.0</v>
      </c>
      <c r="O13" s="154">
        <v>0.0</v>
      </c>
      <c r="P13" s="156">
        <f t="shared" si="20"/>
        <v>3</v>
      </c>
      <c r="Q13" s="154">
        <v>15.0</v>
      </c>
      <c r="R13" s="154">
        <v>69.0</v>
      </c>
      <c r="S13" s="154">
        <v>130.0</v>
      </c>
      <c r="T13" s="156">
        <f t="shared" si="21"/>
        <v>214</v>
      </c>
      <c r="U13" s="154">
        <v>67.0</v>
      </c>
      <c r="V13" s="154">
        <v>20.0</v>
      </c>
      <c r="W13" s="154">
        <v>76.0</v>
      </c>
      <c r="X13" s="156">
        <f t="shared" si="22"/>
        <v>163</v>
      </c>
      <c r="Y13" s="156">
        <f t="shared" si="23"/>
        <v>894</v>
      </c>
      <c r="Z13" s="154">
        <v>20.0</v>
      </c>
      <c r="AA13" s="154">
        <v>217.0</v>
      </c>
      <c r="AB13" s="155">
        <v>2501.0</v>
      </c>
      <c r="AC13" s="156">
        <f t="shared" si="24"/>
        <v>2738</v>
      </c>
      <c r="AD13" s="154">
        <v>97.0</v>
      </c>
      <c r="AE13" s="154">
        <v>70.0</v>
      </c>
      <c r="AF13" s="154">
        <v>214.0</v>
      </c>
      <c r="AG13" s="156">
        <f t="shared" si="25"/>
        <v>381</v>
      </c>
      <c r="AH13" s="154">
        <v>650.0</v>
      </c>
      <c r="AI13" s="154">
        <v>795.0</v>
      </c>
      <c r="AJ13" s="154">
        <v>533.0</v>
      </c>
      <c r="AK13" s="156">
        <f t="shared" si="26"/>
        <v>1978</v>
      </c>
      <c r="AL13" s="154">
        <v>87.0</v>
      </c>
      <c r="AM13" s="154">
        <v>220.0</v>
      </c>
      <c r="AN13" s="154">
        <v>959.0</v>
      </c>
      <c r="AO13" s="156">
        <f t="shared" si="27"/>
        <v>1266</v>
      </c>
      <c r="AP13" s="154">
        <f t="shared" si="28"/>
        <v>6363</v>
      </c>
      <c r="AQ13" s="154">
        <v>951.0</v>
      </c>
      <c r="AR13" s="154">
        <v>197.0</v>
      </c>
      <c r="AS13" s="154">
        <v>1032.0</v>
      </c>
      <c r="AT13" s="154">
        <f t="shared" si="29"/>
        <v>2180</v>
      </c>
      <c r="AU13" s="154">
        <v>133.0</v>
      </c>
      <c r="AV13" s="154">
        <v>906.0</v>
      </c>
      <c r="AW13" s="154">
        <v>145.0</v>
      </c>
      <c r="AX13" s="154">
        <f t="shared" si="30"/>
        <v>1184</v>
      </c>
      <c r="AY13" s="154">
        <v>48.0</v>
      </c>
      <c r="AZ13" s="154">
        <v>174.0</v>
      </c>
      <c r="BA13" s="154">
        <v>112.0</v>
      </c>
      <c r="BB13" s="154">
        <f t="shared" si="31"/>
        <v>334</v>
      </c>
      <c r="BC13" s="154">
        <v>187.0</v>
      </c>
      <c r="BD13" s="154">
        <v>247.0</v>
      </c>
      <c r="BE13" s="154">
        <v>133.0</v>
      </c>
      <c r="BF13" s="154">
        <f t="shared" si="32"/>
        <v>567</v>
      </c>
      <c r="BG13" s="154">
        <f t="shared" si="33"/>
        <v>4265</v>
      </c>
      <c r="BH13" s="154">
        <v>455.0</v>
      </c>
      <c r="BI13" s="154">
        <v>518.0</v>
      </c>
      <c r="BJ13" s="154">
        <v>20.0</v>
      </c>
      <c r="BK13" s="154">
        <f t="shared" si="34"/>
        <v>993</v>
      </c>
      <c r="BL13" s="154">
        <v>63.0</v>
      </c>
      <c r="BM13" s="154">
        <v>115.0</v>
      </c>
      <c r="BN13" s="154">
        <v>286.0</v>
      </c>
      <c r="BO13" s="154">
        <f t="shared" si="35"/>
        <v>464</v>
      </c>
      <c r="BP13" s="154">
        <v>296.0</v>
      </c>
      <c r="BQ13" s="154">
        <v>82.0</v>
      </c>
      <c r="BR13" s="154">
        <v>308.0</v>
      </c>
      <c r="BS13" s="154">
        <f t="shared" si="36"/>
        <v>686</v>
      </c>
      <c r="BT13" s="154">
        <v>264.0</v>
      </c>
      <c r="BU13" s="154">
        <v>258.0</v>
      </c>
      <c r="BV13" s="154">
        <v>71.0</v>
      </c>
      <c r="BW13" s="154">
        <f t="shared" si="37"/>
        <v>593</v>
      </c>
      <c r="BX13" s="154">
        <f t="shared" si="38"/>
        <v>2736</v>
      </c>
      <c r="BY13" s="154">
        <v>301.0</v>
      </c>
      <c r="BZ13" s="154">
        <v>301.0</v>
      </c>
      <c r="CA13" s="154">
        <f t="shared" si="39"/>
        <v>0</v>
      </c>
      <c r="CB13" s="154">
        <v>119.0</v>
      </c>
      <c r="CC13" s="154">
        <v>119.0</v>
      </c>
      <c r="CD13" s="154">
        <f t="shared" si="40"/>
        <v>0</v>
      </c>
      <c r="CE13" s="154">
        <v>12.0</v>
      </c>
      <c r="CF13" s="154">
        <v>126.0</v>
      </c>
      <c r="CG13" s="154">
        <f t="shared" si="41"/>
        <v>114</v>
      </c>
      <c r="CH13" s="154">
        <f t="shared" si="42"/>
        <v>978</v>
      </c>
      <c r="CI13" s="154">
        <v>227.0</v>
      </c>
      <c r="CJ13" s="154">
        <v>15.0</v>
      </c>
      <c r="CK13" s="154">
        <f t="shared" si="43"/>
        <v>-212</v>
      </c>
      <c r="CL13" s="154">
        <v>465.0</v>
      </c>
      <c r="CM13" s="154">
        <v>465.0</v>
      </c>
      <c r="CN13" s="154">
        <f t="shared" si="44"/>
        <v>0</v>
      </c>
      <c r="CO13" s="155">
        <v>235.0</v>
      </c>
      <c r="CP13" s="155">
        <v>235.0</v>
      </c>
      <c r="CQ13" s="154">
        <f t="shared" si="45"/>
        <v>0</v>
      </c>
      <c r="CR13" s="154">
        <f t="shared" si="46"/>
        <v>1195</v>
      </c>
      <c r="CS13" s="154">
        <v>710.0</v>
      </c>
      <c r="CT13" s="154">
        <f t="shared" si="47"/>
        <v>-98</v>
      </c>
      <c r="CU13" s="154">
        <f t="shared" si="48"/>
        <v>612</v>
      </c>
      <c r="CV13" s="154"/>
      <c r="CW13" s="155"/>
      <c r="CX13" s="154">
        <f t="shared" si="49"/>
        <v>1224</v>
      </c>
      <c r="CY13" s="154"/>
      <c r="CZ13" s="154"/>
      <c r="DA13" s="155"/>
      <c r="DB13" s="154">
        <f t="shared" si="50"/>
        <v>0</v>
      </c>
      <c r="DC13" s="154">
        <f t="shared" si="51"/>
        <v>3397</v>
      </c>
      <c r="DD13" s="154">
        <f t="shared" si="52"/>
        <v>21895</v>
      </c>
      <c r="DE13" s="6"/>
      <c r="DF13" s="172"/>
      <c r="DG13" s="6"/>
      <c r="DH13" s="24"/>
      <c r="DI13" s="24"/>
      <c r="DJ13" s="6"/>
      <c r="DK13" s="6"/>
      <c r="DL13" s="6"/>
    </row>
    <row r="14" ht="15.75" customHeight="1">
      <c r="A14" s="169" t="s">
        <v>79</v>
      </c>
      <c r="B14" s="125">
        <v>3710.0</v>
      </c>
      <c r="C14" s="154">
        <v>0.0</v>
      </c>
      <c r="D14" s="154">
        <v>0.0</v>
      </c>
      <c r="E14" s="154">
        <v>1.0</v>
      </c>
      <c r="F14" s="154">
        <v>1.0</v>
      </c>
      <c r="G14" s="154">
        <v>40.0</v>
      </c>
      <c r="H14" s="154">
        <f t="shared" si="18"/>
        <v>42</v>
      </c>
      <c r="I14" s="154">
        <v>318.0</v>
      </c>
      <c r="J14" s="154">
        <v>127.0</v>
      </c>
      <c r="K14" s="154">
        <v>102.0</v>
      </c>
      <c r="L14" s="156">
        <f t="shared" si="19"/>
        <v>547</v>
      </c>
      <c r="M14" s="154">
        <v>64.0</v>
      </c>
      <c r="N14" s="154">
        <v>18.0</v>
      </c>
      <c r="O14" s="154">
        <v>0.0</v>
      </c>
      <c r="P14" s="156">
        <f t="shared" si="20"/>
        <v>82</v>
      </c>
      <c r="Q14" s="154">
        <v>14.0</v>
      </c>
      <c r="R14" s="154">
        <v>99.0</v>
      </c>
      <c r="S14" s="154">
        <v>107.0</v>
      </c>
      <c r="T14" s="156">
        <f t="shared" si="21"/>
        <v>220</v>
      </c>
      <c r="U14" s="154">
        <v>42.0</v>
      </c>
      <c r="V14" s="154">
        <v>139.0</v>
      </c>
      <c r="W14" s="154">
        <v>89.0</v>
      </c>
      <c r="X14" s="156">
        <f t="shared" si="22"/>
        <v>270</v>
      </c>
      <c r="Y14" s="156">
        <f t="shared" si="23"/>
        <v>1119</v>
      </c>
      <c r="Z14" s="154">
        <v>73.0</v>
      </c>
      <c r="AA14" s="154">
        <v>505.0</v>
      </c>
      <c r="AB14" s="154">
        <v>1799.0</v>
      </c>
      <c r="AC14" s="156">
        <f t="shared" si="24"/>
        <v>2377</v>
      </c>
      <c r="AD14" s="154">
        <v>632.0</v>
      </c>
      <c r="AE14" s="154">
        <v>97.0</v>
      </c>
      <c r="AF14" s="154">
        <v>83.0</v>
      </c>
      <c r="AG14" s="156">
        <f t="shared" si="25"/>
        <v>812</v>
      </c>
      <c r="AH14" s="154">
        <v>468.0</v>
      </c>
      <c r="AI14" s="154">
        <v>804.0</v>
      </c>
      <c r="AJ14" s="154">
        <v>384.0</v>
      </c>
      <c r="AK14" s="156">
        <f t="shared" si="26"/>
        <v>1656</v>
      </c>
      <c r="AL14" s="154">
        <v>200.0</v>
      </c>
      <c r="AM14" s="154">
        <v>143.0</v>
      </c>
      <c r="AN14" s="154">
        <v>327.0</v>
      </c>
      <c r="AO14" s="156">
        <f t="shared" si="27"/>
        <v>670</v>
      </c>
      <c r="AP14" s="154">
        <f t="shared" si="28"/>
        <v>5515</v>
      </c>
      <c r="AQ14" s="154">
        <v>2579.0</v>
      </c>
      <c r="AR14" s="154">
        <v>872.0</v>
      </c>
      <c r="AS14" s="154">
        <v>3089.0</v>
      </c>
      <c r="AT14" s="154">
        <f t="shared" si="29"/>
        <v>6540</v>
      </c>
      <c r="AU14" s="154">
        <v>138.0</v>
      </c>
      <c r="AV14" s="154">
        <v>431.0</v>
      </c>
      <c r="AW14" s="154">
        <v>364.0</v>
      </c>
      <c r="AX14" s="154">
        <f t="shared" si="30"/>
        <v>933</v>
      </c>
      <c r="AY14" s="154">
        <v>92.0</v>
      </c>
      <c r="AZ14" s="154">
        <v>152.0</v>
      </c>
      <c r="BA14" s="154">
        <v>176.0</v>
      </c>
      <c r="BB14" s="154">
        <f t="shared" si="31"/>
        <v>420</v>
      </c>
      <c r="BC14" s="154">
        <v>241.0</v>
      </c>
      <c r="BD14" s="154">
        <v>98.0</v>
      </c>
      <c r="BE14" s="154">
        <v>185.0</v>
      </c>
      <c r="BF14" s="154">
        <f t="shared" si="32"/>
        <v>524</v>
      </c>
      <c r="BG14" s="154">
        <f t="shared" si="33"/>
        <v>8417</v>
      </c>
      <c r="BH14" s="154">
        <v>350.0</v>
      </c>
      <c r="BI14" s="154">
        <v>504.0</v>
      </c>
      <c r="BJ14" s="154">
        <v>292.0</v>
      </c>
      <c r="BK14" s="154">
        <f t="shared" si="34"/>
        <v>1146</v>
      </c>
      <c r="BL14" s="154">
        <v>91.0</v>
      </c>
      <c r="BM14" s="154">
        <v>278.0</v>
      </c>
      <c r="BN14" s="154">
        <v>29.0</v>
      </c>
      <c r="BO14" s="154">
        <f t="shared" si="35"/>
        <v>398</v>
      </c>
      <c r="BP14" s="154">
        <v>1343.0</v>
      </c>
      <c r="BQ14" s="154">
        <v>952.0</v>
      </c>
      <c r="BR14" s="154">
        <v>161.0</v>
      </c>
      <c r="BS14" s="154">
        <f t="shared" si="36"/>
        <v>2456</v>
      </c>
      <c r="BT14" s="154">
        <v>112.0</v>
      </c>
      <c r="BU14" s="154">
        <v>41.0</v>
      </c>
      <c r="BV14" s="154">
        <v>62.0</v>
      </c>
      <c r="BW14" s="154">
        <f t="shared" si="37"/>
        <v>215</v>
      </c>
      <c r="BX14" s="154">
        <f t="shared" si="38"/>
        <v>4215</v>
      </c>
      <c r="BY14" s="154">
        <v>191.0</v>
      </c>
      <c r="BZ14" s="154">
        <v>191.0</v>
      </c>
      <c r="CA14" s="154">
        <f t="shared" si="39"/>
        <v>0</v>
      </c>
      <c r="CB14" s="154">
        <v>212.0</v>
      </c>
      <c r="CC14" s="154">
        <v>212.0</v>
      </c>
      <c r="CD14" s="154">
        <f t="shared" si="40"/>
        <v>0</v>
      </c>
      <c r="CE14" s="154">
        <v>0.0</v>
      </c>
      <c r="CF14" s="154">
        <f>59</f>
        <v>59</v>
      </c>
      <c r="CG14" s="154">
        <f t="shared" si="41"/>
        <v>59</v>
      </c>
      <c r="CH14" s="154">
        <f>SUM(BY14:CE14)</f>
        <v>806</v>
      </c>
      <c r="CI14" s="154">
        <v>106.0</v>
      </c>
      <c r="CJ14" s="154">
        <f>37</f>
        <v>37</v>
      </c>
      <c r="CK14" s="154">
        <f t="shared" si="43"/>
        <v>-69</v>
      </c>
      <c r="CL14" s="154">
        <f t="shared" ref="CL14:CM14" si="53">210+12</f>
        <v>222</v>
      </c>
      <c r="CM14" s="154">
        <f t="shared" si="53"/>
        <v>222</v>
      </c>
      <c r="CN14" s="154">
        <f t="shared" si="44"/>
        <v>0</v>
      </c>
      <c r="CO14" s="154">
        <f t="shared" ref="CO14:CP14" si="54">180+13</f>
        <v>193</v>
      </c>
      <c r="CP14" s="154">
        <f t="shared" si="54"/>
        <v>193</v>
      </c>
      <c r="CQ14" s="154">
        <f t="shared" si="45"/>
        <v>0</v>
      </c>
      <c r="CR14" s="154">
        <f t="shared" si="46"/>
        <v>711</v>
      </c>
      <c r="CS14" s="154">
        <f>980+11</f>
        <v>991</v>
      </c>
      <c r="CT14" s="154">
        <f t="shared" si="47"/>
        <v>-10</v>
      </c>
      <c r="CU14" s="154">
        <f t="shared" si="48"/>
        <v>981</v>
      </c>
      <c r="CV14" s="154"/>
      <c r="CW14" s="154"/>
      <c r="CX14" s="154">
        <f t="shared" si="49"/>
        <v>1962</v>
      </c>
      <c r="CY14" s="154"/>
      <c r="CZ14" s="154"/>
      <c r="DA14" s="154"/>
      <c r="DB14" s="154">
        <f t="shared" si="50"/>
        <v>0</v>
      </c>
      <c r="DC14" s="154">
        <f t="shared" si="51"/>
        <v>3479</v>
      </c>
      <c r="DD14" s="154">
        <f t="shared" si="52"/>
        <v>26497</v>
      </c>
      <c r="DE14" s="6"/>
      <c r="DF14" s="172"/>
      <c r="DG14" s="6"/>
      <c r="DH14" s="24"/>
      <c r="DI14" s="24"/>
      <c r="DJ14" s="6"/>
      <c r="DK14" s="6"/>
      <c r="DL14" s="6"/>
    </row>
    <row r="15" ht="15.75" customHeight="1">
      <c r="A15" s="167" t="s">
        <v>81</v>
      </c>
      <c r="B15" s="125">
        <v>0.0</v>
      </c>
      <c r="C15" s="154">
        <v>0.0</v>
      </c>
      <c r="D15" s="154">
        <v>0.0</v>
      </c>
      <c r="E15" s="154">
        <v>0.0</v>
      </c>
      <c r="F15" s="154">
        <v>0.0</v>
      </c>
      <c r="G15" s="154">
        <v>8.0</v>
      </c>
      <c r="H15" s="154">
        <f t="shared" si="18"/>
        <v>8</v>
      </c>
      <c r="I15" s="154">
        <v>69.0</v>
      </c>
      <c r="J15" s="154">
        <v>249.0</v>
      </c>
      <c r="K15" s="154">
        <v>70.0</v>
      </c>
      <c r="L15" s="156">
        <f t="shared" si="19"/>
        <v>388</v>
      </c>
      <c r="M15" s="154">
        <v>42.0</v>
      </c>
      <c r="N15" s="154">
        <v>17.0</v>
      </c>
      <c r="O15" s="154">
        <v>0.0</v>
      </c>
      <c r="P15" s="156">
        <f t="shared" si="20"/>
        <v>59</v>
      </c>
      <c r="Q15" s="154">
        <v>10.0</v>
      </c>
      <c r="R15" s="154">
        <v>95.0</v>
      </c>
      <c r="S15" s="154">
        <v>49.0</v>
      </c>
      <c r="T15" s="156">
        <f t="shared" si="21"/>
        <v>154</v>
      </c>
      <c r="U15" s="154">
        <v>21.0</v>
      </c>
      <c r="V15" s="154">
        <v>81.0</v>
      </c>
      <c r="W15" s="154">
        <v>50.0</v>
      </c>
      <c r="X15" s="156">
        <f t="shared" si="22"/>
        <v>152</v>
      </c>
      <c r="Y15" s="156">
        <f t="shared" si="23"/>
        <v>753</v>
      </c>
      <c r="Z15" s="154">
        <v>46.0</v>
      </c>
      <c r="AA15" s="154">
        <v>279.0</v>
      </c>
      <c r="AB15" s="154">
        <v>70.0</v>
      </c>
      <c r="AC15" s="156">
        <f t="shared" si="24"/>
        <v>395</v>
      </c>
      <c r="AD15" s="154">
        <v>92.0</v>
      </c>
      <c r="AE15" s="154">
        <v>115.0</v>
      </c>
      <c r="AF15" s="154">
        <v>54.0</v>
      </c>
      <c r="AG15" s="156">
        <f t="shared" si="25"/>
        <v>261</v>
      </c>
      <c r="AH15" s="154">
        <v>365.0</v>
      </c>
      <c r="AI15" s="154">
        <v>354.0</v>
      </c>
      <c r="AJ15" s="154">
        <v>566.0</v>
      </c>
      <c r="AK15" s="156">
        <f t="shared" si="26"/>
        <v>1285</v>
      </c>
      <c r="AL15" s="154">
        <v>1130.0</v>
      </c>
      <c r="AM15" s="154">
        <v>1321.0</v>
      </c>
      <c r="AN15" s="154">
        <v>1239.0</v>
      </c>
      <c r="AO15" s="156">
        <f t="shared" si="27"/>
        <v>3690</v>
      </c>
      <c r="AP15" s="154">
        <f t="shared" si="28"/>
        <v>5631</v>
      </c>
      <c r="AQ15" s="154">
        <v>1051.0</v>
      </c>
      <c r="AR15" s="154">
        <v>469.0</v>
      </c>
      <c r="AS15" s="154">
        <v>1227.0</v>
      </c>
      <c r="AT15" s="154">
        <f t="shared" si="29"/>
        <v>2747</v>
      </c>
      <c r="AU15" s="154">
        <v>126.0</v>
      </c>
      <c r="AV15" s="154">
        <v>71.0</v>
      </c>
      <c r="AW15" s="154">
        <v>29.0</v>
      </c>
      <c r="AX15" s="154">
        <f t="shared" si="30"/>
        <v>226</v>
      </c>
      <c r="AY15" s="154">
        <v>109.0</v>
      </c>
      <c r="AZ15" s="154">
        <v>108.0</v>
      </c>
      <c r="BA15" s="154">
        <v>50.0</v>
      </c>
      <c r="BB15" s="154">
        <f t="shared" si="31"/>
        <v>267</v>
      </c>
      <c r="BC15" s="154">
        <v>210.0</v>
      </c>
      <c r="BD15" s="154">
        <v>26.0</v>
      </c>
      <c r="BE15" s="154">
        <v>39.0</v>
      </c>
      <c r="BF15" s="154">
        <f t="shared" si="32"/>
        <v>275</v>
      </c>
      <c r="BG15" s="154">
        <f t="shared" si="33"/>
        <v>3515</v>
      </c>
      <c r="BH15" s="154">
        <v>188.0</v>
      </c>
      <c r="BI15" s="154">
        <v>123.0</v>
      </c>
      <c r="BJ15" s="154">
        <v>161.0</v>
      </c>
      <c r="BK15" s="154">
        <f t="shared" si="34"/>
        <v>472</v>
      </c>
      <c r="BL15" s="154">
        <v>187.0</v>
      </c>
      <c r="BM15" s="154">
        <v>901.0</v>
      </c>
      <c r="BN15" s="154">
        <v>0.0</v>
      </c>
      <c r="BO15" s="154">
        <f t="shared" si="35"/>
        <v>1088</v>
      </c>
      <c r="BP15" s="154">
        <v>1062.0</v>
      </c>
      <c r="BQ15" s="154">
        <v>461.0</v>
      </c>
      <c r="BR15" s="154">
        <v>514.0</v>
      </c>
      <c r="BS15" s="154">
        <f t="shared" si="36"/>
        <v>2037</v>
      </c>
      <c r="BT15" s="154">
        <v>486.0</v>
      </c>
      <c r="BU15" s="154">
        <v>241.0</v>
      </c>
      <c r="BV15" s="154">
        <v>241.0</v>
      </c>
      <c r="BW15" s="154">
        <f t="shared" si="37"/>
        <v>968</v>
      </c>
      <c r="BX15" s="154">
        <f t="shared" si="38"/>
        <v>4565</v>
      </c>
      <c r="BY15" s="154">
        <v>545.0</v>
      </c>
      <c r="BZ15" s="154">
        <v>545.0</v>
      </c>
      <c r="CA15" s="154">
        <f t="shared" si="39"/>
        <v>0</v>
      </c>
      <c r="CB15" s="154">
        <v>280.0</v>
      </c>
      <c r="CC15" s="154">
        <v>280.0</v>
      </c>
      <c r="CD15" s="154">
        <f t="shared" si="40"/>
        <v>0</v>
      </c>
      <c r="CE15" s="154">
        <v>12.0</v>
      </c>
      <c r="CF15" s="154">
        <v>521.0</v>
      </c>
      <c r="CG15" s="154">
        <f t="shared" si="41"/>
        <v>509</v>
      </c>
      <c r="CH15" s="154">
        <f t="shared" ref="CH15:CH17" si="55">SUM(BY15:CF15)</f>
        <v>2183</v>
      </c>
      <c r="CI15" s="154">
        <v>742.0</v>
      </c>
      <c r="CJ15" s="154">
        <v>228.0</v>
      </c>
      <c r="CK15" s="154">
        <f t="shared" si="43"/>
        <v>-514</v>
      </c>
      <c r="CL15" s="154">
        <v>1420.0</v>
      </c>
      <c r="CM15" s="154">
        <v>1420.0</v>
      </c>
      <c r="CN15" s="154">
        <f t="shared" si="44"/>
        <v>0</v>
      </c>
      <c r="CO15" s="154">
        <v>408.0</v>
      </c>
      <c r="CP15" s="154">
        <v>409.0</v>
      </c>
      <c r="CQ15" s="154">
        <f t="shared" si="45"/>
        <v>1</v>
      </c>
      <c r="CR15" s="154">
        <f t="shared" si="46"/>
        <v>3704</v>
      </c>
      <c r="CS15" s="154">
        <v>801.0</v>
      </c>
      <c r="CT15" s="154">
        <f t="shared" si="47"/>
        <v>-4</v>
      </c>
      <c r="CU15" s="154">
        <f t="shared" si="48"/>
        <v>797</v>
      </c>
      <c r="CV15" s="154"/>
      <c r="CW15" s="154"/>
      <c r="CX15" s="154">
        <f t="shared" si="49"/>
        <v>1594</v>
      </c>
      <c r="CY15" s="154"/>
      <c r="CZ15" s="154"/>
      <c r="DA15" s="154"/>
      <c r="DB15" s="154">
        <f t="shared" si="50"/>
        <v>0</v>
      </c>
      <c r="DC15" s="154">
        <f t="shared" si="51"/>
        <v>7481</v>
      </c>
      <c r="DD15" s="154">
        <f t="shared" si="52"/>
        <v>21953</v>
      </c>
      <c r="DE15" s="6"/>
      <c r="DF15" s="172"/>
      <c r="DG15" s="6"/>
      <c r="DH15" s="24"/>
      <c r="DI15" s="24"/>
      <c r="DJ15" s="6"/>
      <c r="DK15" s="6"/>
      <c r="DL15" s="6"/>
    </row>
    <row r="16" ht="15.75" customHeight="1">
      <c r="A16" s="167" t="s">
        <v>85</v>
      </c>
      <c r="B16" s="125">
        <v>5685.0</v>
      </c>
      <c r="C16" s="154">
        <v>0.0</v>
      </c>
      <c r="D16" s="154">
        <v>0.0</v>
      </c>
      <c r="E16" s="154">
        <v>0.0</v>
      </c>
      <c r="F16" s="154">
        <v>0.0</v>
      </c>
      <c r="G16" s="154">
        <v>0.0</v>
      </c>
      <c r="H16" s="154">
        <f t="shared" si="18"/>
        <v>0</v>
      </c>
      <c r="I16" s="154">
        <v>91.0</v>
      </c>
      <c r="J16" s="154">
        <v>393.0</v>
      </c>
      <c r="K16" s="154">
        <v>26.0</v>
      </c>
      <c r="L16" s="156">
        <f t="shared" si="19"/>
        <v>510</v>
      </c>
      <c r="M16" s="154">
        <v>28.0</v>
      </c>
      <c r="N16" s="154">
        <v>5.0</v>
      </c>
      <c r="O16" s="154">
        <v>0.0</v>
      </c>
      <c r="P16" s="156">
        <f t="shared" si="20"/>
        <v>33</v>
      </c>
      <c r="Q16" s="154">
        <v>44.0</v>
      </c>
      <c r="R16" s="154">
        <v>235.0</v>
      </c>
      <c r="S16" s="154">
        <v>121.0</v>
      </c>
      <c r="T16" s="156">
        <f t="shared" si="21"/>
        <v>400</v>
      </c>
      <c r="U16" s="154">
        <v>151.0</v>
      </c>
      <c r="V16" s="154">
        <v>65.0</v>
      </c>
      <c r="W16" s="154">
        <v>94.0</v>
      </c>
      <c r="X16" s="156">
        <f t="shared" si="22"/>
        <v>310</v>
      </c>
      <c r="Y16" s="156">
        <f t="shared" si="23"/>
        <v>1253</v>
      </c>
      <c r="Z16" s="154">
        <v>698.0</v>
      </c>
      <c r="AA16" s="154">
        <v>423.0</v>
      </c>
      <c r="AB16" s="154">
        <v>3453.0</v>
      </c>
      <c r="AC16" s="156">
        <f t="shared" si="24"/>
        <v>4574</v>
      </c>
      <c r="AD16" s="154">
        <v>313.0</v>
      </c>
      <c r="AE16" s="154">
        <v>695.0</v>
      </c>
      <c r="AF16" s="154">
        <v>665.0</v>
      </c>
      <c r="AG16" s="156">
        <f t="shared" si="25"/>
        <v>1673</v>
      </c>
      <c r="AH16" s="154">
        <v>369.0</v>
      </c>
      <c r="AI16" s="154">
        <v>704.0</v>
      </c>
      <c r="AJ16" s="154">
        <v>1538.0</v>
      </c>
      <c r="AK16" s="156">
        <f t="shared" si="26"/>
        <v>2611</v>
      </c>
      <c r="AL16" s="154">
        <v>365.0</v>
      </c>
      <c r="AM16" s="154">
        <v>1203.0</v>
      </c>
      <c r="AN16" s="154">
        <v>1573.0</v>
      </c>
      <c r="AO16" s="156">
        <f t="shared" si="27"/>
        <v>3141</v>
      </c>
      <c r="AP16" s="154">
        <f t="shared" si="28"/>
        <v>11999</v>
      </c>
      <c r="AQ16" s="154">
        <v>1330.0</v>
      </c>
      <c r="AR16" s="154">
        <v>596.0</v>
      </c>
      <c r="AS16" s="154">
        <v>1777.0</v>
      </c>
      <c r="AT16" s="154">
        <f t="shared" si="29"/>
        <v>3703</v>
      </c>
      <c r="AU16" s="154">
        <v>122.0</v>
      </c>
      <c r="AV16" s="154">
        <v>1262.0</v>
      </c>
      <c r="AW16" s="154">
        <v>484.0</v>
      </c>
      <c r="AX16" s="154">
        <f t="shared" si="30"/>
        <v>1868</v>
      </c>
      <c r="AY16" s="154">
        <v>173.0</v>
      </c>
      <c r="AZ16" s="154">
        <v>99.0</v>
      </c>
      <c r="BA16" s="154">
        <v>35.0</v>
      </c>
      <c r="BB16" s="154">
        <f t="shared" si="31"/>
        <v>307</v>
      </c>
      <c r="BC16" s="154">
        <v>297.0</v>
      </c>
      <c r="BD16" s="154">
        <v>388.0</v>
      </c>
      <c r="BE16" s="154">
        <v>174.0</v>
      </c>
      <c r="BF16" s="154">
        <f t="shared" si="32"/>
        <v>859</v>
      </c>
      <c r="BG16" s="154">
        <f t="shared" si="33"/>
        <v>6737</v>
      </c>
      <c r="BH16" s="154">
        <v>503.0</v>
      </c>
      <c r="BI16" s="154">
        <v>185.0</v>
      </c>
      <c r="BJ16" s="154">
        <v>17.0</v>
      </c>
      <c r="BK16" s="154">
        <f t="shared" si="34"/>
        <v>705</v>
      </c>
      <c r="BL16" s="154">
        <v>167.0</v>
      </c>
      <c r="BM16" s="154">
        <v>1047.0</v>
      </c>
      <c r="BN16" s="154">
        <v>650.0</v>
      </c>
      <c r="BO16" s="154">
        <f t="shared" si="35"/>
        <v>1864</v>
      </c>
      <c r="BP16" s="154">
        <v>967.0</v>
      </c>
      <c r="BQ16" s="154">
        <v>163.0</v>
      </c>
      <c r="BR16" s="154">
        <v>557.0</v>
      </c>
      <c r="BS16" s="154">
        <f t="shared" si="36"/>
        <v>1687</v>
      </c>
      <c r="BT16" s="154">
        <v>667.0</v>
      </c>
      <c r="BU16" s="154">
        <v>452.0</v>
      </c>
      <c r="BV16" s="154">
        <v>133.0</v>
      </c>
      <c r="BW16" s="154">
        <f t="shared" si="37"/>
        <v>1252</v>
      </c>
      <c r="BX16" s="154">
        <f t="shared" si="38"/>
        <v>5508</v>
      </c>
      <c r="BY16" s="154">
        <v>774.0</v>
      </c>
      <c r="BZ16" s="154">
        <v>774.0</v>
      </c>
      <c r="CA16" s="154">
        <f t="shared" si="39"/>
        <v>0</v>
      </c>
      <c r="CB16" s="154">
        <v>509.0</v>
      </c>
      <c r="CC16" s="154">
        <v>509.0</v>
      </c>
      <c r="CD16" s="154">
        <f t="shared" si="40"/>
        <v>0</v>
      </c>
      <c r="CE16" s="154">
        <v>27.0</v>
      </c>
      <c r="CF16" s="154">
        <v>429.0</v>
      </c>
      <c r="CG16" s="154">
        <f t="shared" si="41"/>
        <v>402</v>
      </c>
      <c r="CH16" s="154">
        <f t="shared" si="55"/>
        <v>3022</v>
      </c>
      <c r="CI16" s="154">
        <v>643.0</v>
      </c>
      <c r="CJ16" s="154">
        <v>316.0</v>
      </c>
      <c r="CK16" s="154">
        <f t="shared" si="43"/>
        <v>-327</v>
      </c>
      <c r="CL16" s="154">
        <v>571.0</v>
      </c>
      <c r="CM16" s="154">
        <v>571.0</v>
      </c>
      <c r="CN16" s="154">
        <f t="shared" si="44"/>
        <v>0</v>
      </c>
      <c r="CO16" s="154">
        <v>1357.0</v>
      </c>
      <c r="CP16" s="154">
        <v>1357.0</v>
      </c>
      <c r="CQ16" s="154">
        <f t="shared" si="45"/>
        <v>0</v>
      </c>
      <c r="CR16" s="154">
        <f t="shared" si="46"/>
        <v>3131</v>
      </c>
      <c r="CS16" s="154">
        <v>338.0</v>
      </c>
      <c r="CT16" s="154">
        <f t="shared" si="47"/>
        <v>75</v>
      </c>
      <c r="CU16" s="154">
        <f t="shared" si="48"/>
        <v>413</v>
      </c>
      <c r="CV16" s="154"/>
      <c r="CW16" s="154"/>
      <c r="CX16" s="154">
        <f t="shared" si="49"/>
        <v>826</v>
      </c>
      <c r="CY16" s="154"/>
      <c r="CZ16" s="154"/>
      <c r="DA16" s="154"/>
      <c r="DB16" s="154">
        <f t="shared" si="50"/>
        <v>0</v>
      </c>
      <c r="DC16" s="154">
        <f t="shared" si="51"/>
        <v>6979</v>
      </c>
      <c r="DD16" s="154">
        <f t="shared" si="52"/>
        <v>38161</v>
      </c>
      <c r="DE16" s="6"/>
      <c r="DF16" s="172"/>
      <c r="DG16" s="6"/>
      <c r="DH16" s="24"/>
      <c r="DI16" s="24"/>
      <c r="DJ16" s="6"/>
      <c r="DK16" s="6"/>
      <c r="DL16" s="6"/>
    </row>
    <row r="17" ht="15.75" customHeight="1">
      <c r="A17" s="167" t="s">
        <v>86</v>
      </c>
      <c r="B17" s="125">
        <v>0.0</v>
      </c>
      <c r="C17" s="154">
        <v>0.0</v>
      </c>
      <c r="D17" s="154">
        <v>0.0</v>
      </c>
      <c r="E17" s="154">
        <v>0.0</v>
      </c>
      <c r="F17" s="154">
        <v>0.0</v>
      </c>
      <c r="G17" s="154">
        <v>23.0</v>
      </c>
      <c r="H17" s="154">
        <f t="shared" si="18"/>
        <v>23</v>
      </c>
      <c r="I17" s="154">
        <v>245.0</v>
      </c>
      <c r="J17" s="154">
        <v>574.0</v>
      </c>
      <c r="K17" s="154">
        <v>137.0</v>
      </c>
      <c r="L17" s="156">
        <f t="shared" si="19"/>
        <v>956</v>
      </c>
      <c r="M17" s="154">
        <v>125.0</v>
      </c>
      <c r="N17" s="154">
        <v>18.0</v>
      </c>
      <c r="O17" s="154">
        <v>0.0</v>
      </c>
      <c r="P17" s="156">
        <f t="shared" si="20"/>
        <v>143</v>
      </c>
      <c r="Q17" s="154">
        <v>9.0</v>
      </c>
      <c r="R17" s="154">
        <v>63.0</v>
      </c>
      <c r="S17" s="154">
        <v>30.0</v>
      </c>
      <c r="T17" s="156">
        <f t="shared" si="21"/>
        <v>102</v>
      </c>
      <c r="U17" s="154">
        <v>48.0</v>
      </c>
      <c r="V17" s="154">
        <v>45.0</v>
      </c>
      <c r="W17" s="154">
        <v>57.0</v>
      </c>
      <c r="X17" s="156">
        <f t="shared" si="22"/>
        <v>150</v>
      </c>
      <c r="Y17" s="156">
        <f t="shared" si="23"/>
        <v>1351</v>
      </c>
      <c r="Z17" s="154">
        <v>58.0</v>
      </c>
      <c r="AA17" s="154">
        <v>603.0</v>
      </c>
      <c r="AB17" s="154">
        <v>198.0</v>
      </c>
      <c r="AC17" s="156">
        <f t="shared" si="24"/>
        <v>859</v>
      </c>
      <c r="AD17" s="154">
        <v>1029.0</v>
      </c>
      <c r="AE17" s="154">
        <v>401.0</v>
      </c>
      <c r="AF17" s="154">
        <v>704.0</v>
      </c>
      <c r="AG17" s="156">
        <f t="shared" si="25"/>
        <v>2134</v>
      </c>
      <c r="AH17" s="154">
        <v>459.0</v>
      </c>
      <c r="AI17" s="154">
        <v>1648.0</v>
      </c>
      <c r="AJ17" s="154">
        <v>3417.0</v>
      </c>
      <c r="AK17" s="156">
        <f t="shared" si="26"/>
        <v>5524</v>
      </c>
      <c r="AL17" s="154">
        <v>437.0</v>
      </c>
      <c r="AM17" s="154">
        <v>533.0</v>
      </c>
      <c r="AN17" s="154">
        <v>696.0</v>
      </c>
      <c r="AO17" s="156">
        <f t="shared" si="27"/>
        <v>1666</v>
      </c>
      <c r="AP17" s="154">
        <f t="shared" si="28"/>
        <v>10183</v>
      </c>
      <c r="AQ17" s="154">
        <v>1761.0</v>
      </c>
      <c r="AR17" s="154">
        <v>372.0</v>
      </c>
      <c r="AS17" s="154">
        <v>2280.0</v>
      </c>
      <c r="AT17" s="154">
        <f t="shared" si="29"/>
        <v>4413</v>
      </c>
      <c r="AU17" s="154">
        <v>184.0</v>
      </c>
      <c r="AV17" s="154">
        <v>377.0</v>
      </c>
      <c r="AW17" s="154">
        <v>543.0</v>
      </c>
      <c r="AX17" s="154">
        <f t="shared" si="30"/>
        <v>1104</v>
      </c>
      <c r="AY17" s="154">
        <v>142.0</v>
      </c>
      <c r="AZ17" s="154">
        <v>452.0</v>
      </c>
      <c r="BA17" s="154">
        <v>245.0</v>
      </c>
      <c r="BB17" s="154">
        <f t="shared" si="31"/>
        <v>839</v>
      </c>
      <c r="BC17" s="154">
        <v>64.0</v>
      </c>
      <c r="BD17" s="154">
        <v>90.0</v>
      </c>
      <c r="BE17" s="154">
        <v>90.0</v>
      </c>
      <c r="BF17" s="154">
        <f t="shared" si="32"/>
        <v>244</v>
      </c>
      <c r="BG17" s="154">
        <f t="shared" si="33"/>
        <v>6600</v>
      </c>
      <c r="BH17" s="154">
        <v>539.0</v>
      </c>
      <c r="BI17" s="154">
        <v>982.0</v>
      </c>
      <c r="BJ17" s="154">
        <v>293.0</v>
      </c>
      <c r="BK17" s="154">
        <f t="shared" si="34"/>
        <v>1814</v>
      </c>
      <c r="BL17" s="154">
        <v>409.0</v>
      </c>
      <c r="BM17" s="154">
        <v>1061.0</v>
      </c>
      <c r="BN17" s="154">
        <v>627.0</v>
      </c>
      <c r="BO17" s="154">
        <f t="shared" si="35"/>
        <v>2097</v>
      </c>
      <c r="BP17" s="154">
        <v>832.0</v>
      </c>
      <c r="BQ17" s="154">
        <v>622.0</v>
      </c>
      <c r="BR17" s="154">
        <v>321.0</v>
      </c>
      <c r="BS17" s="154">
        <f t="shared" si="36"/>
        <v>1775</v>
      </c>
      <c r="BT17" s="154">
        <v>311.0</v>
      </c>
      <c r="BU17" s="154">
        <v>433.0</v>
      </c>
      <c r="BV17" s="154">
        <v>94.0</v>
      </c>
      <c r="BW17" s="154">
        <f t="shared" si="37"/>
        <v>838</v>
      </c>
      <c r="BX17" s="154">
        <f t="shared" si="38"/>
        <v>6524</v>
      </c>
      <c r="BY17" s="154">
        <v>480.0</v>
      </c>
      <c r="BZ17" s="154">
        <v>480.0</v>
      </c>
      <c r="CA17" s="154">
        <f t="shared" si="39"/>
        <v>0</v>
      </c>
      <c r="CB17" s="154">
        <v>254.0</v>
      </c>
      <c r="CC17" s="154">
        <v>254.0</v>
      </c>
      <c r="CD17" s="154">
        <f t="shared" si="40"/>
        <v>0</v>
      </c>
      <c r="CE17" s="154">
        <v>1.0</v>
      </c>
      <c r="CF17" s="154">
        <v>148.0</v>
      </c>
      <c r="CG17" s="154">
        <f t="shared" si="41"/>
        <v>147</v>
      </c>
      <c r="CH17" s="154">
        <f t="shared" si="55"/>
        <v>1617</v>
      </c>
      <c r="CI17" s="154">
        <v>0.0</v>
      </c>
      <c r="CJ17" s="154">
        <v>128.0</v>
      </c>
      <c r="CK17" s="154">
        <f t="shared" si="43"/>
        <v>128</v>
      </c>
      <c r="CL17" s="154">
        <f>259+203</f>
        <v>462</v>
      </c>
      <c r="CM17" s="154">
        <v>259.0</v>
      </c>
      <c r="CN17" s="154">
        <f t="shared" si="44"/>
        <v>-203</v>
      </c>
      <c r="CO17" s="154">
        <v>185.0</v>
      </c>
      <c r="CP17" s="154">
        <v>185.0</v>
      </c>
      <c r="CQ17" s="154">
        <f t="shared" si="45"/>
        <v>0</v>
      </c>
      <c r="CR17" s="154">
        <f t="shared" si="46"/>
        <v>959</v>
      </c>
      <c r="CS17" s="154">
        <v>493.0</v>
      </c>
      <c r="CT17" s="154">
        <f t="shared" si="47"/>
        <v>72</v>
      </c>
      <c r="CU17" s="154">
        <f t="shared" si="48"/>
        <v>565</v>
      </c>
      <c r="CV17" s="154"/>
      <c r="CW17" s="154"/>
      <c r="CX17" s="154">
        <f t="shared" si="49"/>
        <v>1130</v>
      </c>
      <c r="CY17" s="154"/>
      <c r="CZ17" s="154"/>
      <c r="DA17" s="154"/>
      <c r="DB17" s="154">
        <f t="shared" si="50"/>
        <v>0</v>
      </c>
      <c r="DC17" s="154">
        <f t="shared" si="51"/>
        <v>3706</v>
      </c>
      <c r="DD17" s="154">
        <f t="shared" si="52"/>
        <v>28387</v>
      </c>
      <c r="DE17" s="6"/>
      <c r="DF17" s="172"/>
      <c r="DG17" s="6"/>
      <c r="DH17" s="24"/>
      <c r="DI17" s="24"/>
      <c r="DJ17" s="6"/>
      <c r="DK17" s="6"/>
      <c r="DL17" s="6"/>
    </row>
    <row r="18" ht="15.75" customHeight="1">
      <c r="A18" s="137" t="s">
        <v>87</v>
      </c>
      <c r="B18" s="141">
        <f t="shared" ref="B18:DD18" si="56">SUM(B19:B22)</f>
        <v>697</v>
      </c>
      <c r="C18" s="141">
        <f t="shared" si="56"/>
        <v>0</v>
      </c>
      <c r="D18" s="141">
        <f t="shared" si="56"/>
        <v>0</v>
      </c>
      <c r="E18" s="141">
        <f t="shared" si="56"/>
        <v>0</v>
      </c>
      <c r="F18" s="141">
        <f t="shared" si="56"/>
        <v>58</v>
      </c>
      <c r="G18" s="141">
        <f t="shared" si="56"/>
        <v>1133</v>
      </c>
      <c r="H18" s="141">
        <f t="shared" si="56"/>
        <v>1191</v>
      </c>
      <c r="I18" s="141">
        <f t="shared" si="56"/>
        <v>1457</v>
      </c>
      <c r="J18" s="141">
        <f t="shared" si="56"/>
        <v>6671</v>
      </c>
      <c r="K18" s="141">
        <f t="shared" si="56"/>
        <v>3135</v>
      </c>
      <c r="L18" s="141">
        <f t="shared" si="56"/>
        <v>11263</v>
      </c>
      <c r="M18" s="141">
        <f t="shared" si="56"/>
        <v>2082</v>
      </c>
      <c r="N18" s="141">
        <f t="shared" si="56"/>
        <v>865</v>
      </c>
      <c r="O18" s="141">
        <f t="shared" si="56"/>
        <v>0</v>
      </c>
      <c r="P18" s="141">
        <f t="shared" si="56"/>
        <v>2947</v>
      </c>
      <c r="Q18" s="141">
        <f t="shared" si="56"/>
        <v>400</v>
      </c>
      <c r="R18" s="141">
        <f t="shared" si="56"/>
        <v>4748</v>
      </c>
      <c r="S18" s="141">
        <f t="shared" si="56"/>
        <v>7211</v>
      </c>
      <c r="T18" s="141">
        <f t="shared" si="56"/>
        <v>12359</v>
      </c>
      <c r="U18" s="141">
        <f t="shared" si="56"/>
        <v>3520</v>
      </c>
      <c r="V18" s="141">
        <f t="shared" si="56"/>
        <v>1372</v>
      </c>
      <c r="W18" s="141">
        <f t="shared" si="56"/>
        <v>1084</v>
      </c>
      <c r="X18" s="141">
        <f t="shared" si="56"/>
        <v>5976</v>
      </c>
      <c r="Y18" s="141">
        <f t="shared" si="56"/>
        <v>32545</v>
      </c>
      <c r="Z18" s="141">
        <f t="shared" si="56"/>
        <v>1516</v>
      </c>
      <c r="AA18" s="141">
        <f t="shared" si="56"/>
        <v>3061</v>
      </c>
      <c r="AB18" s="141">
        <f t="shared" si="56"/>
        <v>16478</v>
      </c>
      <c r="AC18" s="141">
        <f t="shared" si="56"/>
        <v>21055</v>
      </c>
      <c r="AD18" s="141">
        <f t="shared" si="56"/>
        <v>4508</v>
      </c>
      <c r="AE18" s="141">
        <f t="shared" si="56"/>
        <v>1648</v>
      </c>
      <c r="AF18" s="141">
        <f t="shared" si="56"/>
        <v>2838</v>
      </c>
      <c r="AG18" s="141">
        <f t="shared" si="56"/>
        <v>8994</v>
      </c>
      <c r="AH18" s="141">
        <f t="shared" si="56"/>
        <v>1694</v>
      </c>
      <c r="AI18" s="141">
        <f t="shared" si="56"/>
        <v>1923</v>
      </c>
      <c r="AJ18" s="141">
        <f t="shared" si="56"/>
        <v>2699</v>
      </c>
      <c r="AK18" s="141">
        <f t="shared" si="56"/>
        <v>6316</v>
      </c>
      <c r="AL18" s="141">
        <f t="shared" si="56"/>
        <v>3260</v>
      </c>
      <c r="AM18" s="141">
        <f t="shared" si="56"/>
        <v>1286</v>
      </c>
      <c r="AN18" s="141">
        <f t="shared" si="56"/>
        <v>1559</v>
      </c>
      <c r="AO18" s="141">
        <f t="shared" si="56"/>
        <v>6105</v>
      </c>
      <c r="AP18" s="141">
        <f t="shared" si="56"/>
        <v>42470</v>
      </c>
      <c r="AQ18" s="141">
        <f t="shared" si="56"/>
        <v>1670</v>
      </c>
      <c r="AR18" s="141">
        <f t="shared" si="56"/>
        <v>1895</v>
      </c>
      <c r="AS18" s="141">
        <f t="shared" si="56"/>
        <v>2653</v>
      </c>
      <c r="AT18" s="141">
        <f t="shared" si="56"/>
        <v>6218</v>
      </c>
      <c r="AU18" s="141">
        <f t="shared" si="56"/>
        <v>2578</v>
      </c>
      <c r="AV18" s="141">
        <f t="shared" si="56"/>
        <v>1301</v>
      </c>
      <c r="AW18" s="141">
        <f t="shared" si="56"/>
        <v>554</v>
      </c>
      <c r="AX18" s="141">
        <f t="shared" si="56"/>
        <v>4433</v>
      </c>
      <c r="AY18" s="141">
        <f t="shared" si="56"/>
        <v>1518</v>
      </c>
      <c r="AZ18" s="141">
        <f t="shared" si="56"/>
        <v>2847</v>
      </c>
      <c r="BA18" s="141">
        <f t="shared" si="56"/>
        <v>1896</v>
      </c>
      <c r="BB18" s="141">
        <f t="shared" si="56"/>
        <v>6261</v>
      </c>
      <c r="BC18" s="141">
        <f t="shared" si="56"/>
        <v>1943</v>
      </c>
      <c r="BD18" s="141">
        <f t="shared" si="56"/>
        <v>4122</v>
      </c>
      <c r="BE18" s="141">
        <f t="shared" si="56"/>
        <v>3204</v>
      </c>
      <c r="BF18" s="141">
        <f t="shared" si="56"/>
        <v>9269</v>
      </c>
      <c r="BG18" s="141">
        <f t="shared" si="56"/>
        <v>26181</v>
      </c>
      <c r="BH18" s="141">
        <f t="shared" si="56"/>
        <v>3175</v>
      </c>
      <c r="BI18" s="141">
        <f t="shared" si="56"/>
        <v>2970</v>
      </c>
      <c r="BJ18" s="141">
        <f t="shared" si="56"/>
        <v>3848</v>
      </c>
      <c r="BK18" s="141">
        <f t="shared" si="56"/>
        <v>9993</v>
      </c>
      <c r="BL18" s="141">
        <f t="shared" si="56"/>
        <v>4513</v>
      </c>
      <c r="BM18" s="141">
        <f t="shared" si="56"/>
        <v>5597</v>
      </c>
      <c r="BN18" s="141">
        <f t="shared" si="56"/>
        <v>3730</v>
      </c>
      <c r="BO18" s="141">
        <f t="shared" si="56"/>
        <v>13840</v>
      </c>
      <c r="BP18" s="141">
        <f t="shared" si="56"/>
        <v>4527</v>
      </c>
      <c r="BQ18" s="141">
        <f t="shared" si="56"/>
        <v>3377</v>
      </c>
      <c r="BR18" s="141">
        <f t="shared" si="56"/>
        <v>3438</v>
      </c>
      <c r="BS18" s="141">
        <f t="shared" si="56"/>
        <v>11342</v>
      </c>
      <c r="BT18" s="141">
        <f t="shared" si="56"/>
        <v>5013</v>
      </c>
      <c r="BU18" s="141">
        <f t="shared" si="56"/>
        <v>4566</v>
      </c>
      <c r="BV18" s="141">
        <f t="shared" si="56"/>
        <v>5830</v>
      </c>
      <c r="BW18" s="141">
        <f t="shared" si="56"/>
        <v>15409</v>
      </c>
      <c r="BX18" s="141">
        <f t="shared" si="56"/>
        <v>50584</v>
      </c>
      <c r="BY18" s="141">
        <f t="shared" si="56"/>
        <v>2631</v>
      </c>
      <c r="BZ18" s="141">
        <f t="shared" si="56"/>
        <v>2631</v>
      </c>
      <c r="CA18" s="141">
        <f t="shared" si="56"/>
        <v>0</v>
      </c>
      <c r="CB18" s="141">
        <f t="shared" si="56"/>
        <v>2497</v>
      </c>
      <c r="CC18" s="141">
        <f t="shared" si="56"/>
        <v>2497</v>
      </c>
      <c r="CD18" s="141">
        <f t="shared" si="56"/>
        <v>0</v>
      </c>
      <c r="CE18" s="141">
        <f t="shared" si="56"/>
        <v>531</v>
      </c>
      <c r="CF18" s="141">
        <f t="shared" si="56"/>
        <v>3477</v>
      </c>
      <c r="CG18" s="141">
        <f t="shared" si="56"/>
        <v>2946</v>
      </c>
      <c r="CH18" s="141">
        <f t="shared" si="56"/>
        <v>14264</v>
      </c>
      <c r="CI18" s="141">
        <f t="shared" si="56"/>
        <v>3412</v>
      </c>
      <c r="CJ18" s="141">
        <f t="shared" si="56"/>
        <v>3415</v>
      </c>
      <c r="CK18" s="141">
        <f t="shared" si="56"/>
        <v>3</v>
      </c>
      <c r="CL18" s="141">
        <f t="shared" si="56"/>
        <v>3004</v>
      </c>
      <c r="CM18" s="141">
        <f t="shared" si="56"/>
        <v>3004</v>
      </c>
      <c r="CN18" s="141">
        <f t="shared" si="56"/>
        <v>0</v>
      </c>
      <c r="CO18" s="141">
        <f t="shared" si="56"/>
        <v>2692</v>
      </c>
      <c r="CP18" s="141">
        <f t="shared" si="56"/>
        <v>2812</v>
      </c>
      <c r="CQ18" s="141">
        <f t="shared" si="56"/>
        <v>120</v>
      </c>
      <c r="CR18" s="141">
        <f t="shared" si="56"/>
        <v>15530</v>
      </c>
      <c r="CS18" s="141">
        <f t="shared" si="56"/>
        <v>2277</v>
      </c>
      <c r="CT18" s="141">
        <f t="shared" si="56"/>
        <v>3069</v>
      </c>
      <c r="CU18" s="141">
        <f t="shared" si="56"/>
        <v>5346</v>
      </c>
      <c r="CV18" s="141">
        <f t="shared" si="56"/>
        <v>0</v>
      </c>
      <c r="CW18" s="141">
        <f t="shared" si="56"/>
        <v>0</v>
      </c>
      <c r="CX18" s="141">
        <f t="shared" si="56"/>
        <v>10692</v>
      </c>
      <c r="CY18" s="141">
        <f t="shared" si="56"/>
        <v>0</v>
      </c>
      <c r="CZ18" s="141">
        <f t="shared" si="56"/>
        <v>0</v>
      </c>
      <c r="DA18" s="141">
        <f t="shared" si="56"/>
        <v>0</v>
      </c>
      <c r="DB18" s="141">
        <f t="shared" si="56"/>
        <v>0</v>
      </c>
      <c r="DC18" s="141">
        <f t="shared" si="56"/>
        <v>40486</v>
      </c>
      <c r="DD18" s="141">
        <f t="shared" si="56"/>
        <v>194154</v>
      </c>
      <c r="DE18" s="6"/>
      <c r="DF18" s="24">
        <f>SUM(AK18,AO18,BG18,BX18,DC18)</f>
        <v>129672</v>
      </c>
      <c r="DG18" s="6"/>
      <c r="DH18" s="24"/>
      <c r="DI18" s="24"/>
      <c r="DJ18" s="6"/>
      <c r="DK18" s="6"/>
      <c r="DL18" s="6"/>
    </row>
    <row r="19" ht="15.75" customHeight="1">
      <c r="A19" s="167" t="s">
        <v>88</v>
      </c>
      <c r="B19" s="20">
        <v>0.0</v>
      </c>
      <c r="C19" s="154">
        <v>0.0</v>
      </c>
      <c r="D19" s="154">
        <v>0.0</v>
      </c>
      <c r="E19" s="154">
        <v>0.0</v>
      </c>
      <c r="F19" s="154">
        <v>21.0</v>
      </c>
      <c r="G19" s="154">
        <v>284.0</v>
      </c>
      <c r="H19" s="154">
        <f t="shared" ref="H19:H22" si="57">SUM(C19:G19)</f>
        <v>305</v>
      </c>
      <c r="I19" s="154">
        <v>406.0</v>
      </c>
      <c r="J19" s="154">
        <v>1142.0</v>
      </c>
      <c r="K19" s="154">
        <v>1320.0</v>
      </c>
      <c r="L19" s="156">
        <f t="shared" ref="L19:L22" si="58">SUM(I19:K19)</f>
        <v>2868</v>
      </c>
      <c r="M19" s="154">
        <v>469.0</v>
      </c>
      <c r="N19" s="154">
        <v>134.0</v>
      </c>
      <c r="O19" s="154">
        <v>0.0</v>
      </c>
      <c r="P19" s="156">
        <f t="shared" ref="P19:P22" si="59">SUM(M19:O19)</f>
        <v>603</v>
      </c>
      <c r="Q19" s="154">
        <v>47.0</v>
      </c>
      <c r="R19" s="154">
        <v>696.0</v>
      </c>
      <c r="S19" s="154">
        <v>938.0</v>
      </c>
      <c r="T19" s="156">
        <f t="shared" ref="T19:T22" si="60">SUM(Q19:S19)</f>
        <v>1681</v>
      </c>
      <c r="U19" s="154">
        <v>821.0</v>
      </c>
      <c r="V19" s="154">
        <v>207.0</v>
      </c>
      <c r="W19" s="154">
        <v>177.0</v>
      </c>
      <c r="X19" s="156">
        <f t="shared" ref="X19:X22" si="61">SUM(U19:W19)</f>
        <v>1205</v>
      </c>
      <c r="Y19" s="156">
        <f t="shared" ref="Y19:Y22" si="62">SUM(X19,T19,P19,L19)</f>
        <v>6357</v>
      </c>
      <c r="Z19" s="154">
        <v>879.0</v>
      </c>
      <c r="AA19" s="154">
        <v>363.0</v>
      </c>
      <c r="AB19" s="154">
        <v>674.0</v>
      </c>
      <c r="AC19" s="156">
        <f t="shared" ref="AC19:AC22" si="63">SUM(Z19:AB19)</f>
        <v>1916</v>
      </c>
      <c r="AD19" s="154">
        <v>247.0</v>
      </c>
      <c r="AE19" s="154">
        <v>113.0</v>
      </c>
      <c r="AF19" s="154">
        <v>216.0</v>
      </c>
      <c r="AG19" s="156">
        <f t="shared" ref="AG19:AG22" si="64">SUM(AD19:AF19)</f>
        <v>576</v>
      </c>
      <c r="AH19" s="154">
        <v>161.0</v>
      </c>
      <c r="AI19" s="154">
        <v>390.0</v>
      </c>
      <c r="AJ19" s="154">
        <v>539.0</v>
      </c>
      <c r="AK19" s="156">
        <f t="shared" ref="AK19:AK22" si="65">SUM(AH19:AJ19)</f>
        <v>1090</v>
      </c>
      <c r="AL19" s="154">
        <v>354.0</v>
      </c>
      <c r="AM19" s="154">
        <v>190.0</v>
      </c>
      <c r="AN19" s="154">
        <v>253.0</v>
      </c>
      <c r="AO19" s="156">
        <f t="shared" ref="AO19:AO22" si="66">SUM(AL19:AN19)</f>
        <v>797</v>
      </c>
      <c r="AP19" s="156">
        <f t="shared" ref="AP19:AP22" si="67">SUM(AO19,AK19,AG19,AC19)</f>
        <v>4379</v>
      </c>
      <c r="AQ19" s="154">
        <v>135.0</v>
      </c>
      <c r="AR19" s="154">
        <v>63.0</v>
      </c>
      <c r="AS19" s="154">
        <v>133.0</v>
      </c>
      <c r="AT19" s="154">
        <f t="shared" ref="AT19:AT22" si="68">SUM(AQ19:AS19)</f>
        <v>331</v>
      </c>
      <c r="AU19" s="154">
        <v>282.0</v>
      </c>
      <c r="AV19" s="154">
        <v>139.0</v>
      </c>
      <c r="AW19" s="154">
        <v>73.0</v>
      </c>
      <c r="AX19" s="154">
        <f t="shared" ref="AX19:AX22" si="69">SUM(AU19:AW19)</f>
        <v>494</v>
      </c>
      <c r="AY19" s="154">
        <v>162.0</v>
      </c>
      <c r="AZ19" s="154">
        <v>84.0</v>
      </c>
      <c r="BA19" s="154">
        <v>84.0</v>
      </c>
      <c r="BB19" s="154">
        <f t="shared" ref="BB19:BB22" si="70">SUM(AY19:BA19)</f>
        <v>330</v>
      </c>
      <c r="BC19" s="154">
        <v>83.0</v>
      </c>
      <c r="BD19" s="154">
        <v>382.0</v>
      </c>
      <c r="BE19" s="154">
        <v>110.0</v>
      </c>
      <c r="BF19" s="154">
        <f t="shared" ref="BF19:BF22" si="71">SUM(BC19:BE19)</f>
        <v>575</v>
      </c>
      <c r="BG19" s="154">
        <f t="shared" ref="BG19:BG22" si="72">SUM(AT19,AX19,BB19,BF19)</f>
        <v>1730</v>
      </c>
      <c r="BH19" s="154">
        <v>10.0</v>
      </c>
      <c r="BI19" s="154">
        <v>347.0</v>
      </c>
      <c r="BJ19" s="154">
        <v>883.0</v>
      </c>
      <c r="BK19" s="154">
        <f t="shared" ref="BK19:BK22" si="73">SUM(BH19:BJ19)</f>
        <v>1240</v>
      </c>
      <c r="BL19" s="154">
        <v>1131.0</v>
      </c>
      <c r="BM19" s="154">
        <v>1242.0</v>
      </c>
      <c r="BN19" s="154">
        <v>853.0</v>
      </c>
      <c r="BO19" s="154">
        <f t="shared" ref="BO19:BO22" si="74">SUM(BL19:BN19)</f>
        <v>3226</v>
      </c>
      <c r="BP19" s="154">
        <v>613.0</v>
      </c>
      <c r="BQ19" s="154">
        <v>408.0</v>
      </c>
      <c r="BR19" s="154">
        <v>981.0</v>
      </c>
      <c r="BS19" s="154">
        <f t="shared" ref="BS19:BS22" si="75">SUM(BP19:BR19)</f>
        <v>2002</v>
      </c>
      <c r="BT19" s="154">
        <v>493.0</v>
      </c>
      <c r="BU19" s="154">
        <v>237.0</v>
      </c>
      <c r="BV19" s="154">
        <v>634.0</v>
      </c>
      <c r="BW19" s="154">
        <f t="shared" ref="BW19:BW22" si="76">SUM(BT19:BV19)</f>
        <v>1364</v>
      </c>
      <c r="BX19" s="154">
        <f t="shared" ref="BX19:BX22" si="77">SUM(BK19,BO19,BS19,BW19)</f>
        <v>7832</v>
      </c>
      <c r="BY19" s="154">
        <v>1351.0</v>
      </c>
      <c r="BZ19" s="154">
        <v>1351.0</v>
      </c>
      <c r="CA19" s="154">
        <f t="shared" ref="CA19:CA22" si="78">BZ19-BY19</f>
        <v>0</v>
      </c>
      <c r="CB19" s="154">
        <v>74.0</v>
      </c>
      <c r="CC19" s="154">
        <v>74.0</v>
      </c>
      <c r="CD19" s="154">
        <f t="shared" ref="CD19:CD22" si="79">CC19-CB19</f>
        <v>0</v>
      </c>
      <c r="CE19" s="154">
        <v>2.0</v>
      </c>
      <c r="CF19" s="154">
        <v>143.0</v>
      </c>
      <c r="CG19" s="154">
        <f t="shared" ref="CG19:CG22" si="80">CF19-CE19</f>
        <v>141</v>
      </c>
      <c r="CH19" s="154">
        <f t="shared" ref="CH19:CH22" si="81">SUM(BY19:CF19)</f>
        <v>2995</v>
      </c>
      <c r="CI19" s="154">
        <v>1019.0</v>
      </c>
      <c r="CJ19" s="154">
        <v>1020.0</v>
      </c>
      <c r="CK19" s="154">
        <f t="shared" ref="CK19:CK22" si="82">CJ19-CI19</f>
        <v>1</v>
      </c>
      <c r="CL19" s="154">
        <v>781.0</v>
      </c>
      <c r="CM19" s="154">
        <v>781.0</v>
      </c>
      <c r="CN19" s="154">
        <f t="shared" ref="CN19:CN22" si="83">CM19-CL19</f>
        <v>0</v>
      </c>
      <c r="CO19" s="154">
        <v>412.0</v>
      </c>
      <c r="CP19" s="154">
        <v>448.0</v>
      </c>
      <c r="CQ19" s="154">
        <f t="shared" ref="CQ19:CQ22" si="84">CP19-CO19</f>
        <v>36</v>
      </c>
      <c r="CR19" s="154">
        <f t="shared" ref="CR19:CR22" si="85">SUM(CI19:CO19)</f>
        <v>4014</v>
      </c>
      <c r="CS19" s="154">
        <v>826.0</v>
      </c>
      <c r="CT19" s="154">
        <f t="shared" ref="CT19:CT22" si="86">SUM(CA19,CD19,CG19,CK19,CN19,CQ19)</f>
        <v>178</v>
      </c>
      <c r="CU19" s="154">
        <f t="shared" ref="CU19:CU22" si="87">CS19+CT19</f>
        <v>1004</v>
      </c>
      <c r="CV19" s="154"/>
      <c r="CW19" s="154"/>
      <c r="CX19" s="154">
        <f t="shared" ref="CX19:CX22" si="88">SUM(CS19:CW19)</f>
        <v>2008</v>
      </c>
      <c r="CY19" s="154"/>
      <c r="CZ19" s="154"/>
      <c r="DA19" s="154"/>
      <c r="DB19" s="154">
        <f t="shared" ref="DB19:DB22" si="89">SUM(CY19:DA19)</f>
        <v>0</v>
      </c>
      <c r="DC19" s="154">
        <f t="shared" ref="DC19:DC22" si="90">SUM(CH19,CR19,CX19,DB19)</f>
        <v>9017</v>
      </c>
      <c r="DD19" s="154">
        <f t="shared" ref="DD19:DD22" si="91">SUM(B19,H19,Y19,AP19,BG19,BX19,DC19)</f>
        <v>29620</v>
      </c>
      <c r="DE19" s="6"/>
      <c r="DF19" s="172"/>
      <c r="DG19" s="6"/>
      <c r="DH19" s="24"/>
      <c r="DI19" s="24"/>
      <c r="DJ19" s="6"/>
      <c r="DK19" s="6"/>
      <c r="DL19" s="6"/>
    </row>
    <row r="20" ht="15.75" customHeight="1">
      <c r="A20" s="167" t="s">
        <v>89</v>
      </c>
      <c r="B20" s="125">
        <v>0.0</v>
      </c>
      <c r="C20" s="154">
        <v>0.0</v>
      </c>
      <c r="D20" s="154">
        <v>0.0</v>
      </c>
      <c r="E20" s="154">
        <v>0.0</v>
      </c>
      <c r="F20" s="154">
        <v>22.0</v>
      </c>
      <c r="G20" s="154">
        <v>234.0</v>
      </c>
      <c r="H20" s="154">
        <f t="shared" si="57"/>
        <v>256</v>
      </c>
      <c r="I20" s="154">
        <v>243.0</v>
      </c>
      <c r="J20" s="154">
        <v>853.0</v>
      </c>
      <c r="K20" s="154">
        <v>210.0</v>
      </c>
      <c r="L20" s="156">
        <f t="shared" si="58"/>
        <v>1306</v>
      </c>
      <c r="M20" s="154">
        <v>240.0</v>
      </c>
      <c r="N20" s="154">
        <v>32.0</v>
      </c>
      <c r="O20" s="154">
        <v>0.0</v>
      </c>
      <c r="P20" s="156">
        <f t="shared" si="59"/>
        <v>272</v>
      </c>
      <c r="Q20" s="154">
        <v>113.0</v>
      </c>
      <c r="R20" s="154">
        <v>1289.0</v>
      </c>
      <c r="S20" s="154">
        <v>1867.0</v>
      </c>
      <c r="T20" s="156">
        <f t="shared" si="60"/>
        <v>3269</v>
      </c>
      <c r="U20" s="154">
        <v>1498.0</v>
      </c>
      <c r="V20" s="154">
        <v>472.0</v>
      </c>
      <c r="W20" s="154">
        <v>646.0</v>
      </c>
      <c r="X20" s="156">
        <f t="shared" si="61"/>
        <v>2616</v>
      </c>
      <c r="Y20" s="156">
        <f t="shared" si="62"/>
        <v>7463</v>
      </c>
      <c r="Z20" s="154">
        <v>325.0</v>
      </c>
      <c r="AA20" s="154">
        <v>680.0</v>
      </c>
      <c r="AB20" s="154">
        <v>349.0</v>
      </c>
      <c r="AC20" s="156">
        <f t="shared" si="63"/>
        <v>1354</v>
      </c>
      <c r="AD20" s="154">
        <v>121.0</v>
      </c>
      <c r="AE20" s="154">
        <v>484.0</v>
      </c>
      <c r="AF20" s="154">
        <v>963.0</v>
      </c>
      <c r="AG20" s="156">
        <f t="shared" si="64"/>
        <v>1568</v>
      </c>
      <c r="AH20" s="154">
        <v>439.0</v>
      </c>
      <c r="AI20" s="154">
        <v>433.0</v>
      </c>
      <c r="AJ20" s="154">
        <v>901.0</v>
      </c>
      <c r="AK20" s="156">
        <f t="shared" si="65"/>
        <v>1773</v>
      </c>
      <c r="AL20" s="154">
        <v>949.0</v>
      </c>
      <c r="AM20" s="154">
        <v>227.0</v>
      </c>
      <c r="AN20" s="154">
        <v>233.0</v>
      </c>
      <c r="AO20" s="156">
        <f t="shared" si="66"/>
        <v>1409</v>
      </c>
      <c r="AP20" s="156">
        <f t="shared" si="67"/>
        <v>6104</v>
      </c>
      <c r="AQ20" s="154">
        <v>26.0</v>
      </c>
      <c r="AR20" s="154">
        <v>31.0</v>
      </c>
      <c r="AS20" s="154">
        <v>52.0</v>
      </c>
      <c r="AT20" s="154">
        <f t="shared" si="68"/>
        <v>109</v>
      </c>
      <c r="AU20" s="154">
        <v>10.0</v>
      </c>
      <c r="AV20" s="154">
        <v>1.0</v>
      </c>
      <c r="AW20" s="154">
        <v>22.0</v>
      </c>
      <c r="AX20" s="154">
        <f t="shared" si="69"/>
        <v>33</v>
      </c>
      <c r="AY20" s="154">
        <v>24.0</v>
      </c>
      <c r="AZ20" s="154">
        <v>369.0</v>
      </c>
      <c r="BA20" s="154">
        <v>246.0</v>
      </c>
      <c r="BB20" s="154">
        <f t="shared" si="70"/>
        <v>639</v>
      </c>
      <c r="BC20" s="154">
        <v>72.0</v>
      </c>
      <c r="BD20" s="154">
        <v>787.0</v>
      </c>
      <c r="BE20" s="154">
        <v>1908.0</v>
      </c>
      <c r="BF20" s="154">
        <f t="shared" si="71"/>
        <v>2767</v>
      </c>
      <c r="BG20" s="154">
        <f t="shared" si="72"/>
        <v>3548</v>
      </c>
      <c r="BH20" s="154">
        <v>1941.0</v>
      </c>
      <c r="BI20" s="154">
        <v>1214.0</v>
      </c>
      <c r="BJ20" s="154">
        <v>710.0</v>
      </c>
      <c r="BK20" s="154">
        <f t="shared" si="73"/>
        <v>3865</v>
      </c>
      <c r="BL20" s="154">
        <v>1228.0</v>
      </c>
      <c r="BM20" s="154">
        <v>1387.0</v>
      </c>
      <c r="BN20" s="154">
        <v>936.0</v>
      </c>
      <c r="BO20" s="154">
        <f t="shared" si="74"/>
        <v>3551</v>
      </c>
      <c r="BP20" s="154">
        <v>838.0</v>
      </c>
      <c r="BQ20" s="154">
        <v>621.0</v>
      </c>
      <c r="BR20" s="154">
        <v>740.0</v>
      </c>
      <c r="BS20" s="154">
        <f t="shared" si="75"/>
        <v>2199</v>
      </c>
      <c r="BT20" s="154">
        <v>2086.0</v>
      </c>
      <c r="BU20" s="154">
        <v>2076.0</v>
      </c>
      <c r="BV20" s="154">
        <v>2640.0</v>
      </c>
      <c r="BW20" s="154">
        <f t="shared" si="76"/>
        <v>6802</v>
      </c>
      <c r="BX20" s="154">
        <f t="shared" si="77"/>
        <v>16417</v>
      </c>
      <c r="BY20" s="154">
        <v>401.0</v>
      </c>
      <c r="BZ20" s="154">
        <v>401.0</v>
      </c>
      <c r="CA20" s="154">
        <f t="shared" si="78"/>
        <v>0</v>
      </c>
      <c r="CB20" s="154">
        <v>654.0</v>
      </c>
      <c r="CC20" s="154">
        <v>654.0</v>
      </c>
      <c r="CD20" s="154">
        <f t="shared" si="79"/>
        <v>0</v>
      </c>
      <c r="CE20" s="154">
        <v>395.0</v>
      </c>
      <c r="CF20" s="154">
        <v>1365.0</v>
      </c>
      <c r="CG20" s="154">
        <f t="shared" si="80"/>
        <v>970</v>
      </c>
      <c r="CH20" s="154">
        <f t="shared" si="81"/>
        <v>3870</v>
      </c>
      <c r="CI20" s="154">
        <v>557.0</v>
      </c>
      <c r="CJ20" s="154">
        <v>557.0</v>
      </c>
      <c r="CK20" s="154">
        <f t="shared" si="82"/>
        <v>0</v>
      </c>
      <c r="CL20" s="154">
        <v>381.0</v>
      </c>
      <c r="CM20" s="154">
        <v>381.0</v>
      </c>
      <c r="CN20" s="154">
        <f t="shared" si="83"/>
        <v>0</v>
      </c>
      <c r="CO20" s="154">
        <v>806.0</v>
      </c>
      <c r="CP20" s="154">
        <v>845.0</v>
      </c>
      <c r="CQ20" s="154">
        <f t="shared" si="84"/>
        <v>39</v>
      </c>
      <c r="CR20" s="154">
        <f t="shared" si="85"/>
        <v>2682</v>
      </c>
      <c r="CS20" s="154">
        <v>339.0</v>
      </c>
      <c r="CT20" s="154">
        <f t="shared" si="86"/>
        <v>1009</v>
      </c>
      <c r="CU20" s="154">
        <f t="shared" si="87"/>
        <v>1348</v>
      </c>
      <c r="CV20" s="154"/>
      <c r="CW20" s="154"/>
      <c r="CX20" s="154">
        <f t="shared" si="88"/>
        <v>2696</v>
      </c>
      <c r="CY20" s="154"/>
      <c r="CZ20" s="154"/>
      <c r="DA20" s="154"/>
      <c r="DB20" s="154">
        <f t="shared" si="89"/>
        <v>0</v>
      </c>
      <c r="DC20" s="154">
        <f t="shared" si="90"/>
        <v>9248</v>
      </c>
      <c r="DD20" s="154">
        <f t="shared" si="91"/>
        <v>43036</v>
      </c>
      <c r="DE20" s="6"/>
      <c r="DF20" s="172"/>
      <c r="DG20" s="6"/>
      <c r="DH20" s="24"/>
      <c r="DI20" s="24"/>
      <c r="DJ20" s="6"/>
      <c r="DK20" s="6"/>
      <c r="DL20" s="6"/>
    </row>
    <row r="21" ht="15.75" customHeight="1">
      <c r="A21" s="167" t="s">
        <v>90</v>
      </c>
      <c r="B21" s="154">
        <v>41.0</v>
      </c>
      <c r="C21" s="154">
        <v>0.0</v>
      </c>
      <c r="D21" s="154">
        <v>0.0</v>
      </c>
      <c r="E21" s="154">
        <v>0.0</v>
      </c>
      <c r="F21" s="154">
        <v>4.0</v>
      </c>
      <c r="G21" s="154">
        <v>243.0</v>
      </c>
      <c r="H21" s="154">
        <f t="shared" si="57"/>
        <v>247</v>
      </c>
      <c r="I21" s="154">
        <v>323.0</v>
      </c>
      <c r="J21" s="154">
        <v>828.0</v>
      </c>
      <c r="K21" s="154">
        <v>148.0</v>
      </c>
      <c r="L21" s="156">
        <f t="shared" si="58"/>
        <v>1299</v>
      </c>
      <c r="M21" s="154">
        <v>147.0</v>
      </c>
      <c r="N21" s="154">
        <v>133.0</v>
      </c>
      <c r="O21" s="154">
        <v>0.0</v>
      </c>
      <c r="P21" s="156">
        <f t="shared" si="59"/>
        <v>280</v>
      </c>
      <c r="Q21" s="154">
        <v>56.0</v>
      </c>
      <c r="R21" s="154">
        <v>596.0</v>
      </c>
      <c r="S21" s="154">
        <v>1249.0</v>
      </c>
      <c r="T21" s="156">
        <f t="shared" si="60"/>
        <v>1901</v>
      </c>
      <c r="U21" s="154">
        <v>105.0</v>
      </c>
      <c r="V21" s="154">
        <v>451.0</v>
      </c>
      <c r="W21" s="154">
        <v>27.0</v>
      </c>
      <c r="X21" s="156">
        <f t="shared" si="61"/>
        <v>583</v>
      </c>
      <c r="Y21" s="156">
        <f t="shared" si="62"/>
        <v>4063</v>
      </c>
      <c r="Z21" s="154">
        <v>119.0</v>
      </c>
      <c r="AA21" s="154">
        <v>60.0</v>
      </c>
      <c r="AB21" s="154">
        <v>42.0</v>
      </c>
      <c r="AC21" s="156">
        <f t="shared" si="63"/>
        <v>221</v>
      </c>
      <c r="AD21" s="154">
        <v>82.0</v>
      </c>
      <c r="AE21" s="154">
        <v>25.0</v>
      </c>
      <c r="AF21" s="154">
        <v>646.0</v>
      </c>
      <c r="AG21" s="156">
        <f t="shared" si="64"/>
        <v>753</v>
      </c>
      <c r="AH21" s="154">
        <v>158.0</v>
      </c>
      <c r="AI21" s="154">
        <v>185.0</v>
      </c>
      <c r="AJ21" s="154">
        <v>455.0</v>
      </c>
      <c r="AK21" s="156">
        <f t="shared" si="65"/>
        <v>798</v>
      </c>
      <c r="AL21" s="154">
        <v>754.0</v>
      </c>
      <c r="AM21" s="154">
        <v>346.0</v>
      </c>
      <c r="AN21" s="154">
        <v>138.0</v>
      </c>
      <c r="AO21" s="156">
        <f t="shared" si="66"/>
        <v>1238</v>
      </c>
      <c r="AP21" s="156">
        <f t="shared" si="67"/>
        <v>3010</v>
      </c>
      <c r="AQ21" s="154">
        <v>141.0</v>
      </c>
      <c r="AR21" s="154">
        <v>103.0</v>
      </c>
      <c r="AS21" s="154">
        <v>254.0</v>
      </c>
      <c r="AT21" s="154">
        <f t="shared" si="68"/>
        <v>498</v>
      </c>
      <c r="AU21" s="154">
        <v>104.0</v>
      </c>
      <c r="AV21" s="154">
        <v>59.0</v>
      </c>
      <c r="AW21" s="154">
        <v>52.0</v>
      </c>
      <c r="AX21" s="154">
        <f t="shared" si="69"/>
        <v>215</v>
      </c>
      <c r="AY21" s="154">
        <v>282.0</v>
      </c>
      <c r="AZ21" s="154">
        <v>134.0</v>
      </c>
      <c r="BA21" s="154">
        <v>262.0</v>
      </c>
      <c r="BB21" s="154">
        <f t="shared" si="70"/>
        <v>678</v>
      </c>
      <c r="BC21" s="154">
        <v>371.0</v>
      </c>
      <c r="BD21" s="154">
        <v>425.0</v>
      </c>
      <c r="BE21" s="154">
        <v>204.0</v>
      </c>
      <c r="BF21" s="154">
        <f t="shared" si="71"/>
        <v>1000</v>
      </c>
      <c r="BG21" s="154">
        <f t="shared" si="72"/>
        <v>2391</v>
      </c>
      <c r="BH21" s="154">
        <v>188.0</v>
      </c>
      <c r="BI21" s="154">
        <v>121.0</v>
      </c>
      <c r="BJ21" s="154">
        <v>193.0</v>
      </c>
      <c r="BK21" s="154">
        <f t="shared" si="73"/>
        <v>502</v>
      </c>
      <c r="BL21" s="154">
        <v>348.0</v>
      </c>
      <c r="BM21" s="154">
        <v>966.0</v>
      </c>
      <c r="BN21" s="154">
        <v>620.0</v>
      </c>
      <c r="BO21" s="154">
        <f t="shared" si="74"/>
        <v>1934</v>
      </c>
      <c r="BP21" s="154">
        <v>793.0</v>
      </c>
      <c r="BQ21" s="154">
        <v>844.0</v>
      </c>
      <c r="BR21" s="154">
        <v>514.0</v>
      </c>
      <c r="BS21" s="154">
        <f t="shared" si="75"/>
        <v>2151</v>
      </c>
      <c r="BT21" s="154">
        <v>468.0</v>
      </c>
      <c r="BU21" s="154">
        <v>590.0</v>
      </c>
      <c r="BV21" s="154">
        <v>1117.0</v>
      </c>
      <c r="BW21" s="154">
        <f t="shared" si="76"/>
        <v>2175</v>
      </c>
      <c r="BX21" s="154">
        <f t="shared" si="77"/>
        <v>6762</v>
      </c>
      <c r="BY21" s="154">
        <v>485.0</v>
      </c>
      <c r="BZ21" s="154">
        <v>485.0</v>
      </c>
      <c r="CA21" s="154">
        <f t="shared" si="78"/>
        <v>0</v>
      </c>
      <c r="CB21" s="154">
        <v>715.0</v>
      </c>
      <c r="CC21" s="154">
        <v>715.0</v>
      </c>
      <c r="CD21" s="154">
        <f t="shared" si="79"/>
        <v>0</v>
      </c>
      <c r="CE21" s="154">
        <v>133.0</v>
      </c>
      <c r="CF21" s="154">
        <v>951.0</v>
      </c>
      <c r="CG21" s="154">
        <f t="shared" si="80"/>
        <v>818</v>
      </c>
      <c r="CH21" s="154">
        <f t="shared" si="81"/>
        <v>3484</v>
      </c>
      <c r="CI21" s="154">
        <v>848.0</v>
      </c>
      <c r="CJ21" s="154">
        <v>848.0</v>
      </c>
      <c r="CK21" s="154">
        <f t="shared" si="82"/>
        <v>0</v>
      </c>
      <c r="CL21" s="154">
        <v>1038.0</v>
      </c>
      <c r="CM21" s="154">
        <v>1038.0</v>
      </c>
      <c r="CN21" s="154">
        <f t="shared" si="83"/>
        <v>0</v>
      </c>
      <c r="CO21" s="154">
        <v>582.0</v>
      </c>
      <c r="CP21" s="154">
        <v>586.0</v>
      </c>
      <c r="CQ21" s="154">
        <f t="shared" si="84"/>
        <v>4</v>
      </c>
      <c r="CR21" s="154">
        <f t="shared" si="85"/>
        <v>4354</v>
      </c>
      <c r="CS21" s="154">
        <v>468.0</v>
      </c>
      <c r="CT21" s="154">
        <f t="shared" si="86"/>
        <v>822</v>
      </c>
      <c r="CU21" s="154">
        <f t="shared" si="87"/>
        <v>1290</v>
      </c>
      <c r="CV21" s="154"/>
      <c r="CW21" s="154"/>
      <c r="CX21" s="154">
        <f t="shared" si="88"/>
        <v>2580</v>
      </c>
      <c r="CY21" s="154"/>
      <c r="CZ21" s="154"/>
      <c r="DA21" s="154"/>
      <c r="DB21" s="154">
        <f t="shared" si="89"/>
        <v>0</v>
      </c>
      <c r="DC21" s="154">
        <f t="shared" si="90"/>
        <v>10418</v>
      </c>
      <c r="DD21" s="154">
        <f t="shared" si="91"/>
        <v>26932</v>
      </c>
      <c r="DE21" s="6"/>
      <c r="DF21" s="172"/>
      <c r="DG21" s="6"/>
      <c r="DH21" s="24"/>
      <c r="DI21" s="24"/>
      <c r="DJ21" s="6"/>
      <c r="DK21" s="6"/>
      <c r="DL21" s="6"/>
    </row>
    <row r="22" ht="15.75" customHeight="1">
      <c r="A22" s="167" t="s">
        <v>92</v>
      </c>
      <c r="B22" s="154">
        <v>656.0</v>
      </c>
      <c r="C22" s="154">
        <v>0.0</v>
      </c>
      <c r="D22" s="154">
        <v>0.0</v>
      </c>
      <c r="E22" s="154">
        <v>0.0</v>
      </c>
      <c r="F22" s="154">
        <v>11.0</v>
      </c>
      <c r="G22" s="154">
        <v>372.0</v>
      </c>
      <c r="H22" s="154">
        <f t="shared" si="57"/>
        <v>383</v>
      </c>
      <c r="I22" s="154">
        <v>485.0</v>
      </c>
      <c r="J22" s="154">
        <v>3848.0</v>
      </c>
      <c r="K22" s="154">
        <v>1457.0</v>
      </c>
      <c r="L22" s="156">
        <f t="shared" si="58"/>
        <v>5790</v>
      </c>
      <c r="M22" s="154">
        <v>1226.0</v>
      </c>
      <c r="N22" s="154">
        <v>566.0</v>
      </c>
      <c r="O22" s="154">
        <v>0.0</v>
      </c>
      <c r="P22" s="156">
        <f t="shared" si="59"/>
        <v>1792</v>
      </c>
      <c r="Q22" s="154">
        <v>184.0</v>
      </c>
      <c r="R22" s="154">
        <v>2167.0</v>
      </c>
      <c r="S22" s="154">
        <v>3157.0</v>
      </c>
      <c r="T22" s="156">
        <f t="shared" si="60"/>
        <v>5508</v>
      </c>
      <c r="U22" s="154">
        <v>1096.0</v>
      </c>
      <c r="V22" s="154">
        <v>242.0</v>
      </c>
      <c r="W22" s="154">
        <v>234.0</v>
      </c>
      <c r="X22" s="156">
        <f t="shared" si="61"/>
        <v>1572</v>
      </c>
      <c r="Y22" s="156">
        <f t="shared" si="62"/>
        <v>14662</v>
      </c>
      <c r="Z22" s="154">
        <v>193.0</v>
      </c>
      <c r="AA22" s="154">
        <v>1958.0</v>
      </c>
      <c r="AB22" s="154">
        <v>15413.0</v>
      </c>
      <c r="AC22" s="156">
        <f t="shared" si="63"/>
        <v>17564</v>
      </c>
      <c r="AD22" s="154">
        <v>4058.0</v>
      </c>
      <c r="AE22" s="154">
        <v>1026.0</v>
      </c>
      <c r="AF22" s="154">
        <v>1013.0</v>
      </c>
      <c r="AG22" s="156">
        <f t="shared" si="64"/>
        <v>6097</v>
      </c>
      <c r="AH22" s="154">
        <v>936.0</v>
      </c>
      <c r="AI22" s="154">
        <v>915.0</v>
      </c>
      <c r="AJ22" s="154">
        <v>804.0</v>
      </c>
      <c r="AK22" s="156">
        <f t="shared" si="65"/>
        <v>2655</v>
      </c>
      <c r="AL22" s="154">
        <v>1203.0</v>
      </c>
      <c r="AM22" s="154">
        <v>523.0</v>
      </c>
      <c r="AN22" s="154">
        <v>935.0</v>
      </c>
      <c r="AO22" s="156">
        <f t="shared" si="66"/>
        <v>2661</v>
      </c>
      <c r="AP22" s="156">
        <f t="shared" si="67"/>
        <v>28977</v>
      </c>
      <c r="AQ22" s="154">
        <v>1368.0</v>
      </c>
      <c r="AR22" s="154">
        <v>1698.0</v>
      </c>
      <c r="AS22" s="154">
        <v>2214.0</v>
      </c>
      <c r="AT22" s="154">
        <f t="shared" si="68"/>
        <v>5280</v>
      </c>
      <c r="AU22" s="154">
        <v>2182.0</v>
      </c>
      <c r="AV22" s="154">
        <v>1102.0</v>
      </c>
      <c r="AW22" s="154">
        <v>407.0</v>
      </c>
      <c r="AX22" s="154">
        <f t="shared" si="69"/>
        <v>3691</v>
      </c>
      <c r="AY22" s="154">
        <v>1050.0</v>
      </c>
      <c r="AZ22" s="154">
        <v>2260.0</v>
      </c>
      <c r="BA22" s="154">
        <v>1304.0</v>
      </c>
      <c r="BB22" s="154">
        <f t="shared" si="70"/>
        <v>4614</v>
      </c>
      <c r="BC22" s="154">
        <v>1417.0</v>
      </c>
      <c r="BD22" s="154">
        <v>2528.0</v>
      </c>
      <c r="BE22" s="154">
        <v>982.0</v>
      </c>
      <c r="BF22" s="154">
        <f t="shared" si="71"/>
        <v>4927</v>
      </c>
      <c r="BG22" s="154">
        <f t="shared" si="72"/>
        <v>18512</v>
      </c>
      <c r="BH22" s="154">
        <v>1036.0</v>
      </c>
      <c r="BI22" s="154">
        <v>1288.0</v>
      </c>
      <c r="BJ22" s="154">
        <v>2062.0</v>
      </c>
      <c r="BK22" s="154">
        <f t="shared" si="73"/>
        <v>4386</v>
      </c>
      <c r="BL22" s="154">
        <v>1806.0</v>
      </c>
      <c r="BM22" s="154">
        <v>2002.0</v>
      </c>
      <c r="BN22" s="154">
        <v>1321.0</v>
      </c>
      <c r="BO22" s="154">
        <f t="shared" si="74"/>
        <v>5129</v>
      </c>
      <c r="BP22" s="154">
        <v>2283.0</v>
      </c>
      <c r="BQ22" s="154">
        <v>1504.0</v>
      </c>
      <c r="BR22" s="154">
        <v>1203.0</v>
      </c>
      <c r="BS22" s="154">
        <f t="shared" si="75"/>
        <v>4990</v>
      </c>
      <c r="BT22" s="154">
        <v>1966.0</v>
      </c>
      <c r="BU22" s="154">
        <v>1663.0</v>
      </c>
      <c r="BV22" s="154">
        <v>1439.0</v>
      </c>
      <c r="BW22" s="154">
        <f t="shared" si="76"/>
        <v>5068</v>
      </c>
      <c r="BX22" s="154">
        <f t="shared" si="77"/>
        <v>19573</v>
      </c>
      <c r="BY22" s="154">
        <v>394.0</v>
      </c>
      <c r="BZ22" s="154">
        <v>394.0</v>
      </c>
      <c r="CA22" s="154">
        <f t="shared" si="78"/>
        <v>0</v>
      </c>
      <c r="CB22" s="154">
        <v>1054.0</v>
      </c>
      <c r="CC22" s="154">
        <v>1054.0</v>
      </c>
      <c r="CD22" s="154">
        <f t="shared" si="79"/>
        <v>0</v>
      </c>
      <c r="CE22" s="154">
        <v>1.0</v>
      </c>
      <c r="CF22" s="154">
        <v>1018.0</v>
      </c>
      <c r="CG22" s="154">
        <f t="shared" si="80"/>
        <v>1017</v>
      </c>
      <c r="CH22" s="154">
        <f t="shared" si="81"/>
        <v>3915</v>
      </c>
      <c r="CI22" s="154">
        <v>988.0</v>
      </c>
      <c r="CJ22" s="154">
        <v>990.0</v>
      </c>
      <c r="CK22" s="154">
        <f t="shared" si="82"/>
        <v>2</v>
      </c>
      <c r="CL22" s="154">
        <v>804.0</v>
      </c>
      <c r="CM22" s="154">
        <v>804.0</v>
      </c>
      <c r="CN22" s="154">
        <f t="shared" si="83"/>
        <v>0</v>
      </c>
      <c r="CO22" s="154">
        <v>892.0</v>
      </c>
      <c r="CP22" s="154">
        <v>933.0</v>
      </c>
      <c r="CQ22" s="154">
        <f t="shared" si="84"/>
        <v>41</v>
      </c>
      <c r="CR22" s="154">
        <f t="shared" si="85"/>
        <v>4480</v>
      </c>
      <c r="CS22" s="154">
        <v>644.0</v>
      </c>
      <c r="CT22" s="154">
        <f t="shared" si="86"/>
        <v>1060</v>
      </c>
      <c r="CU22" s="154">
        <f t="shared" si="87"/>
        <v>1704</v>
      </c>
      <c r="CV22" s="154"/>
      <c r="CW22" s="154"/>
      <c r="CX22" s="154">
        <f t="shared" si="88"/>
        <v>3408</v>
      </c>
      <c r="CY22" s="154"/>
      <c r="CZ22" s="154"/>
      <c r="DA22" s="154"/>
      <c r="DB22" s="154">
        <f t="shared" si="89"/>
        <v>0</v>
      </c>
      <c r="DC22" s="154">
        <f t="shared" si="90"/>
        <v>11803</v>
      </c>
      <c r="DD22" s="154">
        <f t="shared" si="91"/>
        <v>94566</v>
      </c>
      <c r="DE22" s="6"/>
      <c r="DF22" s="172"/>
      <c r="DG22" s="6"/>
      <c r="DH22" s="24"/>
      <c r="DI22" s="24"/>
      <c r="DJ22" s="6"/>
      <c r="DK22" s="6"/>
      <c r="DL22" s="6"/>
    </row>
    <row r="23" ht="15.75" customHeight="1">
      <c r="A23" s="137" t="s">
        <v>93</v>
      </c>
      <c r="B23" s="141">
        <f t="shared" ref="B23:DD23" si="92">SUM(B24:B28)</f>
        <v>55503</v>
      </c>
      <c r="C23" s="141">
        <f t="shared" si="92"/>
        <v>0</v>
      </c>
      <c r="D23" s="141">
        <f t="shared" si="92"/>
        <v>0</v>
      </c>
      <c r="E23" s="141">
        <f t="shared" si="92"/>
        <v>0</v>
      </c>
      <c r="F23" s="141">
        <f t="shared" si="92"/>
        <v>9</v>
      </c>
      <c r="G23" s="141">
        <f t="shared" si="92"/>
        <v>236</v>
      </c>
      <c r="H23" s="141">
        <f t="shared" si="92"/>
        <v>245</v>
      </c>
      <c r="I23" s="141">
        <f t="shared" si="92"/>
        <v>182</v>
      </c>
      <c r="J23" s="141">
        <f t="shared" si="92"/>
        <v>198</v>
      </c>
      <c r="K23" s="141">
        <f t="shared" si="92"/>
        <v>429</v>
      </c>
      <c r="L23" s="141">
        <f t="shared" si="92"/>
        <v>809</v>
      </c>
      <c r="M23" s="141">
        <f t="shared" si="92"/>
        <v>613</v>
      </c>
      <c r="N23" s="141">
        <f t="shared" si="92"/>
        <v>217</v>
      </c>
      <c r="O23" s="141">
        <f t="shared" si="92"/>
        <v>0</v>
      </c>
      <c r="P23" s="141">
        <f t="shared" si="92"/>
        <v>830</v>
      </c>
      <c r="Q23" s="141">
        <f t="shared" si="92"/>
        <v>250</v>
      </c>
      <c r="R23" s="141">
        <f t="shared" si="92"/>
        <v>1456</v>
      </c>
      <c r="S23" s="141">
        <f t="shared" si="92"/>
        <v>5489</v>
      </c>
      <c r="T23" s="141">
        <f t="shared" si="92"/>
        <v>7195</v>
      </c>
      <c r="U23" s="141">
        <f t="shared" si="92"/>
        <v>19460</v>
      </c>
      <c r="V23" s="141">
        <f t="shared" si="92"/>
        <v>1263</v>
      </c>
      <c r="W23" s="141">
        <f t="shared" si="92"/>
        <v>1206</v>
      </c>
      <c r="X23" s="141">
        <f t="shared" si="92"/>
        <v>21929</v>
      </c>
      <c r="Y23" s="141">
        <f t="shared" si="92"/>
        <v>30763</v>
      </c>
      <c r="Z23" s="141">
        <f t="shared" si="92"/>
        <v>879</v>
      </c>
      <c r="AA23" s="141">
        <f t="shared" si="92"/>
        <v>3763</v>
      </c>
      <c r="AB23" s="141">
        <f t="shared" si="92"/>
        <v>12381</v>
      </c>
      <c r="AC23" s="141">
        <f t="shared" si="92"/>
        <v>17023</v>
      </c>
      <c r="AD23" s="141">
        <f t="shared" si="92"/>
        <v>23465</v>
      </c>
      <c r="AE23" s="141">
        <f t="shared" si="92"/>
        <v>21688</v>
      </c>
      <c r="AF23" s="141">
        <f t="shared" si="92"/>
        <v>27599</v>
      </c>
      <c r="AG23" s="141">
        <f t="shared" si="92"/>
        <v>72752</v>
      </c>
      <c r="AH23" s="141">
        <f t="shared" si="92"/>
        <v>12920</v>
      </c>
      <c r="AI23" s="141">
        <f t="shared" si="92"/>
        <v>10737</v>
      </c>
      <c r="AJ23" s="141">
        <f t="shared" si="92"/>
        <v>8716</v>
      </c>
      <c r="AK23" s="141">
        <f t="shared" si="92"/>
        <v>32373</v>
      </c>
      <c r="AL23" s="141">
        <f t="shared" si="92"/>
        <v>8643</v>
      </c>
      <c r="AM23" s="141">
        <f t="shared" si="92"/>
        <v>16518</v>
      </c>
      <c r="AN23" s="141">
        <f t="shared" si="92"/>
        <v>10767</v>
      </c>
      <c r="AO23" s="141">
        <f t="shared" si="92"/>
        <v>35928</v>
      </c>
      <c r="AP23" s="141">
        <f t="shared" si="92"/>
        <v>158076</v>
      </c>
      <c r="AQ23" s="141">
        <f t="shared" si="92"/>
        <v>7189</v>
      </c>
      <c r="AR23" s="141">
        <f t="shared" si="92"/>
        <v>4724</v>
      </c>
      <c r="AS23" s="141">
        <f t="shared" si="92"/>
        <v>6110</v>
      </c>
      <c r="AT23" s="141">
        <f t="shared" si="92"/>
        <v>18023</v>
      </c>
      <c r="AU23" s="141">
        <f t="shared" si="92"/>
        <v>1541</v>
      </c>
      <c r="AV23" s="141">
        <f t="shared" si="92"/>
        <v>6178</v>
      </c>
      <c r="AW23" s="141">
        <f t="shared" si="92"/>
        <v>7128</v>
      </c>
      <c r="AX23" s="141">
        <f t="shared" si="92"/>
        <v>14847</v>
      </c>
      <c r="AY23" s="141">
        <f t="shared" si="92"/>
        <v>8006</v>
      </c>
      <c r="AZ23" s="141">
        <f t="shared" si="92"/>
        <v>4277</v>
      </c>
      <c r="BA23" s="141">
        <f t="shared" si="92"/>
        <v>8811</v>
      </c>
      <c r="BB23" s="141">
        <f t="shared" si="92"/>
        <v>21094</v>
      </c>
      <c r="BC23" s="141">
        <f t="shared" si="92"/>
        <v>3399</v>
      </c>
      <c r="BD23" s="141">
        <f t="shared" si="92"/>
        <v>7413</v>
      </c>
      <c r="BE23" s="141">
        <f t="shared" si="92"/>
        <v>4642</v>
      </c>
      <c r="BF23" s="141">
        <f t="shared" si="92"/>
        <v>15454</v>
      </c>
      <c r="BG23" s="141">
        <f t="shared" si="92"/>
        <v>69418</v>
      </c>
      <c r="BH23" s="141">
        <f t="shared" si="92"/>
        <v>7735</v>
      </c>
      <c r="BI23" s="141">
        <f t="shared" si="92"/>
        <v>7813</v>
      </c>
      <c r="BJ23" s="141">
        <f t="shared" si="92"/>
        <v>5884</v>
      </c>
      <c r="BK23" s="141">
        <f t="shared" si="92"/>
        <v>21432</v>
      </c>
      <c r="BL23" s="141">
        <f t="shared" si="92"/>
        <v>10264</v>
      </c>
      <c r="BM23" s="141">
        <f t="shared" si="92"/>
        <v>11356</v>
      </c>
      <c r="BN23" s="141">
        <f t="shared" si="92"/>
        <v>1623</v>
      </c>
      <c r="BO23" s="141">
        <f t="shared" si="92"/>
        <v>23243</v>
      </c>
      <c r="BP23" s="141">
        <f t="shared" si="92"/>
        <v>1850</v>
      </c>
      <c r="BQ23" s="141">
        <f t="shared" si="92"/>
        <v>2896</v>
      </c>
      <c r="BR23" s="141">
        <f t="shared" si="92"/>
        <v>3000</v>
      </c>
      <c r="BS23" s="141">
        <f t="shared" si="92"/>
        <v>7746</v>
      </c>
      <c r="BT23" s="141">
        <f t="shared" si="92"/>
        <v>2821</v>
      </c>
      <c r="BU23" s="141">
        <f t="shared" si="92"/>
        <v>1422</v>
      </c>
      <c r="BV23" s="141">
        <f t="shared" si="92"/>
        <v>1243</v>
      </c>
      <c r="BW23" s="141">
        <f t="shared" si="92"/>
        <v>5486</v>
      </c>
      <c r="BX23" s="141">
        <f t="shared" si="92"/>
        <v>57907</v>
      </c>
      <c r="BY23" s="141">
        <f t="shared" si="92"/>
        <v>2139</v>
      </c>
      <c r="BZ23" s="141">
        <f t="shared" si="92"/>
        <v>2139</v>
      </c>
      <c r="CA23" s="141">
        <f t="shared" si="92"/>
        <v>0</v>
      </c>
      <c r="CB23" s="141">
        <f t="shared" si="92"/>
        <v>1948</v>
      </c>
      <c r="CC23" s="141">
        <f t="shared" si="92"/>
        <v>1948</v>
      </c>
      <c r="CD23" s="141">
        <f t="shared" si="92"/>
        <v>0</v>
      </c>
      <c r="CE23" s="141">
        <f t="shared" si="92"/>
        <v>15</v>
      </c>
      <c r="CF23" s="141">
        <f t="shared" si="92"/>
        <v>2115</v>
      </c>
      <c r="CG23" s="141">
        <f t="shared" si="92"/>
        <v>2100</v>
      </c>
      <c r="CH23" s="141">
        <f t="shared" si="92"/>
        <v>10304</v>
      </c>
      <c r="CI23" s="141">
        <f t="shared" si="92"/>
        <v>2568</v>
      </c>
      <c r="CJ23" s="141">
        <f t="shared" si="92"/>
        <v>2266</v>
      </c>
      <c r="CK23" s="141">
        <f t="shared" si="92"/>
        <v>-302</v>
      </c>
      <c r="CL23" s="141">
        <f t="shared" si="92"/>
        <v>2228</v>
      </c>
      <c r="CM23" s="141">
        <f t="shared" si="92"/>
        <v>2228</v>
      </c>
      <c r="CN23" s="141">
        <f t="shared" si="92"/>
        <v>0</v>
      </c>
      <c r="CO23" s="141">
        <f t="shared" si="92"/>
        <v>2262</v>
      </c>
      <c r="CP23" s="141">
        <f t="shared" si="92"/>
        <v>2321</v>
      </c>
      <c r="CQ23" s="141">
        <f t="shared" si="92"/>
        <v>59</v>
      </c>
      <c r="CR23" s="141">
        <f t="shared" si="92"/>
        <v>11250</v>
      </c>
      <c r="CS23" s="141">
        <f t="shared" si="92"/>
        <v>4039</v>
      </c>
      <c r="CT23" s="141">
        <f t="shared" si="92"/>
        <v>1857</v>
      </c>
      <c r="CU23" s="141">
        <f t="shared" si="92"/>
        <v>5896</v>
      </c>
      <c r="CV23" s="141">
        <f t="shared" si="92"/>
        <v>0</v>
      </c>
      <c r="CW23" s="141">
        <f t="shared" si="92"/>
        <v>0</v>
      </c>
      <c r="CX23" s="141">
        <f t="shared" si="92"/>
        <v>11792</v>
      </c>
      <c r="CY23" s="141">
        <f t="shared" si="92"/>
        <v>0</v>
      </c>
      <c r="CZ23" s="141">
        <f t="shared" si="92"/>
        <v>0</v>
      </c>
      <c r="DA23" s="141">
        <f t="shared" si="92"/>
        <v>0</v>
      </c>
      <c r="DB23" s="141">
        <f t="shared" si="92"/>
        <v>0</v>
      </c>
      <c r="DC23" s="141">
        <f t="shared" si="92"/>
        <v>33346</v>
      </c>
      <c r="DD23" s="141">
        <f t="shared" si="92"/>
        <v>405258</v>
      </c>
      <c r="DE23" s="6"/>
      <c r="DF23" s="24">
        <f>SUM(AK23,AO23,BG23,BX23,DC23)</f>
        <v>228972</v>
      </c>
      <c r="DG23" s="6"/>
      <c r="DH23" s="24"/>
      <c r="DI23" s="24"/>
      <c r="DJ23" s="6"/>
      <c r="DK23" s="6"/>
      <c r="DL23" s="6"/>
    </row>
    <row r="24" ht="15.75" customHeight="1">
      <c r="A24" s="167" t="s">
        <v>94</v>
      </c>
      <c r="B24" s="20">
        <v>0.0</v>
      </c>
      <c r="C24" s="154">
        <v>0.0</v>
      </c>
      <c r="D24" s="154">
        <v>0.0</v>
      </c>
      <c r="E24" s="154">
        <v>0.0</v>
      </c>
      <c r="F24" s="154">
        <v>0.0</v>
      </c>
      <c r="G24" s="154">
        <v>2.0</v>
      </c>
      <c r="H24" s="154">
        <f t="shared" ref="H24:H28" si="93">SUM(C24:G24)</f>
        <v>2</v>
      </c>
      <c r="I24" s="154">
        <v>0.0</v>
      </c>
      <c r="J24" s="154">
        <v>0.0</v>
      </c>
      <c r="K24" s="154">
        <v>0.0</v>
      </c>
      <c r="L24" s="156">
        <f t="shared" ref="L24:L28" si="94">SUM(I24:K24)</f>
        <v>0</v>
      </c>
      <c r="M24" s="154">
        <v>0.0</v>
      </c>
      <c r="N24" s="154">
        <v>0.0</v>
      </c>
      <c r="O24" s="154">
        <v>0.0</v>
      </c>
      <c r="P24" s="156">
        <f t="shared" ref="P24:P28" si="95">SUM(M24:O24)</f>
        <v>0</v>
      </c>
      <c r="Q24" s="154">
        <v>0.0</v>
      </c>
      <c r="R24" s="154">
        <v>0.0</v>
      </c>
      <c r="S24" s="154">
        <v>0.0</v>
      </c>
      <c r="T24" s="156">
        <f t="shared" ref="T24:T28" si="96">SUM(Q24:S24)</f>
        <v>0</v>
      </c>
      <c r="U24" s="154">
        <v>0.0</v>
      </c>
      <c r="V24" s="154">
        <v>1.0</v>
      </c>
      <c r="W24" s="154">
        <v>0.0</v>
      </c>
      <c r="X24" s="156">
        <f t="shared" ref="X24:X28" si="97">SUM(U24:W24)</f>
        <v>1</v>
      </c>
      <c r="Y24" s="156">
        <f t="shared" ref="Y24:Y28" si="98">SUM(X24,T24,P24,L24)</f>
        <v>1</v>
      </c>
      <c r="Z24" s="154">
        <v>0.0</v>
      </c>
      <c r="AA24" s="154">
        <v>0.0</v>
      </c>
      <c r="AB24" s="154">
        <v>0.0</v>
      </c>
      <c r="AC24" s="156">
        <f t="shared" ref="AC24:AC28" si="99">SUM(Z24:AB24)</f>
        <v>0</v>
      </c>
      <c r="AD24" s="154">
        <v>0.0</v>
      </c>
      <c r="AE24" s="154">
        <v>0.0</v>
      </c>
      <c r="AF24" s="154">
        <v>0.0</v>
      </c>
      <c r="AG24" s="156">
        <f t="shared" ref="AG24:AG28" si="100">SUM(AD24:AF24)</f>
        <v>0</v>
      </c>
      <c r="AH24" s="154">
        <v>11.0</v>
      </c>
      <c r="AI24" s="154">
        <v>21.0</v>
      </c>
      <c r="AJ24" s="154">
        <v>2.0</v>
      </c>
      <c r="AK24" s="156">
        <f t="shared" ref="AK24:AK28" si="101">SUM(AH24:AJ24)</f>
        <v>34</v>
      </c>
      <c r="AL24" s="154">
        <v>1.0</v>
      </c>
      <c r="AM24" s="154">
        <v>0.0</v>
      </c>
      <c r="AN24" s="154">
        <v>12.0</v>
      </c>
      <c r="AO24" s="156">
        <f t="shared" ref="AO24:AO28" si="102">SUM(AL24:AN24)</f>
        <v>13</v>
      </c>
      <c r="AP24" s="156">
        <f t="shared" ref="AP24:AP28" si="103">SUM(AO24,AK24,AG24,AC24)</f>
        <v>47</v>
      </c>
      <c r="AQ24" s="154">
        <v>14.0</v>
      </c>
      <c r="AR24" s="154">
        <v>0.0</v>
      </c>
      <c r="AS24" s="154">
        <v>0.0</v>
      </c>
      <c r="AT24" s="154">
        <f t="shared" ref="AT24:AT28" si="104">SUM(AQ24:AS24)</f>
        <v>14</v>
      </c>
      <c r="AU24" s="154">
        <v>0.0</v>
      </c>
      <c r="AV24" s="154">
        <v>0.0</v>
      </c>
      <c r="AW24" s="154">
        <v>1.0</v>
      </c>
      <c r="AX24" s="154">
        <f t="shared" ref="AX24:AX28" si="105">SUM(AU24:AW24)</f>
        <v>1</v>
      </c>
      <c r="AY24" s="154">
        <v>0.0</v>
      </c>
      <c r="AZ24" s="154">
        <v>2.0</v>
      </c>
      <c r="BA24" s="154">
        <v>63.0</v>
      </c>
      <c r="BB24" s="154">
        <f t="shared" ref="BB24:BB28" si="106">SUM(AY24:BA24)</f>
        <v>65</v>
      </c>
      <c r="BC24" s="154">
        <v>116.0</v>
      </c>
      <c r="BD24" s="154">
        <v>203.0</v>
      </c>
      <c r="BE24" s="154">
        <v>73.0</v>
      </c>
      <c r="BF24" s="154">
        <f t="shared" ref="BF24:BF28" si="107">SUM(BC24:BE24)</f>
        <v>392</v>
      </c>
      <c r="BG24" s="154">
        <f t="shared" ref="BG24:BG28" si="108">SUM(AT24,AX24,BB24,BF24)</f>
        <v>472</v>
      </c>
      <c r="BH24" s="154">
        <v>158.0</v>
      </c>
      <c r="BI24" s="154">
        <v>19.0</v>
      </c>
      <c r="BJ24" s="154">
        <v>153.0</v>
      </c>
      <c r="BK24" s="154">
        <f t="shared" ref="BK24:BK28" si="109">SUM(BH24:BJ24)</f>
        <v>330</v>
      </c>
      <c r="BL24" s="154">
        <v>41.0</v>
      </c>
      <c r="BM24" s="154">
        <v>32.0</v>
      </c>
      <c r="BN24" s="154">
        <v>0.0</v>
      </c>
      <c r="BO24" s="154">
        <f t="shared" ref="BO24:BO28" si="110">SUM(BL24:BN24)</f>
        <v>73</v>
      </c>
      <c r="BP24" s="154">
        <v>43.0</v>
      </c>
      <c r="BQ24" s="154">
        <v>53.0</v>
      </c>
      <c r="BR24" s="154">
        <v>27.0</v>
      </c>
      <c r="BS24" s="154">
        <f t="shared" ref="BS24:BS28" si="111">SUM(BP24:BR24)</f>
        <v>123</v>
      </c>
      <c r="BT24" s="154">
        <v>161.0</v>
      </c>
      <c r="BU24" s="154">
        <v>129.0</v>
      </c>
      <c r="BV24" s="154">
        <v>115.0</v>
      </c>
      <c r="BW24" s="154">
        <f t="shared" ref="BW24:BW28" si="112">SUM(BT24:BV24)</f>
        <v>405</v>
      </c>
      <c r="BX24" s="154">
        <f t="shared" ref="BX24:BX28" si="113">SUM(BK24,BO24,BS24,BW24)</f>
        <v>931</v>
      </c>
      <c r="BY24" s="154">
        <v>8.0</v>
      </c>
      <c r="BZ24" s="154">
        <v>8.0</v>
      </c>
      <c r="CA24" s="154">
        <f t="shared" ref="CA24:CA28" si="114">BZ24-BY24</f>
        <v>0</v>
      </c>
      <c r="CB24" s="154">
        <v>45.0</v>
      </c>
      <c r="CC24" s="154">
        <v>45.0</v>
      </c>
      <c r="CD24" s="154">
        <f t="shared" ref="CD24:CD28" si="115">CC24-CB24</f>
        <v>0</v>
      </c>
      <c r="CE24" s="154">
        <v>0.0</v>
      </c>
      <c r="CF24" s="154">
        <v>75.0</v>
      </c>
      <c r="CG24" s="154">
        <f t="shared" ref="CG24:CG28" si="116">CF24-CE24</f>
        <v>75</v>
      </c>
      <c r="CH24" s="154">
        <f t="shared" ref="CH24:CH28" si="117">SUM(BY24:CF24)</f>
        <v>181</v>
      </c>
      <c r="CI24" s="154">
        <v>7.0</v>
      </c>
      <c r="CJ24" s="154">
        <v>7.0</v>
      </c>
      <c r="CK24" s="154">
        <f t="shared" ref="CK24:CK28" si="118">CJ24-CI24</f>
        <v>0</v>
      </c>
      <c r="CL24" s="154">
        <v>60.0</v>
      </c>
      <c r="CM24" s="154">
        <v>60.0</v>
      </c>
      <c r="CN24" s="154">
        <f t="shared" ref="CN24:CN28" si="119">CM24-CL24</f>
        <v>0</v>
      </c>
      <c r="CO24" s="125">
        <v>186.0</v>
      </c>
      <c r="CP24" s="125">
        <v>187.0</v>
      </c>
      <c r="CQ24" s="154">
        <f t="shared" ref="CQ24:CQ28" si="120">CP24-CO24</f>
        <v>1</v>
      </c>
      <c r="CR24" s="154">
        <f t="shared" ref="CR24:CR28" si="121">SUM(CI24:CO24)</f>
        <v>320</v>
      </c>
      <c r="CS24" s="154">
        <v>74.0</v>
      </c>
      <c r="CT24" s="154">
        <f t="shared" ref="CT24:CT28" si="122">SUM(CA24,CD24,CG24,CK24,CN24,CQ24)</f>
        <v>76</v>
      </c>
      <c r="CU24" s="154">
        <f t="shared" ref="CU24:CU28" si="123">CS24+CT24</f>
        <v>150</v>
      </c>
      <c r="CV24" s="154"/>
      <c r="CW24" s="125"/>
      <c r="CX24" s="154">
        <f t="shared" ref="CX24:CX28" si="124">SUM(CS24:CW24)</f>
        <v>300</v>
      </c>
      <c r="CY24" s="154"/>
      <c r="CZ24" s="154"/>
      <c r="DA24" s="125"/>
      <c r="DB24" s="154">
        <f t="shared" ref="DB24:DB28" si="125">SUM(CY24:DA24)</f>
        <v>0</v>
      </c>
      <c r="DC24" s="154">
        <f t="shared" ref="DC24:DC28" si="126">SUM(CH24,CR24,CX24,DB24)</f>
        <v>801</v>
      </c>
      <c r="DD24" s="154">
        <f t="shared" ref="DD24:DD28" si="127">SUM(B24,H24,Y24,AP24,BG24,BX24,DC24)</f>
        <v>2254</v>
      </c>
      <c r="DE24" s="6"/>
      <c r="DF24" s="172"/>
      <c r="DG24" s="6"/>
      <c r="DH24" s="24"/>
      <c r="DI24" s="24"/>
      <c r="DJ24" s="6"/>
      <c r="DK24" s="6"/>
      <c r="DL24" s="6"/>
    </row>
    <row r="25" ht="15.75" customHeight="1">
      <c r="A25" s="167" t="s">
        <v>95</v>
      </c>
      <c r="B25" s="154">
        <v>19276.0</v>
      </c>
      <c r="C25" s="154">
        <v>0.0</v>
      </c>
      <c r="D25" s="154">
        <v>0.0</v>
      </c>
      <c r="E25" s="154">
        <v>0.0</v>
      </c>
      <c r="F25" s="154">
        <v>4.0</v>
      </c>
      <c r="G25" s="154">
        <v>126.0</v>
      </c>
      <c r="H25" s="154">
        <f t="shared" si="93"/>
        <v>130</v>
      </c>
      <c r="I25" s="154">
        <v>48.0</v>
      </c>
      <c r="J25" s="154">
        <v>87.0</v>
      </c>
      <c r="K25" s="154">
        <v>89.0</v>
      </c>
      <c r="L25" s="156">
        <f t="shared" si="94"/>
        <v>224</v>
      </c>
      <c r="M25" s="154">
        <v>225.0</v>
      </c>
      <c r="N25" s="154">
        <v>98.0</v>
      </c>
      <c r="O25" s="154">
        <v>0.0</v>
      </c>
      <c r="P25" s="156">
        <f t="shared" si="95"/>
        <v>323</v>
      </c>
      <c r="Q25" s="154">
        <v>41.0</v>
      </c>
      <c r="R25" s="154">
        <v>376.0</v>
      </c>
      <c r="S25" s="154">
        <v>250.0</v>
      </c>
      <c r="T25" s="156">
        <f t="shared" si="96"/>
        <v>667</v>
      </c>
      <c r="U25" s="154">
        <v>8408.0</v>
      </c>
      <c r="V25" s="154">
        <v>254.0</v>
      </c>
      <c r="W25" s="154">
        <v>494.0</v>
      </c>
      <c r="X25" s="156">
        <f t="shared" si="97"/>
        <v>9156</v>
      </c>
      <c r="Y25" s="156">
        <f t="shared" si="98"/>
        <v>10370</v>
      </c>
      <c r="Z25" s="154">
        <v>68.0</v>
      </c>
      <c r="AA25" s="154">
        <v>448.0</v>
      </c>
      <c r="AB25" s="154">
        <v>5284.0</v>
      </c>
      <c r="AC25" s="156">
        <f t="shared" si="99"/>
        <v>5800</v>
      </c>
      <c r="AD25" s="154">
        <v>9003.0</v>
      </c>
      <c r="AE25" s="154">
        <v>10643.0</v>
      </c>
      <c r="AF25" s="154">
        <v>15678.0</v>
      </c>
      <c r="AG25" s="156">
        <f t="shared" si="100"/>
        <v>35324</v>
      </c>
      <c r="AH25" s="154">
        <v>8670.0</v>
      </c>
      <c r="AI25" s="154">
        <v>3752.0</v>
      </c>
      <c r="AJ25" s="154">
        <v>1994.0</v>
      </c>
      <c r="AK25" s="156">
        <f t="shared" si="101"/>
        <v>14416</v>
      </c>
      <c r="AL25" s="154">
        <v>2370.0</v>
      </c>
      <c r="AM25" s="154">
        <v>4236.0</v>
      </c>
      <c r="AN25" s="154">
        <v>4569.0</v>
      </c>
      <c r="AO25" s="156">
        <f t="shared" si="102"/>
        <v>11175</v>
      </c>
      <c r="AP25" s="156">
        <f t="shared" si="103"/>
        <v>66715</v>
      </c>
      <c r="AQ25" s="154">
        <v>2958.0</v>
      </c>
      <c r="AR25" s="154">
        <v>1463.0</v>
      </c>
      <c r="AS25" s="154">
        <v>3137.0</v>
      </c>
      <c r="AT25" s="154">
        <f t="shared" si="104"/>
        <v>7558</v>
      </c>
      <c r="AU25" s="154">
        <v>656.0</v>
      </c>
      <c r="AV25" s="154">
        <v>2150.0</v>
      </c>
      <c r="AW25" s="154">
        <v>1743.0</v>
      </c>
      <c r="AX25" s="154">
        <f t="shared" si="105"/>
        <v>4549</v>
      </c>
      <c r="AY25" s="154">
        <v>2829.0</v>
      </c>
      <c r="AZ25" s="154">
        <v>1497.0</v>
      </c>
      <c r="BA25" s="154">
        <v>3203.0</v>
      </c>
      <c r="BB25" s="154">
        <f t="shared" si="106"/>
        <v>7529</v>
      </c>
      <c r="BC25" s="154">
        <v>1085.0</v>
      </c>
      <c r="BD25" s="154">
        <v>2463.0</v>
      </c>
      <c r="BE25" s="154">
        <v>2105.0</v>
      </c>
      <c r="BF25" s="154">
        <f t="shared" si="107"/>
        <v>5653</v>
      </c>
      <c r="BG25" s="154">
        <f t="shared" si="108"/>
        <v>25289</v>
      </c>
      <c r="BH25" s="154">
        <v>3142.0</v>
      </c>
      <c r="BI25" s="154">
        <v>2615.0</v>
      </c>
      <c r="BJ25" s="154">
        <v>1996.0</v>
      </c>
      <c r="BK25" s="154">
        <f t="shared" si="109"/>
        <v>7753</v>
      </c>
      <c r="BL25" s="154">
        <v>3517.0</v>
      </c>
      <c r="BM25" s="154">
        <v>5320.0</v>
      </c>
      <c r="BN25" s="154">
        <v>841.0</v>
      </c>
      <c r="BO25" s="154">
        <f t="shared" si="110"/>
        <v>9678</v>
      </c>
      <c r="BP25" s="154">
        <v>1211.0</v>
      </c>
      <c r="BQ25" s="154">
        <v>1355.0</v>
      </c>
      <c r="BR25" s="154">
        <v>1451.0</v>
      </c>
      <c r="BS25" s="154">
        <f t="shared" si="111"/>
        <v>4017</v>
      </c>
      <c r="BT25" s="154">
        <v>1329.0</v>
      </c>
      <c r="BU25" s="154">
        <v>803.0</v>
      </c>
      <c r="BV25" s="154">
        <v>401.0</v>
      </c>
      <c r="BW25" s="154">
        <f t="shared" si="112"/>
        <v>2533</v>
      </c>
      <c r="BX25" s="154">
        <f t="shared" si="113"/>
        <v>23981</v>
      </c>
      <c r="BY25" s="154">
        <v>759.0</v>
      </c>
      <c r="BZ25" s="154">
        <v>759.0</v>
      </c>
      <c r="CA25" s="154">
        <f t="shared" si="114"/>
        <v>0</v>
      </c>
      <c r="CB25" s="154">
        <v>899.0</v>
      </c>
      <c r="CC25" s="154">
        <v>899.0</v>
      </c>
      <c r="CD25" s="154">
        <f t="shared" si="115"/>
        <v>0</v>
      </c>
      <c r="CE25" s="154">
        <v>3.0</v>
      </c>
      <c r="CF25" s="154">
        <v>669.0</v>
      </c>
      <c r="CG25" s="154">
        <f t="shared" si="116"/>
        <v>666</v>
      </c>
      <c r="CH25" s="154">
        <f t="shared" si="117"/>
        <v>3988</v>
      </c>
      <c r="CI25" s="154">
        <v>1154.0</v>
      </c>
      <c r="CJ25" s="154">
        <v>1161.0</v>
      </c>
      <c r="CK25" s="154">
        <f t="shared" si="118"/>
        <v>7</v>
      </c>
      <c r="CL25" s="154">
        <v>1174.0</v>
      </c>
      <c r="CM25" s="154">
        <v>1174.0</v>
      </c>
      <c r="CN25" s="154">
        <f t="shared" si="119"/>
        <v>0</v>
      </c>
      <c r="CO25" s="154">
        <v>1085.0</v>
      </c>
      <c r="CP25" s="154">
        <v>1111.0</v>
      </c>
      <c r="CQ25" s="154">
        <f t="shared" si="120"/>
        <v>26</v>
      </c>
      <c r="CR25" s="154">
        <f t="shared" si="121"/>
        <v>5755</v>
      </c>
      <c r="CS25" s="154">
        <v>1676.0</v>
      </c>
      <c r="CT25" s="154">
        <f t="shared" si="122"/>
        <v>699</v>
      </c>
      <c r="CU25" s="154">
        <f t="shared" si="123"/>
        <v>2375</v>
      </c>
      <c r="CV25" s="154"/>
      <c r="CW25" s="154"/>
      <c r="CX25" s="154">
        <f t="shared" si="124"/>
        <v>4750</v>
      </c>
      <c r="CY25" s="154"/>
      <c r="CZ25" s="154"/>
      <c r="DA25" s="154"/>
      <c r="DB25" s="154">
        <f t="shared" si="125"/>
        <v>0</v>
      </c>
      <c r="DC25" s="154">
        <f t="shared" si="126"/>
        <v>14493</v>
      </c>
      <c r="DD25" s="154">
        <f t="shared" si="127"/>
        <v>160254</v>
      </c>
      <c r="DE25" s="6"/>
      <c r="DF25" s="172"/>
      <c r="DG25" s="6"/>
      <c r="DH25" s="24"/>
      <c r="DI25" s="24"/>
      <c r="DJ25" s="6"/>
      <c r="DK25" s="6"/>
      <c r="DL25" s="6"/>
    </row>
    <row r="26" ht="15.75" customHeight="1">
      <c r="A26" s="167" t="s">
        <v>96</v>
      </c>
      <c r="B26" s="154">
        <v>24998.0</v>
      </c>
      <c r="C26" s="154">
        <v>0.0</v>
      </c>
      <c r="D26" s="154">
        <v>0.0</v>
      </c>
      <c r="E26" s="154">
        <v>0.0</v>
      </c>
      <c r="F26" s="154">
        <v>1.0</v>
      </c>
      <c r="G26" s="154">
        <v>69.0</v>
      </c>
      <c r="H26" s="154">
        <f t="shared" si="93"/>
        <v>70</v>
      </c>
      <c r="I26" s="154">
        <v>65.0</v>
      </c>
      <c r="J26" s="154">
        <v>91.0</v>
      </c>
      <c r="K26" s="154">
        <v>265.0</v>
      </c>
      <c r="L26" s="156">
        <f t="shared" si="94"/>
        <v>421</v>
      </c>
      <c r="M26" s="154">
        <v>308.0</v>
      </c>
      <c r="N26" s="154">
        <v>113.0</v>
      </c>
      <c r="O26" s="154">
        <v>0.0</v>
      </c>
      <c r="P26" s="156">
        <f t="shared" si="95"/>
        <v>421</v>
      </c>
      <c r="Q26" s="154">
        <v>87.0</v>
      </c>
      <c r="R26" s="154">
        <v>898.0</v>
      </c>
      <c r="S26" s="154">
        <v>263.0</v>
      </c>
      <c r="T26" s="156">
        <f t="shared" si="96"/>
        <v>1248</v>
      </c>
      <c r="U26" s="154">
        <v>10923.0</v>
      </c>
      <c r="V26" s="154">
        <v>326.0</v>
      </c>
      <c r="W26" s="154">
        <v>391.0</v>
      </c>
      <c r="X26" s="156">
        <f t="shared" si="97"/>
        <v>11640</v>
      </c>
      <c r="Y26" s="156">
        <f t="shared" si="98"/>
        <v>13730</v>
      </c>
      <c r="Z26" s="154">
        <v>241.0</v>
      </c>
      <c r="AA26" s="154">
        <v>2362.0</v>
      </c>
      <c r="AB26" s="154">
        <v>6574.0</v>
      </c>
      <c r="AC26" s="156">
        <f t="shared" si="99"/>
        <v>9177</v>
      </c>
      <c r="AD26" s="154">
        <v>14312.0</v>
      </c>
      <c r="AE26" s="154">
        <v>11028.0</v>
      </c>
      <c r="AF26" s="154">
        <v>11262.0</v>
      </c>
      <c r="AG26" s="156">
        <f t="shared" si="100"/>
        <v>36602</v>
      </c>
      <c r="AH26" s="154">
        <v>3376.0</v>
      </c>
      <c r="AI26" s="154">
        <v>2051.0</v>
      </c>
      <c r="AJ26" s="154">
        <v>2327.0</v>
      </c>
      <c r="AK26" s="156">
        <f t="shared" si="101"/>
        <v>7754</v>
      </c>
      <c r="AL26" s="154">
        <v>3788.0</v>
      </c>
      <c r="AM26" s="154">
        <v>8282.0</v>
      </c>
      <c r="AN26" s="154">
        <v>5749.0</v>
      </c>
      <c r="AO26" s="156">
        <f t="shared" si="102"/>
        <v>17819</v>
      </c>
      <c r="AP26" s="156">
        <f t="shared" si="103"/>
        <v>71352</v>
      </c>
      <c r="AQ26" s="154">
        <v>3697.0</v>
      </c>
      <c r="AR26" s="154">
        <v>2109.0</v>
      </c>
      <c r="AS26" s="154">
        <v>2132.0</v>
      </c>
      <c r="AT26" s="154">
        <f t="shared" si="104"/>
        <v>7938</v>
      </c>
      <c r="AU26" s="154">
        <v>725.0</v>
      </c>
      <c r="AV26" s="154">
        <v>3479.0</v>
      </c>
      <c r="AW26" s="154">
        <v>5157.0</v>
      </c>
      <c r="AX26" s="154">
        <f t="shared" si="105"/>
        <v>9361</v>
      </c>
      <c r="AY26" s="154">
        <v>3943.0</v>
      </c>
      <c r="AZ26" s="154">
        <v>1777.0</v>
      </c>
      <c r="BA26" s="154">
        <v>4728.0</v>
      </c>
      <c r="BB26" s="154">
        <f t="shared" si="106"/>
        <v>10448</v>
      </c>
      <c r="BC26" s="154">
        <v>1315.0</v>
      </c>
      <c r="BD26" s="154">
        <v>3886.0</v>
      </c>
      <c r="BE26" s="154">
        <v>2171.0</v>
      </c>
      <c r="BF26" s="154">
        <f t="shared" si="107"/>
        <v>7372</v>
      </c>
      <c r="BG26" s="154">
        <f t="shared" si="108"/>
        <v>35119</v>
      </c>
      <c r="BH26" s="154">
        <v>3551.0</v>
      </c>
      <c r="BI26" s="154">
        <v>3407.0</v>
      </c>
      <c r="BJ26" s="154">
        <v>2658.0</v>
      </c>
      <c r="BK26" s="154">
        <f t="shared" si="109"/>
        <v>9616</v>
      </c>
      <c r="BL26" s="154">
        <v>4279.0</v>
      </c>
      <c r="BM26" s="154">
        <v>3949.0</v>
      </c>
      <c r="BN26" s="154">
        <v>53.0</v>
      </c>
      <c r="BO26" s="154">
        <f t="shared" si="110"/>
        <v>8281</v>
      </c>
      <c r="BP26" s="154">
        <v>295.0</v>
      </c>
      <c r="BQ26" s="154">
        <v>1197.0</v>
      </c>
      <c r="BR26" s="154">
        <v>1026.0</v>
      </c>
      <c r="BS26" s="154">
        <f t="shared" si="111"/>
        <v>2518</v>
      </c>
      <c r="BT26" s="154">
        <v>659.0</v>
      </c>
      <c r="BU26" s="154">
        <v>281.0</v>
      </c>
      <c r="BV26" s="154">
        <v>457.0</v>
      </c>
      <c r="BW26" s="154">
        <f t="shared" si="112"/>
        <v>1397</v>
      </c>
      <c r="BX26" s="154">
        <f t="shared" si="113"/>
        <v>21812</v>
      </c>
      <c r="BY26" s="154">
        <v>991.0</v>
      </c>
      <c r="BZ26" s="154">
        <v>991.0</v>
      </c>
      <c r="CA26" s="154">
        <f t="shared" si="114"/>
        <v>0</v>
      </c>
      <c r="CB26" s="154">
        <v>728.0</v>
      </c>
      <c r="CC26" s="154">
        <v>728.0</v>
      </c>
      <c r="CD26" s="154">
        <f t="shared" si="115"/>
        <v>0</v>
      </c>
      <c r="CE26" s="154">
        <v>6.0</v>
      </c>
      <c r="CF26" s="154">
        <v>913.0</v>
      </c>
      <c r="CG26" s="154">
        <f t="shared" si="116"/>
        <v>907</v>
      </c>
      <c r="CH26" s="154">
        <f t="shared" si="117"/>
        <v>4357</v>
      </c>
      <c r="CI26" s="154">
        <v>1115.0</v>
      </c>
      <c r="CJ26" s="154">
        <v>846.0</v>
      </c>
      <c r="CK26" s="154">
        <f t="shared" si="118"/>
        <v>-269</v>
      </c>
      <c r="CL26" s="154">
        <v>674.0</v>
      </c>
      <c r="CM26" s="154">
        <v>674.0</v>
      </c>
      <c r="CN26" s="154">
        <f t="shared" si="119"/>
        <v>0</v>
      </c>
      <c r="CO26" s="154">
        <v>670.0</v>
      </c>
      <c r="CP26" s="154">
        <v>696.0</v>
      </c>
      <c r="CQ26" s="154">
        <f t="shared" si="120"/>
        <v>26</v>
      </c>
      <c r="CR26" s="154">
        <f t="shared" si="121"/>
        <v>3710</v>
      </c>
      <c r="CS26" s="154">
        <v>1764.0</v>
      </c>
      <c r="CT26" s="154">
        <f t="shared" si="122"/>
        <v>664</v>
      </c>
      <c r="CU26" s="154">
        <f t="shared" si="123"/>
        <v>2428</v>
      </c>
      <c r="CV26" s="154"/>
      <c r="CW26" s="154"/>
      <c r="CX26" s="154">
        <f t="shared" si="124"/>
        <v>4856</v>
      </c>
      <c r="CY26" s="154"/>
      <c r="CZ26" s="154"/>
      <c r="DA26" s="154"/>
      <c r="DB26" s="154">
        <f t="shared" si="125"/>
        <v>0</v>
      </c>
      <c r="DC26" s="154">
        <f t="shared" si="126"/>
        <v>12923</v>
      </c>
      <c r="DD26" s="154">
        <f t="shared" si="127"/>
        <v>180004</v>
      </c>
      <c r="DE26" s="6"/>
      <c r="DF26" s="172"/>
      <c r="DG26" s="6"/>
      <c r="DH26" s="24"/>
      <c r="DI26" s="24"/>
      <c r="DJ26" s="6"/>
      <c r="DK26" s="6"/>
      <c r="DL26" s="6"/>
    </row>
    <row r="27" ht="15.75" customHeight="1">
      <c r="A27" s="167" t="s">
        <v>97</v>
      </c>
      <c r="B27" s="154">
        <v>6918.0</v>
      </c>
      <c r="C27" s="154">
        <v>0.0</v>
      </c>
      <c r="D27" s="154">
        <v>0.0</v>
      </c>
      <c r="E27" s="154">
        <v>0.0</v>
      </c>
      <c r="F27" s="154">
        <v>0.0</v>
      </c>
      <c r="G27" s="154">
        <v>3.0</v>
      </c>
      <c r="H27" s="154">
        <f t="shared" si="93"/>
        <v>3</v>
      </c>
      <c r="I27" s="154">
        <v>53.0</v>
      </c>
      <c r="J27" s="154">
        <v>5.0</v>
      </c>
      <c r="K27" s="154">
        <v>12.0</v>
      </c>
      <c r="L27" s="156">
        <f t="shared" si="94"/>
        <v>70</v>
      </c>
      <c r="M27" s="154">
        <v>58.0</v>
      </c>
      <c r="N27" s="154">
        <v>6.0</v>
      </c>
      <c r="O27" s="154">
        <v>0.0</v>
      </c>
      <c r="P27" s="156">
        <f t="shared" si="95"/>
        <v>64</v>
      </c>
      <c r="Q27" s="154">
        <v>96.0</v>
      </c>
      <c r="R27" s="154">
        <v>99.0</v>
      </c>
      <c r="S27" s="154">
        <v>3270.0</v>
      </c>
      <c r="T27" s="156">
        <f t="shared" si="96"/>
        <v>3465</v>
      </c>
      <c r="U27" s="154">
        <v>106.0</v>
      </c>
      <c r="V27" s="154">
        <v>631.0</v>
      </c>
      <c r="W27" s="154">
        <v>89.0</v>
      </c>
      <c r="X27" s="156">
        <f t="shared" si="97"/>
        <v>826</v>
      </c>
      <c r="Y27" s="156">
        <f t="shared" si="98"/>
        <v>4425</v>
      </c>
      <c r="Z27" s="154">
        <v>547.0</v>
      </c>
      <c r="AA27" s="154">
        <v>513.0</v>
      </c>
      <c r="AB27" s="154">
        <v>353.0</v>
      </c>
      <c r="AC27" s="156">
        <f t="shared" si="99"/>
        <v>1413</v>
      </c>
      <c r="AD27" s="154">
        <v>116.0</v>
      </c>
      <c r="AE27" s="154">
        <v>8.0</v>
      </c>
      <c r="AF27" s="154">
        <v>224.0</v>
      </c>
      <c r="AG27" s="156">
        <f t="shared" si="100"/>
        <v>348</v>
      </c>
      <c r="AH27" s="154">
        <v>489.0</v>
      </c>
      <c r="AI27" s="154">
        <v>2896.0</v>
      </c>
      <c r="AJ27" s="154">
        <v>3707.0</v>
      </c>
      <c r="AK27" s="156">
        <f t="shared" si="101"/>
        <v>7092</v>
      </c>
      <c r="AL27" s="154">
        <v>1715.0</v>
      </c>
      <c r="AM27" s="154">
        <v>2390.0</v>
      </c>
      <c r="AN27" s="154">
        <v>134.0</v>
      </c>
      <c r="AO27" s="156">
        <f t="shared" si="102"/>
        <v>4239</v>
      </c>
      <c r="AP27" s="156">
        <f t="shared" si="103"/>
        <v>13092</v>
      </c>
      <c r="AQ27" s="154">
        <v>344.0</v>
      </c>
      <c r="AR27" s="154">
        <v>647.0</v>
      </c>
      <c r="AS27" s="154">
        <v>725.0</v>
      </c>
      <c r="AT27" s="154">
        <f t="shared" si="104"/>
        <v>1716</v>
      </c>
      <c r="AU27" s="154">
        <v>101.0</v>
      </c>
      <c r="AV27" s="154">
        <v>516.0</v>
      </c>
      <c r="AW27" s="154">
        <v>181.0</v>
      </c>
      <c r="AX27" s="154">
        <f t="shared" si="105"/>
        <v>798</v>
      </c>
      <c r="AY27" s="154">
        <v>1046.0</v>
      </c>
      <c r="AZ27" s="154">
        <v>797.0</v>
      </c>
      <c r="BA27" s="154">
        <v>549.0</v>
      </c>
      <c r="BB27" s="154">
        <f t="shared" si="106"/>
        <v>2392</v>
      </c>
      <c r="BC27" s="154">
        <v>644.0</v>
      </c>
      <c r="BD27" s="154">
        <v>731.0</v>
      </c>
      <c r="BE27" s="154">
        <v>79.0</v>
      </c>
      <c r="BF27" s="154">
        <f t="shared" si="107"/>
        <v>1454</v>
      </c>
      <c r="BG27" s="154">
        <f t="shared" si="108"/>
        <v>6360</v>
      </c>
      <c r="BH27" s="154">
        <v>600.0</v>
      </c>
      <c r="BI27" s="154">
        <v>1162.0</v>
      </c>
      <c r="BJ27" s="154">
        <v>936.0</v>
      </c>
      <c r="BK27" s="154">
        <f t="shared" si="109"/>
        <v>2698</v>
      </c>
      <c r="BL27" s="154">
        <v>1850.0</v>
      </c>
      <c r="BM27" s="154">
        <v>1149.0</v>
      </c>
      <c r="BN27" s="154">
        <v>413.0</v>
      </c>
      <c r="BO27" s="154">
        <f t="shared" si="110"/>
        <v>3412</v>
      </c>
      <c r="BP27" s="154">
        <v>4.0</v>
      </c>
      <c r="BQ27" s="154">
        <v>158.0</v>
      </c>
      <c r="BR27" s="154">
        <v>245.0</v>
      </c>
      <c r="BS27" s="154">
        <f t="shared" si="111"/>
        <v>407</v>
      </c>
      <c r="BT27" s="154">
        <v>438.0</v>
      </c>
      <c r="BU27" s="154">
        <v>181.0</v>
      </c>
      <c r="BV27" s="154">
        <v>108.0</v>
      </c>
      <c r="BW27" s="154">
        <f t="shared" si="112"/>
        <v>727</v>
      </c>
      <c r="BX27" s="154">
        <f t="shared" si="113"/>
        <v>7244</v>
      </c>
      <c r="BY27" s="154">
        <v>161.0</v>
      </c>
      <c r="BZ27" s="154">
        <v>161.0</v>
      </c>
      <c r="CA27" s="154">
        <f t="shared" si="114"/>
        <v>0</v>
      </c>
      <c r="CB27" s="154">
        <v>176.0</v>
      </c>
      <c r="CC27" s="154">
        <v>176.0</v>
      </c>
      <c r="CD27" s="154">
        <f t="shared" si="115"/>
        <v>0</v>
      </c>
      <c r="CE27" s="154">
        <v>4.0</v>
      </c>
      <c r="CF27" s="154">
        <v>249.0</v>
      </c>
      <c r="CG27" s="154">
        <f t="shared" si="116"/>
        <v>245</v>
      </c>
      <c r="CH27" s="154">
        <f t="shared" si="117"/>
        <v>927</v>
      </c>
      <c r="CI27" s="154">
        <v>103.0</v>
      </c>
      <c r="CJ27" s="154">
        <v>103.0</v>
      </c>
      <c r="CK27" s="154">
        <f t="shared" si="118"/>
        <v>0</v>
      </c>
      <c r="CL27" s="154">
        <v>247.0</v>
      </c>
      <c r="CM27" s="154">
        <v>247.0</v>
      </c>
      <c r="CN27" s="154">
        <f t="shared" si="119"/>
        <v>0</v>
      </c>
      <c r="CO27" s="154">
        <v>189.0</v>
      </c>
      <c r="CP27" s="154">
        <v>194.0</v>
      </c>
      <c r="CQ27" s="154">
        <f t="shared" si="120"/>
        <v>5</v>
      </c>
      <c r="CR27" s="154">
        <f t="shared" si="121"/>
        <v>889</v>
      </c>
      <c r="CS27" s="154">
        <v>302.0</v>
      </c>
      <c r="CT27" s="154">
        <f t="shared" si="122"/>
        <v>250</v>
      </c>
      <c r="CU27" s="154">
        <f t="shared" si="123"/>
        <v>552</v>
      </c>
      <c r="CV27" s="154"/>
      <c r="CW27" s="154"/>
      <c r="CX27" s="154">
        <f t="shared" si="124"/>
        <v>1104</v>
      </c>
      <c r="CY27" s="154"/>
      <c r="CZ27" s="154"/>
      <c r="DA27" s="154"/>
      <c r="DB27" s="154">
        <f t="shared" si="125"/>
        <v>0</v>
      </c>
      <c r="DC27" s="154">
        <f t="shared" si="126"/>
        <v>2920</v>
      </c>
      <c r="DD27" s="154">
        <f t="shared" si="127"/>
        <v>40962</v>
      </c>
      <c r="DE27" s="6"/>
      <c r="DF27" s="172"/>
      <c r="DG27" s="6"/>
      <c r="DH27" s="24"/>
      <c r="DI27" s="24"/>
      <c r="DJ27" s="6"/>
      <c r="DK27" s="6"/>
      <c r="DL27" s="6"/>
    </row>
    <row r="28" ht="15.75" customHeight="1">
      <c r="A28" s="167" t="s">
        <v>98</v>
      </c>
      <c r="B28" s="154">
        <v>4311.0</v>
      </c>
      <c r="C28" s="154">
        <v>0.0</v>
      </c>
      <c r="D28" s="154">
        <v>0.0</v>
      </c>
      <c r="E28" s="154">
        <v>0.0</v>
      </c>
      <c r="F28" s="154">
        <v>4.0</v>
      </c>
      <c r="G28" s="154">
        <v>36.0</v>
      </c>
      <c r="H28" s="154">
        <f t="shared" si="93"/>
        <v>40</v>
      </c>
      <c r="I28" s="154">
        <v>16.0</v>
      </c>
      <c r="J28" s="154">
        <v>15.0</v>
      </c>
      <c r="K28" s="154">
        <v>63.0</v>
      </c>
      <c r="L28" s="156">
        <f t="shared" si="94"/>
        <v>94</v>
      </c>
      <c r="M28" s="154">
        <v>22.0</v>
      </c>
      <c r="N28" s="154">
        <v>0.0</v>
      </c>
      <c r="O28" s="154">
        <v>0.0</v>
      </c>
      <c r="P28" s="156">
        <f t="shared" si="95"/>
        <v>22</v>
      </c>
      <c r="Q28" s="154">
        <v>26.0</v>
      </c>
      <c r="R28" s="154">
        <v>83.0</v>
      </c>
      <c r="S28" s="154">
        <v>1706.0</v>
      </c>
      <c r="T28" s="156">
        <f t="shared" si="96"/>
        <v>1815</v>
      </c>
      <c r="U28" s="154">
        <v>23.0</v>
      </c>
      <c r="V28" s="154">
        <v>51.0</v>
      </c>
      <c r="W28" s="154">
        <v>232.0</v>
      </c>
      <c r="X28" s="156">
        <f t="shared" si="97"/>
        <v>306</v>
      </c>
      <c r="Y28" s="156">
        <f t="shared" si="98"/>
        <v>2237</v>
      </c>
      <c r="Z28" s="154">
        <v>23.0</v>
      </c>
      <c r="AA28" s="154">
        <v>440.0</v>
      </c>
      <c r="AB28" s="154">
        <v>170.0</v>
      </c>
      <c r="AC28" s="156">
        <f t="shared" si="99"/>
        <v>633</v>
      </c>
      <c r="AD28" s="154">
        <v>34.0</v>
      </c>
      <c r="AE28" s="154">
        <v>9.0</v>
      </c>
      <c r="AF28" s="154">
        <v>435.0</v>
      </c>
      <c r="AG28" s="156">
        <f t="shared" si="100"/>
        <v>478</v>
      </c>
      <c r="AH28" s="154">
        <v>374.0</v>
      </c>
      <c r="AI28" s="154">
        <v>2017.0</v>
      </c>
      <c r="AJ28" s="154">
        <v>686.0</v>
      </c>
      <c r="AK28" s="156">
        <f t="shared" si="101"/>
        <v>3077</v>
      </c>
      <c r="AL28" s="154">
        <v>769.0</v>
      </c>
      <c r="AM28" s="154">
        <v>1610.0</v>
      </c>
      <c r="AN28" s="154">
        <v>303.0</v>
      </c>
      <c r="AO28" s="156">
        <f t="shared" si="102"/>
        <v>2682</v>
      </c>
      <c r="AP28" s="156">
        <f t="shared" si="103"/>
        <v>6870</v>
      </c>
      <c r="AQ28" s="154">
        <v>176.0</v>
      </c>
      <c r="AR28" s="154">
        <v>505.0</v>
      </c>
      <c r="AS28" s="154">
        <v>116.0</v>
      </c>
      <c r="AT28" s="154">
        <f t="shared" si="104"/>
        <v>797</v>
      </c>
      <c r="AU28" s="154">
        <v>59.0</v>
      </c>
      <c r="AV28" s="154">
        <v>33.0</v>
      </c>
      <c r="AW28" s="154">
        <v>46.0</v>
      </c>
      <c r="AX28" s="154">
        <f t="shared" si="105"/>
        <v>138</v>
      </c>
      <c r="AY28" s="154">
        <v>188.0</v>
      </c>
      <c r="AZ28" s="154">
        <v>204.0</v>
      </c>
      <c r="BA28" s="154">
        <v>268.0</v>
      </c>
      <c r="BB28" s="154">
        <f t="shared" si="106"/>
        <v>660</v>
      </c>
      <c r="BC28" s="154">
        <v>239.0</v>
      </c>
      <c r="BD28" s="154">
        <v>130.0</v>
      </c>
      <c r="BE28" s="154">
        <v>214.0</v>
      </c>
      <c r="BF28" s="154">
        <f t="shared" si="107"/>
        <v>583</v>
      </c>
      <c r="BG28" s="154">
        <f t="shared" si="108"/>
        <v>2178</v>
      </c>
      <c r="BH28" s="154">
        <v>284.0</v>
      </c>
      <c r="BI28" s="154">
        <v>610.0</v>
      </c>
      <c r="BJ28" s="154">
        <v>141.0</v>
      </c>
      <c r="BK28" s="154">
        <f t="shared" si="109"/>
        <v>1035</v>
      </c>
      <c r="BL28" s="154">
        <v>577.0</v>
      </c>
      <c r="BM28" s="154">
        <v>906.0</v>
      </c>
      <c r="BN28" s="154">
        <v>316.0</v>
      </c>
      <c r="BO28" s="154">
        <f t="shared" si="110"/>
        <v>1799</v>
      </c>
      <c r="BP28" s="154">
        <v>297.0</v>
      </c>
      <c r="BQ28" s="154">
        <v>133.0</v>
      </c>
      <c r="BR28" s="154">
        <v>251.0</v>
      </c>
      <c r="BS28" s="154">
        <f t="shared" si="111"/>
        <v>681</v>
      </c>
      <c r="BT28" s="154">
        <v>234.0</v>
      </c>
      <c r="BU28" s="154">
        <v>28.0</v>
      </c>
      <c r="BV28" s="154">
        <v>162.0</v>
      </c>
      <c r="BW28" s="154">
        <f t="shared" si="112"/>
        <v>424</v>
      </c>
      <c r="BX28" s="154">
        <f t="shared" si="113"/>
        <v>3939</v>
      </c>
      <c r="BY28" s="154">
        <v>220.0</v>
      </c>
      <c r="BZ28" s="154">
        <v>220.0</v>
      </c>
      <c r="CA28" s="154">
        <f t="shared" si="114"/>
        <v>0</v>
      </c>
      <c r="CB28" s="154">
        <v>100.0</v>
      </c>
      <c r="CC28" s="154">
        <v>100.0</v>
      </c>
      <c r="CD28" s="154">
        <f t="shared" si="115"/>
        <v>0</v>
      </c>
      <c r="CE28" s="154">
        <v>2.0</v>
      </c>
      <c r="CF28" s="154">
        <v>209.0</v>
      </c>
      <c r="CG28" s="154">
        <f t="shared" si="116"/>
        <v>207</v>
      </c>
      <c r="CH28" s="154">
        <f t="shared" si="117"/>
        <v>851</v>
      </c>
      <c r="CI28" s="154">
        <v>189.0</v>
      </c>
      <c r="CJ28" s="154">
        <v>149.0</v>
      </c>
      <c r="CK28" s="154">
        <f t="shared" si="118"/>
        <v>-40</v>
      </c>
      <c r="CL28" s="154">
        <v>73.0</v>
      </c>
      <c r="CM28" s="154">
        <v>73.0</v>
      </c>
      <c r="CN28" s="154">
        <f t="shared" si="119"/>
        <v>0</v>
      </c>
      <c r="CO28" s="154">
        <v>132.0</v>
      </c>
      <c r="CP28" s="154">
        <v>133.0</v>
      </c>
      <c r="CQ28" s="154">
        <f t="shared" si="120"/>
        <v>1</v>
      </c>
      <c r="CR28" s="154">
        <f t="shared" si="121"/>
        <v>576</v>
      </c>
      <c r="CS28" s="154">
        <v>223.0</v>
      </c>
      <c r="CT28" s="154">
        <f t="shared" si="122"/>
        <v>168</v>
      </c>
      <c r="CU28" s="154">
        <f t="shared" si="123"/>
        <v>391</v>
      </c>
      <c r="CV28" s="154"/>
      <c r="CW28" s="154"/>
      <c r="CX28" s="154">
        <f t="shared" si="124"/>
        <v>782</v>
      </c>
      <c r="CY28" s="154"/>
      <c r="CZ28" s="154"/>
      <c r="DA28" s="154"/>
      <c r="DB28" s="154">
        <f t="shared" si="125"/>
        <v>0</v>
      </c>
      <c r="DC28" s="154">
        <f t="shared" si="126"/>
        <v>2209</v>
      </c>
      <c r="DD28" s="154">
        <f t="shared" si="127"/>
        <v>21784</v>
      </c>
      <c r="DE28" s="6"/>
      <c r="DF28" s="172"/>
      <c r="DG28" s="6"/>
      <c r="DH28" s="24"/>
      <c r="DI28" s="24"/>
      <c r="DJ28" s="6"/>
      <c r="DK28" s="6"/>
      <c r="DL28" s="6"/>
    </row>
    <row r="29" ht="15.75" customHeight="1">
      <c r="A29" s="137" t="s">
        <v>99</v>
      </c>
      <c r="B29" s="141">
        <f t="shared" ref="B29:DD29" si="128">SUM(B30:B36)</f>
        <v>545</v>
      </c>
      <c r="C29" s="141">
        <f t="shared" si="128"/>
        <v>0</v>
      </c>
      <c r="D29" s="141">
        <f t="shared" si="128"/>
        <v>0</v>
      </c>
      <c r="E29" s="141">
        <f t="shared" si="128"/>
        <v>2</v>
      </c>
      <c r="F29" s="141">
        <f t="shared" si="128"/>
        <v>152</v>
      </c>
      <c r="G29" s="141">
        <f t="shared" si="128"/>
        <v>217</v>
      </c>
      <c r="H29" s="141">
        <f t="shared" si="128"/>
        <v>371</v>
      </c>
      <c r="I29" s="141">
        <f t="shared" si="128"/>
        <v>631</v>
      </c>
      <c r="J29" s="141">
        <f t="shared" si="128"/>
        <v>271</v>
      </c>
      <c r="K29" s="141">
        <f t="shared" si="128"/>
        <v>620</v>
      </c>
      <c r="L29" s="141">
        <f t="shared" si="128"/>
        <v>1522</v>
      </c>
      <c r="M29" s="141">
        <f t="shared" si="128"/>
        <v>694</v>
      </c>
      <c r="N29" s="141">
        <f t="shared" si="128"/>
        <v>65</v>
      </c>
      <c r="O29" s="141">
        <f t="shared" si="128"/>
        <v>0</v>
      </c>
      <c r="P29" s="141">
        <f t="shared" si="128"/>
        <v>759</v>
      </c>
      <c r="Q29" s="141">
        <f t="shared" si="128"/>
        <v>1896</v>
      </c>
      <c r="R29" s="141">
        <f t="shared" si="128"/>
        <v>12774</v>
      </c>
      <c r="S29" s="141">
        <f t="shared" si="128"/>
        <v>17319</v>
      </c>
      <c r="T29" s="141">
        <f t="shared" si="128"/>
        <v>31989</v>
      </c>
      <c r="U29" s="141">
        <f t="shared" si="128"/>
        <v>14162</v>
      </c>
      <c r="V29" s="141">
        <f t="shared" si="128"/>
        <v>15591</v>
      </c>
      <c r="W29" s="141">
        <f t="shared" si="128"/>
        <v>10864</v>
      </c>
      <c r="X29" s="141">
        <f t="shared" si="128"/>
        <v>40617</v>
      </c>
      <c r="Y29" s="141">
        <f t="shared" si="128"/>
        <v>74887</v>
      </c>
      <c r="Z29" s="141">
        <f t="shared" si="128"/>
        <v>9203</v>
      </c>
      <c r="AA29" s="141">
        <f t="shared" si="128"/>
        <v>11990</v>
      </c>
      <c r="AB29" s="141">
        <f t="shared" si="128"/>
        <v>29548</v>
      </c>
      <c r="AC29" s="141">
        <f t="shared" si="128"/>
        <v>50741</v>
      </c>
      <c r="AD29" s="141">
        <f t="shared" si="128"/>
        <v>18601</v>
      </c>
      <c r="AE29" s="141">
        <f t="shared" si="128"/>
        <v>14487</v>
      </c>
      <c r="AF29" s="141">
        <f t="shared" si="128"/>
        <v>19012</v>
      </c>
      <c r="AG29" s="141">
        <f t="shared" si="128"/>
        <v>52100</v>
      </c>
      <c r="AH29" s="141">
        <f t="shared" si="128"/>
        <v>21051</v>
      </c>
      <c r="AI29" s="141">
        <f t="shared" si="128"/>
        <v>25581</v>
      </c>
      <c r="AJ29" s="141">
        <f t="shared" si="128"/>
        <v>23458</v>
      </c>
      <c r="AK29" s="141">
        <f t="shared" si="128"/>
        <v>70090</v>
      </c>
      <c r="AL29" s="141">
        <f t="shared" si="128"/>
        <v>23737</v>
      </c>
      <c r="AM29" s="141">
        <f t="shared" si="128"/>
        <v>20923</v>
      </c>
      <c r="AN29" s="141">
        <f t="shared" si="128"/>
        <v>16892</v>
      </c>
      <c r="AO29" s="141">
        <f t="shared" si="128"/>
        <v>61552</v>
      </c>
      <c r="AP29" s="141">
        <f t="shared" si="128"/>
        <v>234483</v>
      </c>
      <c r="AQ29" s="141">
        <f t="shared" si="128"/>
        <v>12556</v>
      </c>
      <c r="AR29" s="141">
        <f t="shared" si="128"/>
        <v>19620</v>
      </c>
      <c r="AS29" s="141">
        <f t="shared" si="128"/>
        <v>22387</v>
      </c>
      <c r="AT29" s="141">
        <f t="shared" si="128"/>
        <v>54563</v>
      </c>
      <c r="AU29" s="141">
        <f t="shared" si="128"/>
        <v>9035</v>
      </c>
      <c r="AV29" s="141">
        <f t="shared" si="128"/>
        <v>19147</v>
      </c>
      <c r="AW29" s="141">
        <f t="shared" si="128"/>
        <v>13187</v>
      </c>
      <c r="AX29" s="141">
        <f t="shared" si="128"/>
        <v>41369</v>
      </c>
      <c r="AY29" s="141">
        <f t="shared" si="128"/>
        <v>11028</v>
      </c>
      <c r="AZ29" s="141">
        <f t="shared" si="128"/>
        <v>16608</v>
      </c>
      <c r="BA29" s="141">
        <f t="shared" si="128"/>
        <v>7646</v>
      </c>
      <c r="BB29" s="141">
        <f t="shared" si="128"/>
        <v>35282</v>
      </c>
      <c r="BC29" s="141">
        <f t="shared" si="128"/>
        <v>3132</v>
      </c>
      <c r="BD29" s="141">
        <f t="shared" si="128"/>
        <v>6754</v>
      </c>
      <c r="BE29" s="141">
        <f t="shared" si="128"/>
        <v>3657</v>
      </c>
      <c r="BF29" s="141">
        <f t="shared" si="128"/>
        <v>13543</v>
      </c>
      <c r="BG29" s="141">
        <f t="shared" si="128"/>
        <v>144757</v>
      </c>
      <c r="BH29" s="141">
        <f t="shared" si="128"/>
        <v>3943</v>
      </c>
      <c r="BI29" s="141">
        <f t="shared" si="128"/>
        <v>4606</v>
      </c>
      <c r="BJ29" s="141">
        <f t="shared" si="128"/>
        <v>3593</v>
      </c>
      <c r="BK29" s="141">
        <f t="shared" si="128"/>
        <v>12142</v>
      </c>
      <c r="BL29" s="141">
        <f t="shared" si="128"/>
        <v>3114</v>
      </c>
      <c r="BM29" s="141">
        <f t="shared" si="128"/>
        <v>4199</v>
      </c>
      <c r="BN29" s="141">
        <f t="shared" si="128"/>
        <v>3924</v>
      </c>
      <c r="BO29" s="141">
        <f t="shared" si="128"/>
        <v>11237</v>
      </c>
      <c r="BP29" s="141">
        <f t="shared" si="128"/>
        <v>4738</v>
      </c>
      <c r="BQ29" s="141">
        <f t="shared" si="128"/>
        <v>6621</v>
      </c>
      <c r="BR29" s="141">
        <f t="shared" si="128"/>
        <v>7543</v>
      </c>
      <c r="BS29" s="141">
        <f t="shared" si="128"/>
        <v>18902</v>
      </c>
      <c r="BT29" s="141">
        <f t="shared" si="128"/>
        <v>5166</v>
      </c>
      <c r="BU29" s="141">
        <f t="shared" si="128"/>
        <v>5159</v>
      </c>
      <c r="BV29" s="141">
        <f t="shared" si="128"/>
        <v>4243</v>
      </c>
      <c r="BW29" s="141">
        <f t="shared" si="128"/>
        <v>14568</v>
      </c>
      <c r="BX29" s="141">
        <f t="shared" si="128"/>
        <v>56849</v>
      </c>
      <c r="BY29" s="141">
        <f t="shared" si="128"/>
        <v>4002</v>
      </c>
      <c r="BZ29" s="141">
        <f t="shared" si="128"/>
        <v>4002</v>
      </c>
      <c r="CA29" s="141">
        <f t="shared" si="128"/>
        <v>0</v>
      </c>
      <c r="CB29" s="141">
        <f t="shared" si="128"/>
        <v>6470</v>
      </c>
      <c r="CC29" s="141">
        <f t="shared" si="128"/>
        <v>6470</v>
      </c>
      <c r="CD29" s="141">
        <f t="shared" si="128"/>
        <v>0</v>
      </c>
      <c r="CE29" s="141">
        <f t="shared" si="128"/>
        <v>483</v>
      </c>
      <c r="CF29" s="141">
        <f t="shared" si="128"/>
        <v>5632</v>
      </c>
      <c r="CG29" s="141">
        <f t="shared" si="128"/>
        <v>5149</v>
      </c>
      <c r="CH29" s="141">
        <f t="shared" si="128"/>
        <v>26801</v>
      </c>
      <c r="CI29" s="141">
        <f t="shared" si="128"/>
        <v>6330</v>
      </c>
      <c r="CJ29" s="141">
        <f t="shared" si="128"/>
        <v>6621</v>
      </c>
      <c r="CK29" s="141">
        <f t="shared" si="128"/>
        <v>291</v>
      </c>
      <c r="CL29" s="141">
        <f t="shared" si="128"/>
        <v>6254</v>
      </c>
      <c r="CM29" s="141">
        <f t="shared" si="128"/>
        <v>6254</v>
      </c>
      <c r="CN29" s="141">
        <f t="shared" si="128"/>
        <v>0</v>
      </c>
      <c r="CO29" s="141">
        <f t="shared" si="128"/>
        <v>6219</v>
      </c>
      <c r="CP29" s="141">
        <f t="shared" si="128"/>
        <v>6377</v>
      </c>
      <c r="CQ29" s="141">
        <f t="shared" si="128"/>
        <v>158</v>
      </c>
      <c r="CR29" s="141">
        <f t="shared" si="128"/>
        <v>31969</v>
      </c>
      <c r="CS29" s="141">
        <f t="shared" si="128"/>
        <v>5042</v>
      </c>
      <c r="CT29" s="141">
        <f t="shared" si="128"/>
        <v>5598</v>
      </c>
      <c r="CU29" s="141">
        <f t="shared" si="128"/>
        <v>10640</v>
      </c>
      <c r="CV29" s="141">
        <f t="shared" si="128"/>
        <v>0</v>
      </c>
      <c r="CW29" s="141">
        <f t="shared" si="128"/>
        <v>0</v>
      </c>
      <c r="CX29" s="141">
        <f t="shared" si="128"/>
        <v>21280</v>
      </c>
      <c r="CY29" s="141">
        <f t="shared" si="128"/>
        <v>0</v>
      </c>
      <c r="CZ29" s="141">
        <f t="shared" si="128"/>
        <v>0</v>
      </c>
      <c r="DA29" s="141">
        <f t="shared" si="128"/>
        <v>0</v>
      </c>
      <c r="DB29" s="141">
        <f t="shared" si="128"/>
        <v>0</v>
      </c>
      <c r="DC29" s="141">
        <f t="shared" si="128"/>
        <v>80050</v>
      </c>
      <c r="DD29" s="141">
        <f t="shared" si="128"/>
        <v>591942</v>
      </c>
      <c r="DE29" s="6"/>
      <c r="DF29" s="24">
        <f>SUM(AK29,AO29,BG29,BX29,DC29)</f>
        <v>413298</v>
      </c>
      <c r="DG29" s="5"/>
      <c r="DH29" s="5"/>
      <c r="DI29" s="5"/>
      <c r="DJ29" s="5"/>
      <c r="DK29" s="5">
        <f>SUM(DK13:DK27)</f>
        <v>0</v>
      </c>
      <c r="DL29" s="6"/>
    </row>
    <row r="30" ht="15.75" customHeight="1">
      <c r="A30" s="167" t="s">
        <v>100</v>
      </c>
      <c r="B30" s="179">
        <v>141.0</v>
      </c>
      <c r="C30" s="154">
        <v>0.0</v>
      </c>
      <c r="D30" s="154">
        <v>0.0</v>
      </c>
      <c r="E30" s="154">
        <v>0.0</v>
      </c>
      <c r="F30" s="154">
        <v>4.0</v>
      </c>
      <c r="G30" s="154">
        <v>3.0</v>
      </c>
      <c r="H30" s="154">
        <f t="shared" ref="H30:H36" si="129">SUM(C30:G30)</f>
        <v>7</v>
      </c>
      <c r="I30" s="154">
        <v>9.0</v>
      </c>
      <c r="J30" s="154">
        <v>10.0</v>
      </c>
      <c r="K30" s="155">
        <v>16.0</v>
      </c>
      <c r="L30" s="156">
        <f t="shared" ref="L30:L36" si="130">SUM(I30:K30)</f>
        <v>35</v>
      </c>
      <c r="M30" s="154">
        <v>8.0</v>
      </c>
      <c r="N30" s="154">
        <v>1.0</v>
      </c>
      <c r="O30" s="154">
        <v>0.0</v>
      </c>
      <c r="P30" s="156">
        <f t="shared" ref="P30:P36" si="131">SUM(M30:O30)</f>
        <v>9</v>
      </c>
      <c r="Q30" s="154">
        <v>52.0</v>
      </c>
      <c r="R30" s="154">
        <v>133.0</v>
      </c>
      <c r="S30" s="154">
        <v>161.0</v>
      </c>
      <c r="T30" s="156">
        <f t="shared" ref="T30:T36" si="132">SUM(Q30:S30)</f>
        <v>346</v>
      </c>
      <c r="U30" s="154">
        <v>74.0</v>
      </c>
      <c r="V30" s="154">
        <v>256.0</v>
      </c>
      <c r="W30" s="154">
        <v>64.0</v>
      </c>
      <c r="X30" s="156">
        <f t="shared" ref="X30:X36" si="133">SUM(U30:W30)</f>
        <v>394</v>
      </c>
      <c r="Y30" s="156">
        <f t="shared" ref="Y30:Y36" si="134">SUM(X30,T30,P30,L30)</f>
        <v>784</v>
      </c>
      <c r="Z30" s="154">
        <v>154.0</v>
      </c>
      <c r="AA30" s="154">
        <v>488.0</v>
      </c>
      <c r="AB30" s="155">
        <v>736.0</v>
      </c>
      <c r="AC30" s="156">
        <f t="shared" ref="AC30:AC36" si="135">SUM(Z30:AB30)</f>
        <v>1378</v>
      </c>
      <c r="AD30" s="154">
        <v>308.0</v>
      </c>
      <c r="AE30" s="154">
        <v>748.0</v>
      </c>
      <c r="AF30" s="154">
        <v>653.0</v>
      </c>
      <c r="AG30" s="156">
        <f t="shared" ref="AG30:AG36" si="136">SUM(AD30:AF30)</f>
        <v>1709</v>
      </c>
      <c r="AH30" s="154">
        <v>558.0</v>
      </c>
      <c r="AI30" s="154">
        <v>1248.0</v>
      </c>
      <c r="AJ30" s="154">
        <v>1346.0</v>
      </c>
      <c r="AK30" s="156">
        <f t="shared" ref="AK30:AK36" si="137">SUM(AH30:AJ30)</f>
        <v>3152</v>
      </c>
      <c r="AL30" s="154">
        <v>1624.0</v>
      </c>
      <c r="AM30" s="154">
        <v>1664.0</v>
      </c>
      <c r="AN30" s="154">
        <v>1506.0</v>
      </c>
      <c r="AO30" s="156">
        <f t="shared" ref="AO30:AO36" si="138">SUM(AL30:AN30)</f>
        <v>4794</v>
      </c>
      <c r="AP30" s="156">
        <f t="shared" ref="AP30:AP36" si="139">SUM(AO30,AK30,AG30,AC30)</f>
        <v>11033</v>
      </c>
      <c r="AQ30" s="154">
        <v>928.0</v>
      </c>
      <c r="AR30" s="154">
        <v>1334.0</v>
      </c>
      <c r="AS30" s="154">
        <v>1835.0</v>
      </c>
      <c r="AT30" s="154">
        <f t="shared" ref="AT30:AT36" si="140">SUM(AQ30:AS30)</f>
        <v>4097</v>
      </c>
      <c r="AU30" s="154">
        <v>503.0</v>
      </c>
      <c r="AV30" s="154">
        <v>1159.0</v>
      </c>
      <c r="AW30" s="154">
        <v>297.0</v>
      </c>
      <c r="AX30" s="154">
        <f t="shared" ref="AX30:AX36" si="141">SUM(AU30:AW30)</f>
        <v>1959</v>
      </c>
      <c r="AY30" s="154">
        <v>490.0</v>
      </c>
      <c r="AZ30" s="154">
        <v>944.0</v>
      </c>
      <c r="BA30" s="154">
        <v>408.0</v>
      </c>
      <c r="BB30" s="154">
        <f t="shared" ref="BB30:BB36" si="142">SUM(AY30:BA30)</f>
        <v>1842</v>
      </c>
      <c r="BC30" s="154">
        <v>67.0</v>
      </c>
      <c r="BD30" s="154">
        <v>251.0</v>
      </c>
      <c r="BE30" s="154">
        <v>96.0</v>
      </c>
      <c r="BF30" s="154">
        <f t="shared" ref="BF30:BF36" si="143">SUM(BC30:BE30)</f>
        <v>414</v>
      </c>
      <c r="BG30" s="154">
        <f t="shared" ref="BG30:BG36" si="144">SUM(AT30,AX30,BB30,BF30)</f>
        <v>8312</v>
      </c>
      <c r="BH30" s="154">
        <v>179.0</v>
      </c>
      <c r="BI30" s="154">
        <v>385.0</v>
      </c>
      <c r="BJ30" s="154">
        <v>435.0</v>
      </c>
      <c r="BK30" s="154">
        <f t="shared" ref="BK30:BK36" si="145">SUM(BH30:BJ30)</f>
        <v>999</v>
      </c>
      <c r="BL30" s="154">
        <v>344.0</v>
      </c>
      <c r="BM30" s="154">
        <v>225.0</v>
      </c>
      <c r="BN30" s="154">
        <v>151.0</v>
      </c>
      <c r="BO30" s="154">
        <f t="shared" ref="BO30:BO36" si="146">SUM(BL30:BN30)</f>
        <v>720</v>
      </c>
      <c r="BP30" s="154">
        <v>317.0</v>
      </c>
      <c r="BQ30" s="154">
        <v>60.0</v>
      </c>
      <c r="BR30" s="154">
        <v>371.0</v>
      </c>
      <c r="BS30" s="154">
        <f t="shared" ref="BS30:BS36" si="147">SUM(BP30:BR30)</f>
        <v>748</v>
      </c>
      <c r="BT30" s="154">
        <v>426.0</v>
      </c>
      <c r="BU30" s="154">
        <v>324.0</v>
      </c>
      <c r="BV30" s="154">
        <v>170.0</v>
      </c>
      <c r="BW30" s="154">
        <f t="shared" ref="BW30:BW36" si="148">SUM(BT30:BV30)</f>
        <v>920</v>
      </c>
      <c r="BX30" s="154">
        <f t="shared" ref="BX30:BX36" si="149">SUM(BK30,BO30,BS30,BW30)</f>
        <v>3387</v>
      </c>
      <c r="BY30" s="154">
        <v>376.0</v>
      </c>
      <c r="BZ30" s="154">
        <v>376.0</v>
      </c>
      <c r="CA30" s="154">
        <f t="shared" ref="CA30:CA36" si="150">BZ30-BY30</f>
        <v>0</v>
      </c>
      <c r="CB30" s="154">
        <v>256.0</v>
      </c>
      <c r="CC30" s="154">
        <v>256.0</v>
      </c>
      <c r="CD30" s="154">
        <f t="shared" ref="CD30:CD36" si="151">CC30-CB30</f>
        <v>0</v>
      </c>
      <c r="CE30" s="154">
        <v>93.0</v>
      </c>
      <c r="CF30" s="154">
        <v>460.0</v>
      </c>
      <c r="CG30" s="154">
        <f t="shared" ref="CG30:CG36" si="152">CF30-CE30</f>
        <v>367</v>
      </c>
      <c r="CH30" s="154">
        <f t="shared" ref="CH30:CH35" si="153">SUM(BY30:CF30)</f>
        <v>1817</v>
      </c>
      <c r="CI30" s="154">
        <v>441.0</v>
      </c>
      <c r="CJ30" s="154">
        <v>288.0</v>
      </c>
      <c r="CK30" s="154">
        <f t="shared" ref="CK30:CK36" si="154">CJ30-CI30</f>
        <v>-153</v>
      </c>
      <c r="CL30" s="154">
        <v>161.0</v>
      </c>
      <c r="CM30" s="154">
        <v>161.0</v>
      </c>
      <c r="CN30" s="154">
        <f t="shared" ref="CN30:CN36" si="155">CM30-CL30</f>
        <v>0</v>
      </c>
      <c r="CO30" s="155">
        <v>219.0</v>
      </c>
      <c r="CP30" s="155">
        <v>223.0</v>
      </c>
      <c r="CQ30" s="154">
        <f t="shared" ref="CQ30:CQ36" si="156">CP30-CO30</f>
        <v>4</v>
      </c>
      <c r="CR30" s="154">
        <f t="shared" ref="CR30:CR36" si="157">SUM(CI30:CO30)</f>
        <v>1117</v>
      </c>
      <c r="CS30" s="154">
        <v>585.0</v>
      </c>
      <c r="CT30" s="154">
        <f t="shared" ref="CT30:CT36" si="158">SUM(CA30,CD30,CG30,CK30,CN30,CQ30)</f>
        <v>218</v>
      </c>
      <c r="CU30" s="154">
        <f t="shared" ref="CU30:CU36" si="159">CS30+CT30</f>
        <v>803</v>
      </c>
      <c r="CV30" s="154"/>
      <c r="CW30" s="155"/>
      <c r="CX30" s="154">
        <f t="shared" ref="CX30:CX36" si="160">SUM(CS30:CW30)</f>
        <v>1606</v>
      </c>
      <c r="CY30" s="154"/>
      <c r="CZ30" s="154"/>
      <c r="DA30" s="155"/>
      <c r="DB30" s="154">
        <f t="shared" ref="DB30:DB36" si="161">SUM(CY30:DA30)</f>
        <v>0</v>
      </c>
      <c r="DC30" s="154">
        <f t="shared" ref="DC30:DC36" si="162">SUM(CH30,CR30,CX30,DB30)</f>
        <v>4540</v>
      </c>
      <c r="DD30" s="154">
        <f t="shared" ref="DD30:DD36" si="163">SUM(B30,H30,Y30,AP30,BG30,BX30,DC30)</f>
        <v>28204</v>
      </c>
      <c r="DE30" s="6"/>
      <c r="DF30" s="6"/>
      <c r="DG30" s="6"/>
      <c r="DH30" s="6"/>
      <c r="DI30" s="6"/>
      <c r="DJ30" s="6"/>
      <c r="DK30" s="6"/>
      <c r="DL30" s="6"/>
    </row>
    <row r="31" ht="15.75" customHeight="1">
      <c r="A31" s="167" t="s">
        <v>101</v>
      </c>
      <c r="B31" s="154">
        <v>9.0</v>
      </c>
      <c r="C31" s="154">
        <v>0.0</v>
      </c>
      <c r="D31" s="154">
        <v>0.0</v>
      </c>
      <c r="E31" s="154">
        <v>0.0</v>
      </c>
      <c r="F31" s="154">
        <v>2.0</v>
      </c>
      <c r="G31" s="154">
        <v>3.0</v>
      </c>
      <c r="H31" s="154">
        <f t="shared" si="129"/>
        <v>5</v>
      </c>
      <c r="I31" s="154">
        <v>5.0</v>
      </c>
      <c r="J31" s="154">
        <v>15.0</v>
      </c>
      <c r="K31" s="154">
        <v>26.0</v>
      </c>
      <c r="L31" s="156">
        <f t="shared" si="130"/>
        <v>46</v>
      </c>
      <c r="M31" s="154">
        <v>8.0</v>
      </c>
      <c r="N31" s="154">
        <v>11.0</v>
      </c>
      <c r="O31" s="154">
        <v>0.0</v>
      </c>
      <c r="P31" s="156">
        <f t="shared" si="131"/>
        <v>19</v>
      </c>
      <c r="Q31" s="154">
        <v>14.0</v>
      </c>
      <c r="R31" s="154">
        <v>1844.0</v>
      </c>
      <c r="S31" s="154">
        <v>2107.0</v>
      </c>
      <c r="T31" s="156">
        <f t="shared" si="132"/>
        <v>3965</v>
      </c>
      <c r="U31" s="154">
        <v>1218.0</v>
      </c>
      <c r="V31" s="154">
        <v>831.0</v>
      </c>
      <c r="W31" s="154">
        <v>422.0</v>
      </c>
      <c r="X31" s="156">
        <f t="shared" si="133"/>
        <v>2471</v>
      </c>
      <c r="Y31" s="156">
        <f t="shared" si="134"/>
        <v>6501</v>
      </c>
      <c r="Z31" s="154">
        <v>293.0</v>
      </c>
      <c r="AA31" s="154">
        <v>405.0</v>
      </c>
      <c r="AB31" s="154">
        <v>461.0</v>
      </c>
      <c r="AC31" s="156">
        <f t="shared" si="135"/>
        <v>1159</v>
      </c>
      <c r="AD31" s="154">
        <v>111.0</v>
      </c>
      <c r="AE31" s="154">
        <v>292.0</v>
      </c>
      <c r="AF31" s="154">
        <v>403.0</v>
      </c>
      <c r="AG31" s="156">
        <f t="shared" si="136"/>
        <v>806</v>
      </c>
      <c r="AH31" s="154">
        <v>231.0</v>
      </c>
      <c r="AI31" s="154">
        <v>507.0</v>
      </c>
      <c r="AJ31" s="154">
        <v>525.0</v>
      </c>
      <c r="AK31" s="156">
        <f t="shared" si="137"/>
        <v>1263</v>
      </c>
      <c r="AL31" s="154">
        <v>562.0</v>
      </c>
      <c r="AM31" s="154">
        <v>298.0</v>
      </c>
      <c r="AN31" s="154">
        <v>373.0</v>
      </c>
      <c r="AO31" s="156">
        <f t="shared" si="138"/>
        <v>1233</v>
      </c>
      <c r="AP31" s="156">
        <f t="shared" si="139"/>
        <v>4461</v>
      </c>
      <c r="AQ31" s="154">
        <v>769.0</v>
      </c>
      <c r="AR31" s="154">
        <v>1543.0</v>
      </c>
      <c r="AS31" s="154">
        <v>1995.0</v>
      </c>
      <c r="AT31" s="154">
        <f t="shared" si="140"/>
        <v>4307</v>
      </c>
      <c r="AU31" s="154">
        <v>319.0</v>
      </c>
      <c r="AV31" s="154">
        <v>865.0</v>
      </c>
      <c r="AW31" s="154">
        <v>477.0</v>
      </c>
      <c r="AX31" s="154">
        <f t="shared" si="141"/>
        <v>1661</v>
      </c>
      <c r="AY31" s="154">
        <v>702.0</v>
      </c>
      <c r="AZ31" s="154">
        <v>658.0</v>
      </c>
      <c r="BA31" s="154">
        <v>407.0</v>
      </c>
      <c r="BB31" s="154">
        <f t="shared" si="142"/>
        <v>1767</v>
      </c>
      <c r="BC31" s="154">
        <v>255.0</v>
      </c>
      <c r="BD31" s="154">
        <v>128.0</v>
      </c>
      <c r="BE31" s="154">
        <v>15.0</v>
      </c>
      <c r="BF31" s="154">
        <f t="shared" si="143"/>
        <v>398</v>
      </c>
      <c r="BG31" s="154">
        <f t="shared" si="144"/>
        <v>8133</v>
      </c>
      <c r="BH31" s="154">
        <v>104.0</v>
      </c>
      <c r="BI31" s="154">
        <v>228.0</v>
      </c>
      <c r="BJ31" s="154">
        <v>104.0</v>
      </c>
      <c r="BK31" s="154">
        <f t="shared" si="145"/>
        <v>436</v>
      </c>
      <c r="BL31" s="154">
        <v>160.0</v>
      </c>
      <c r="BM31" s="154">
        <v>28.0</v>
      </c>
      <c r="BN31" s="154">
        <v>39.0</v>
      </c>
      <c r="BO31" s="154">
        <f t="shared" si="146"/>
        <v>227</v>
      </c>
      <c r="BP31" s="154">
        <v>73.0</v>
      </c>
      <c r="BQ31" s="154">
        <v>135.0</v>
      </c>
      <c r="BR31" s="154">
        <v>205.0</v>
      </c>
      <c r="BS31" s="154">
        <f t="shared" si="147"/>
        <v>413</v>
      </c>
      <c r="BT31" s="154">
        <v>37.0</v>
      </c>
      <c r="BU31" s="154">
        <v>63.0</v>
      </c>
      <c r="BV31" s="154">
        <v>44.0</v>
      </c>
      <c r="BW31" s="154">
        <f t="shared" si="148"/>
        <v>144</v>
      </c>
      <c r="BX31" s="154">
        <f t="shared" si="149"/>
        <v>1220</v>
      </c>
      <c r="BY31" s="154">
        <v>212.0</v>
      </c>
      <c r="BZ31" s="154">
        <v>212.0</v>
      </c>
      <c r="CA31" s="154">
        <f t="shared" si="150"/>
        <v>0</v>
      </c>
      <c r="CB31" s="154">
        <v>171.0</v>
      </c>
      <c r="CC31" s="154">
        <v>171.0</v>
      </c>
      <c r="CD31" s="154">
        <f t="shared" si="151"/>
        <v>0</v>
      </c>
      <c r="CE31" s="154">
        <v>10.0</v>
      </c>
      <c r="CF31" s="154">
        <v>125.0</v>
      </c>
      <c r="CG31" s="154">
        <f t="shared" si="152"/>
        <v>115</v>
      </c>
      <c r="CH31" s="154">
        <f t="shared" si="153"/>
        <v>901</v>
      </c>
      <c r="CI31" s="154">
        <v>84.0</v>
      </c>
      <c r="CJ31" s="154">
        <v>211.0</v>
      </c>
      <c r="CK31" s="154">
        <f t="shared" si="154"/>
        <v>127</v>
      </c>
      <c r="CL31" s="154">
        <v>116.0</v>
      </c>
      <c r="CM31" s="154">
        <v>116.0</v>
      </c>
      <c r="CN31" s="154">
        <f t="shared" si="155"/>
        <v>0</v>
      </c>
      <c r="CO31" s="154">
        <v>254.0</v>
      </c>
      <c r="CP31" s="154">
        <v>275.0</v>
      </c>
      <c r="CQ31" s="154">
        <f t="shared" si="156"/>
        <v>21</v>
      </c>
      <c r="CR31" s="154">
        <f t="shared" si="157"/>
        <v>908</v>
      </c>
      <c r="CS31" s="154">
        <v>813.0</v>
      </c>
      <c r="CT31" s="154">
        <f t="shared" si="158"/>
        <v>263</v>
      </c>
      <c r="CU31" s="154">
        <f t="shared" si="159"/>
        <v>1076</v>
      </c>
      <c r="CV31" s="154"/>
      <c r="CW31" s="154"/>
      <c r="CX31" s="154">
        <f t="shared" si="160"/>
        <v>2152</v>
      </c>
      <c r="CY31" s="154"/>
      <c r="CZ31" s="154"/>
      <c r="DA31" s="154"/>
      <c r="DB31" s="154">
        <f t="shared" si="161"/>
        <v>0</v>
      </c>
      <c r="DC31" s="154">
        <f t="shared" si="162"/>
        <v>3961</v>
      </c>
      <c r="DD31" s="154">
        <f t="shared" si="163"/>
        <v>24290</v>
      </c>
      <c r="DE31" s="6"/>
      <c r="DF31" s="6"/>
      <c r="DG31" s="6"/>
      <c r="DH31" s="6"/>
      <c r="DI31" s="6"/>
      <c r="DJ31" s="6"/>
      <c r="DK31" s="6"/>
      <c r="DL31" s="6"/>
    </row>
    <row r="32" ht="15.75" customHeight="1">
      <c r="A32" s="167" t="s">
        <v>102</v>
      </c>
      <c r="B32" s="154">
        <v>223.0</v>
      </c>
      <c r="C32" s="154">
        <v>0.0</v>
      </c>
      <c r="D32" s="154">
        <v>0.0</v>
      </c>
      <c r="E32" s="154">
        <v>0.0</v>
      </c>
      <c r="F32" s="154">
        <v>14.0</v>
      </c>
      <c r="G32" s="154">
        <v>27.0</v>
      </c>
      <c r="H32" s="154">
        <f t="shared" si="129"/>
        <v>41</v>
      </c>
      <c r="I32" s="154">
        <v>238.0</v>
      </c>
      <c r="J32" s="154">
        <v>20.0</v>
      </c>
      <c r="K32" s="154">
        <v>47.0</v>
      </c>
      <c r="L32" s="156">
        <f t="shared" si="130"/>
        <v>305</v>
      </c>
      <c r="M32" s="154">
        <v>77.0</v>
      </c>
      <c r="N32" s="154">
        <v>0.0</v>
      </c>
      <c r="O32" s="154">
        <v>0.0</v>
      </c>
      <c r="P32" s="156">
        <f t="shared" si="131"/>
        <v>77</v>
      </c>
      <c r="Q32" s="154">
        <v>1.0</v>
      </c>
      <c r="R32" s="154">
        <v>67.0</v>
      </c>
      <c r="S32" s="154">
        <v>182.0</v>
      </c>
      <c r="T32" s="156">
        <f t="shared" si="132"/>
        <v>250</v>
      </c>
      <c r="U32" s="154">
        <v>391.0</v>
      </c>
      <c r="V32" s="154">
        <v>685.0</v>
      </c>
      <c r="W32" s="154">
        <v>218.0</v>
      </c>
      <c r="X32" s="156">
        <f t="shared" si="133"/>
        <v>1294</v>
      </c>
      <c r="Y32" s="156">
        <f t="shared" si="134"/>
        <v>1926</v>
      </c>
      <c r="Z32" s="154">
        <v>395.0</v>
      </c>
      <c r="AA32" s="154">
        <v>558.0</v>
      </c>
      <c r="AB32" s="154">
        <v>2242.0</v>
      </c>
      <c r="AC32" s="156">
        <f t="shared" si="135"/>
        <v>3195</v>
      </c>
      <c r="AD32" s="154">
        <v>1025.0</v>
      </c>
      <c r="AE32" s="154">
        <v>775.0</v>
      </c>
      <c r="AF32" s="154">
        <v>1648.0</v>
      </c>
      <c r="AG32" s="156">
        <f t="shared" si="136"/>
        <v>3448</v>
      </c>
      <c r="AH32" s="154">
        <v>4186.0</v>
      </c>
      <c r="AI32" s="154">
        <v>5161.0</v>
      </c>
      <c r="AJ32" s="154">
        <v>2941.0</v>
      </c>
      <c r="AK32" s="156">
        <f t="shared" si="137"/>
        <v>12288</v>
      </c>
      <c r="AL32" s="154">
        <v>3610.0</v>
      </c>
      <c r="AM32" s="154">
        <v>547.0</v>
      </c>
      <c r="AN32" s="154">
        <v>592.0</v>
      </c>
      <c r="AO32" s="156">
        <f t="shared" si="138"/>
        <v>4749</v>
      </c>
      <c r="AP32" s="156">
        <f t="shared" si="139"/>
        <v>23680</v>
      </c>
      <c r="AQ32" s="154">
        <v>702.0</v>
      </c>
      <c r="AR32" s="154">
        <v>2103.0</v>
      </c>
      <c r="AS32" s="154">
        <v>1767.0</v>
      </c>
      <c r="AT32" s="154">
        <f t="shared" si="140"/>
        <v>4572</v>
      </c>
      <c r="AU32" s="154">
        <v>561.0</v>
      </c>
      <c r="AV32" s="154">
        <v>1752.0</v>
      </c>
      <c r="AW32" s="154">
        <v>497.0</v>
      </c>
      <c r="AX32" s="154">
        <f t="shared" si="141"/>
        <v>2810</v>
      </c>
      <c r="AY32" s="154">
        <v>1416.0</v>
      </c>
      <c r="AZ32" s="154">
        <v>1993.0</v>
      </c>
      <c r="BA32" s="154">
        <v>841.0</v>
      </c>
      <c r="BB32" s="154">
        <f t="shared" si="142"/>
        <v>4250</v>
      </c>
      <c r="BC32" s="154">
        <v>392.0</v>
      </c>
      <c r="BD32" s="154">
        <v>554.0</v>
      </c>
      <c r="BE32" s="154">
        <v>368.0</v>
      </c>
      <c r="BF32" s="154">
        <f t="shared" si="143"/>
        <v>1314</v>
      </c>
      <c r="BG32" s="154">
        <f t="shared" si="144"/>
        <v>12946</v>
      </c>
      <c r="BH32" s="154">
        <v>452.0</v>
      </c>
      <c r="BI32" s="154">
        <v>371.0</v>
      </c>
      <c r="BJ32" s="154">
        <v>239.0</v>
      </c>
      <c r="BK32" s="154">
        <f t="shared" si="145"/>
        <v>1062</v>
      </c>
      <c r="BL32" s="154">
        <v>357.0</v>
      </c>
      <c r="BM32" s="154">
        <v>489.0</v>
      </c>
      <c r="BN32" s="154">
        <v>310.0</v>
      </c>
      <c r="BO32" s="154">
        <f t="shared" si="146"/>
        <v>1156</v>
      </c>
      <c r="BP32" s="154">
        <v>230.0</v>
      </c>
      <c r="BQ32" s="154">
        <v>350.0</v>
      </c>
      <c r="BR32" s="154">
        <v>740.0</v>
      </c>
      <c r="BS32" s="154">
        <f t="shared" si="147"/>
        <v>1320</v>
      </c>
      <c r="BT32" s="154">
        <v>476.0</v>
      </c>
      <c r="BU32" s="154">
        <v>451.0</v>
      </c>
      <c r="BV32" s="154">
        <v>491.0</v>
      </c>
      <c r="BW32" s="154">
        <f t="shared" si="148"/>
        <v>1418</v>
      </c>
      <c r="BX32" s="154">
        <f t="shared" si="149"/>
        <v>4956</v>
      </c>
      <c r="BY32" s="154">
        <v>358.0</v>
      </c>
      <c r="BZ32" s="154">
        <v>358.0</v>
      </c>
      <c r="CA32" s="154">
        <f t="shared" si="150"/>
        <v>0</v>
      </c>
      <c r="CB32" s="154">
        <v>1215.0</v>
      </c>
      <c r="CC32" s="154">
        <v>1215.0</v>
      </c>
      <c r="CD32" s="154">
        <f t="shared" si="151"/>
        <v>0</v>
      </c>
      <c r="CE32" s="154">
        <v>14.0</v>
      </c>
      <c r="CF32" s="154">
        <v>857.0</v>
      </c>
      <c r="CG32" s="154">
        <f t="shared" si="152"/>
        <v>843</v>
      </c>
      <c r="CH32" s="154">
        <f t="shared" si="153"/>
        <v>4017</v>
      </c>
      <c r="CI32" s="154">
        <v>749.0</v>
      </c>
      <c r="CJ32" s="154">
        <v>715.0</v>
      </c>
      <c r="CK32" s="154">
        <f t="shared" si="154"/>
        <v>-34</v>
      </c>
      <c r="CL32" s="154">
        <v>679.0</v>
      </c>
      <c r="CM32" s="154">
        <v>679.0</v>
      </c>
      <c r="CN32" s="154">
        <f t="shared" si="155"/>
        <v>0</v>
      </c>
      <c r="CO32" s="154">
        <v>761.0</v>
      </c>
      <c r="CP32" s="154">
        <v>799.0</v>
      </c>
      <c r="CQ32" s="154">
        <f t="shared" si="156"/>
        <v>38</v>
      </c>
      <c r="CR32" s="154">
        <f t="shared" si="157"/>
        <v>3549</v>
      </c>
      <c r="CS32" s="154">
        <v>515.0</v>
      </c>
      <c r="CT32" s="154">
        <f t="shared" si="158"/>
        <v>847</v>
      </c>
      <c r="CU32" s="154">
        <f t="shared" si="159"/>
        <v>1362</v>
      </c>
      <c r="CV32" s="154"/>
      <c r="CW32" s="154"/>
      <c r="CX32" s="154">
        <f t="shared" si="160"/>
        <v>2724</v>
      </c>
      <c r="CY32" s="154"/>
      <c r="CZ32" s="154"/>
      <c r="DA32" s="154"/>
      <c r="DB32" s="154">
        <f t="shared" si="161"/>
        <v>0</v>
      </c>
      <c r="DC32" s="154">
        <f t="shared" si="162"/>
        <v>10290</v>
      </c>
      <c r="DD32" s="154">
        <f t="shared" si="163"/>
        <v>54062</v>
      </c>
      <c r="DE32" s="6"/>
      <c r="DF32" s="6"/>
      <c r="DG32" s="6"/>
      <c r="DH32" s="6"/>
      <c r="DI32" s="6"/>
      <c r="DJ32" s="6"/>
      <c r="DK32" s="6"/>
      <c r="DL32" s="6"/>
    </row>
    <row r="33" ht="15.75" customHeight="1">
      <c r="A33" s="167" t="s">
        <v>103</v>
      </c>
      <c r="B33" s="154">
        <v>49.0</v>
      </c>
      <c r="C33" s="154">
        <v>0.0</v>
      </c>
      <c r="D33" s="154">
        <v>0.0</v>
      </c>
      <c r="E33" s="154">
        <v>2.0</v>
      </c>
      <c r="F33" s="154">
        <v>2.0</v>
      </c>
      <c r="G33" s="154">
        <v>79.0</v>
      </c>
      <c r="H33" s="154">
        <f t="shared" si="129"/>
        <v>83</v>
      </c>
      <c r="I33" s="154">
        <v>238.0</v>
      </c>
      <c r="J33" s="154">
        <v>97.0</v>
      </c>
      <c r="K33" s="154">
        <v>297.0</v>
      </c>
      <c r="L33" s="156">
        <f t="shared" si="130"/>
        <v>632</v>
      </c>
      <c r="M33" s="154">
        <v>262.0</v>
      </c>
      <c r="N33" s="154">
        <v>19.0</v>
      </c>
      <c r="O33" s="154">
        <v>0.0</v>
      </c>
      <c r="P33" s="156">
        <f t="shared" si="131"/>
        <v>281</v>
      </c>
      <c r="Q33" s="154">
        <v>1290.0</v>
      </c>
      <c r="R33" s="154">
        <v>6474.0</v>
      </c>
      <c r="S33" s="154">
        <v>8705.0</v>
      </c>
      <c r="T33" s="156">
        <f t="shared" si="132"/>
        <v>16469</v>
      </c>
      <c r="U33" s="154">
        <v>5808.0</v>
      </c>
      <c r="V33" s="154">
        <v>6010.0</v>
      </c>
      <c r="W33" s="154">
        <v>4018.0</v>
      </c>
      <c r="X33" s="156">
        <f t="shared" si="133"/>
        <v>15836</v>
      </c>
      <c r="Y33" s="156">
        <f t="shared" si="134"/>
        <v>33218</v>
      </c>
      <c r="Z33" s="154">
        <v>5488.0</v>
      </c>
      <c r="AA33" s="154">
        <v>3082.0</v>
      </c>
      <c r="AB33" s="154">
        <v>7785.0</v>
      </c>
      <c r="AC33" s="156">
        <f t="shared" si="135"/>
        <v>16355</v>
      </c>
      <c r="AD33" s="154">
        <v>10747.0</v>
      </c>
      <c r="AE33" s="154">
        <v>5868.0</v>
      </c>
      <c r="AF33" s="154">
        <v>7672.0</v>
      </c>
      <c r="AG33" s="156">
        <f t="shared" si="136"/>
        <v>24287</v>
      </c>
      <c r="AH33" s="154">
        <v>7293.0</v>
      </c>
      <c r="AI33" s="154">
        <v>8731.0</v>
      </c>
      <c r="AJ33" s="154">
        <v>8419.0</v>
      </c>
      <c r="AK33" s="156">
        <f t="shared" si="137"/>
        <v>24443</v>
      </c>
      <c r="AL33" s="154">
        <v>4490.0</v>
      </c>
      <c r="AM33" s="154">
        <v>6307.0</v>
      </c>
      <c r="AN33" s="154">
        <v>5828.0</v>
      </c>
      <c r="AO33" s="156">
        <f t="shared" si="138"/>
        <v>16625</v>
      </c>
      <c r="AP33" s="156">
        <f t="shared" si="139"/>
        <v>81710</v>
      </c>
      <c r="AQ33" s="154">
        <v>4566.0</v>
      </c>
      <c r="AR33" s="154">
        <v>6163.0</v>
      </c>
      <c r="AS33" s="154">
        <v>8160.0</v>
      </c>
      <c r="AT33" s="154">
        <f t="shared" si="140"/>
        <v>18889</v>
      </c>
      <c r="AU33" s="154">
        <v>4736.0</v>
      </c>
      <c r="AV33" s="154">
        <v>8730.0</v>
      </c>
      <c r="AW33" s="154">
        <v>9240.0</v>
      </c>
      <c r="AX33" s="154">
        <f t="shared" si="141"/>
        <v>22706</v>
      </c>
      <c r="AY33" s="154">
        <v>4565.0</v>
      </c>
      <c r="AZ33" s="154">
        <v>7036.0</v>
      </c>
      <c r="BA33" s="154">
        <v>3191.0</v>
      </c>
      <c r="BB33" s="154">
        <f t="shared" si="142"/>
        <v>14792</v>
      </c>
      <c r="BC33" s="154">
        <v>1431.0</v>
      </c>
      <c r="BD33" s="154">
        <v>2659.0</v>
      </c>
      <c r="BE33" s="154">
        <v>787.0</v>
      </c>
      <c r="BF33" s="154">
        <f t="shared" si="143"/>
        <v>4877</v>
      </c>
      <c r="BG33" s="154">
        <f t="shared" si="144"/>
        <v>61264</v>
      </c>
      <c r="BH33" s="154">
        <v>1565.0</v>
      </c>
      <c r="BI33" s="154">
        <v>1269.0</v>
      </c>
      <c r="BJ33" s="154">
        <v>627.0</v>
      </c>
      <c r="BK33" s="154">
        <f t="shared" si="145"/>
        <v>3461</v>
      </c>
      <c r="BL33" s="154">
        <v>446.0</v>
      </c>
      <c r="BM33" s="154">
        <v>1433.0</v>
      </c>
      <c r="BN33" s="154">
        <v>1419.0</v>
      </c>
      <c r="BO33" s="154">
        <f t="shared" si="146"/>
        <v>3298</v>
      </c>
      <c r="BP33" s="154">
        <v>864.0</v>
      </c>
      <c r="BQ33" s="154">
        <v>3339.0</v>
      </c>
      <c r="BR33" s="154">
        <v>2974.0</v>
      </c>
      <c r="BS33" s="154">
        <f t="shared" si="147"/>
        <v>7177</v>
      </c>
      <c r="BT33" s="154">
        <v>2425.0</v>
      </c>
      <c r="BU33" s="154">
        <v>1729.0</v>
      </c>
      <c r="BV33" s="154">
        <v>1722.0</v>
      </c>
      <c r="BW33" s="154">
        <f t="shared" si="148"/>
        <v>5876</v>
      </c>
      <c r="BX33" s="154">
        <f t="shared" si="149"/>
        <v>19812</v>
      </c>
      <c r="BY33" s="154">
        <v>1153.0</v>
      </c>
      <c r="BZ33" s="154">
        <v>1153.0</v>
      </c>
      <c r="CA33" s="154">
        <f t="shared" si="150"/>
        <v>0</v>
      </c>
      <c r="CB33" s="154">
        <v>1626.0</v>
      </c>
      <c r="CC33" s="154">
        <v>1626.0</v>
      </c>
      <c r="CD33" s="154">
        <f t="shared" si="151"/>
        <v>0</v>
      </c>
      <c r="CE33" s="154">
        <v>197.0</v>
      </c>
      <c r="CF33" s="154">
        <v>2119.0</v>
      </c>
      <c r="CG33" s="154">
        <f t="shared" si="152"/>
        <v>1922</v>
      </c>
      <c r="CH33" s="154">
        <f t="shared" si="153"/>
        <v>7874</v>
      </c>
      <c r="CI33" s="154">
        <v>2359.0</v>
      </c>
      <c r="CJ33" s="154">
        <v>2544.0</v>
      </c>
      <c r="CK33" s="154">
        <f t="shared" si="154"/>
        <v>185</v>
      </c>
      <c r="CL33" s="154">
        <v>2836.0</v>
      </c>
      <c r="CM33" s="154">
        <v>2836.0</v>
      </c>
      <c r="CN33" s="154">
        <f t="shared" si="155"/>
        <v>0</v>
      </c>
      <c r="CO33" s="154">
        <v>3015.0</v>
      </c>
      <c r="CP33" s="154">
        <v>3073.0</v>
      </c>
      <c r="CQ33" s="154">
        <f t="shared" si="156"/>
        <v>58</v>
      </c>
      <c r="CR33" s="154">
        <f t="shared" si="157"/>
        <v>13775</v>
      </c>
      <c r="CS33" s="154">
        <v>1126.0</v>
      </c>
      <c r="CT33" s="154">
        <f t="shared" si="158"/>
        <v>2165</v>
      </c>
      <c r="CU33" s="154">
        <f t="shared" si="159"/>
        <v>3291</v>
      </c>
      <c r="CV33" s="154"/>
      <c r="CW33" s="154"/>
      <c r="CX33" s="154">
        <f t="shared" si="160"/>
        <v>6582</v>
      </c>
      <c r="CY33" s="154"/>
      <c r="CZ33" s="154"/>
      <c r="DA33" s="154"/>
      <c r="DB33" s="154">
        <f t="shared" si="161"/>
        <v>0</v>
      </c>
      <c r="DC33" s="154">
        <f t="shared" si="162"/>
        <v>28231</v>
      </c>
      <c r="DD33" s="154">
        <f t="shared" si="163"/>
        <v>224367</v>
      </c>
      <c r="DE33" s="6"/>
      <c r="DF33" s="6"/>
      <c r="DG33" s="6"/>
      <c r="DH33" s="6"/>
      <c r="DI33" s="6"/>
      <c r="DJ33" s="6"/>
      <c r="DK33" s="6"/>
      <c r="DL33" s="6"/>
    </row>
    <row r="34" ht="15.75" customHeight="1">
      <c r="A34" s="169" t="s">
        <v>104</v>
      </c>
      <c r="B34" s="154">
        <v>1.0</v>
      </c>
      <c r="C34" s="154">
        <v>0.0</v>
      </c>
      <c r="D34" s="154">
        <v>0.0</v>
      </c>
      <c r="E34" s="154">
        <v>0.0</v>
      </c>
      <c r="F34" s="154">
        <v>96.0</v>
      </c>
      <c r="G34" s="154">
        <v>25.0</v>
      </c>
      <c r="H34" s="154">
        <f t="shared" si="129"/>
        <v>121</v>
      </c>
      <c r="I34" s="154">
        <v>109.0</v>
      </c>
      <c r="J34" s="154">
        <v>83.0</v>
      </c>
      <c r="K34" s="154">
        <v>102.0</v>
      </c>
      <c r="L34" s="156">
        <f t="shared" si="130"/>
        <v>294</v>
      </c>
      <c r="M34" s="154">
        <v>35.0</v>
      </c>
      <c r="N34" s="154">
        <v>9.0</v>
      </c>
      <c r="O34" s="154">
        <v>0.0</v>
      </c>
      <c r="P34" s="156">
        <f t="shared" si="131"/>
        <v>44</v>
      </c>
      <c r="Q34" s="154">
        <v>8.0</v>
      </c>
      <c r="R34" s="154">
        <v>299.0</v>
      </c>
      <c r="S34" s="154">
        <v>488.0</v>
      </c>
      <c r="T34" s="156">
        <f t="shared" si="132"/>
        <v>795</v>
      </c>
      <c r="U34" s="154">
        <v>640.0</v>
      </c>
      <c r="V34" s="154">
        <v>2107.0</v>
      </c>
      <c r="W34" s="154">
        <v>1569.0</v>
      </c>
      <c r="X34" s="156">
        <f t="shared" si="133"/>
        <v>4316</v>
      </c>
      <c r="Y34" s="156">
        <f t="shared" si="134"/>
        <v>5449</v>
      </c>
      <c r="Z34" s="154">
        <v>288.0</v>
      </c>
      <c r="AA34" s="154">
        <v>3021.0</v>
      </c>
      <c r="AB34" s="154">
        <v>7318.0</v>
      </c>
      <c r="AC34" s="156">
        <f t="shared" si="135"/>
        <v>10627</v>
      </c>
      <c r="AD34" s="154">
        <v>3670.0</v>
      </c>
      <c r="AE34" s="154">
        <v>2728.0</v>
      </c>
      <c r="AF34" s="154">
        <v>3716.0</v>
      </c>
      <c r="AG34" s="156">
        <f t="shared" si="136"/>
        <v>10114</v>
      </c>
      <c r="AH34" s="154">
        <v>3528.0</v>
      </c>
      <c r="AI34" s="154">
        <v>1978.0</v>
      </c>
      <c r="AJ34" s="154">
        <v>2216.0</v>
      </c>
      <c r="AK34" s="156">
        <f t="shared" si="137"/>
        <v>7722</v>
      </c>
      <c r="AL34" s="154">
        <v>3914.0</v>
      </c>
      <c r="AM34" s="154">
        <v>2809.0</v>
      </c>
      <c r="AN34" s="154">
        <v>3236.0</v>
      </c>
      <c r="AO34" s="156">
        <f t="shared" si="138"/>
        <v>9959</v>
      </c>
      <c r="AP34" s="156">
        <f t="shared" si="139"/>
        <v>38422</v>
      </c>
      <c r="AQ34" s="154">
        <v>1601.0</v>
      </c>
      <c r="AR34" s="154">
        <v>2336.0</v>
      </c>
      <c r="AS34" s="154">
        <v>3097.0</v>
      </c>
      <c r="AT34" s="154">
        <f t="shared" si="140"/>
        <v>7034</v>
      </c>
      <c r="AU34" s="154">
        <v>977.0</v>
      </c>
      <c r="AV34" s="154">
        <v>2975.0</v>
      </c>
      <c r="AW34" s="154">
        <v>1232.0</v>
      </c>
      <c r="AX34" s="154">
        <f t="shared" si="141"/>
        <v>5184</v>
      </c>
      <c r="AY34" s="154">
        <v>1416.0</v>
      </c>
      <c r="AZ34" s="154">
        <v>2138.0</v>
      </c>
      <c r="BA34" s="154">
        <v>699.0</v>
      </c>
      <c r="BB34" s="154">
        <f t="shared" si="142"/>
        <v>4253</v>
      </c>
      <c r="BC34" s="154">
        <v>238.0</v>
      </c>
      <c r="BD34" s="154">
        <v>828.0</v>
      </c>
      <c r="BE34" s="154">
        <v>280.0</v>
      </c>
      <c r="BF34" s="154">
        <f t="shared" si="143"/>
        <v>1346</v>
      </c>
      <c r="BG34" s="154">
        <f t="shared" si="144"/>
        <v>17817</v>
      </c>
      <c r="BH34" s="154">
        <v>490.0</v>
      </c>
      <c r="BI34" s="154">
        <v>443.0</v>
      </c>
      <c r="BJ34" s="154">
        <v>432.0</v>
      </c>
      <c r="BK34" s="154">
        <f t="shared" si="145"/>
        <v>1365</v>
      </c>
      <c r="BL34" s="154">
        <v>685.0</v>
      </c>
      <c r="BM34" s="154">
        <v>553.0</v>
      </c>
      <c r="BN34" s="154">
        <v>368.0</v>
      </c>
      <c r="BO34" s="154">
        <f t="shared" si="146"/>
        <v>1606</v>
      </c>
      <c r="BP34" s="154">
        <v>715.0</v>
      </c>
      <c r="BQ34" s="154">
        <v>629.0</v>
      </c>
      <c r="BR34" s="154">
        <v>663.0</v>
      </c>
      <c r="BS34" s="154">
        <f t="shared" si="147"/>
        <v>2007</v>
      </c>
      <c r="BT34" s="154">
        <v>803.0</v>
      </c>
      <c r="BU34" s="154">
        <v>1393.0</v>
      </c>
      <c r="BV34" s="154">
        <v>863.0</v>
      </c>
      <c r="BW34" s="154">
        <f t="shared" si="148"/>
        <v>3059</v>
      </c>
      <c r="BX34" s="154">
        <f t="shared" si="149"/>
        <v>8037</v>
      </c>
      <c r="BY34" s="154">
        <v>885.0</v>
      </c>
      <c r="BZ34" s="154">
        <v>885.0</v>
      </c>
      <c r="CA34" s="154">
        <f t="shared" si="150"/>
        <v>0</v>
      </c>
      <c r="CB34" s="154">
        <v>1612.0</v>
      </c>
      <c r="CC34" s="154">
        <v>1612.0</v>
      </c>
      <c r="CD34" s="154">
        <f t="shared" si="151"/>
        <v>0</v>
      </c>
      <c r="CE34" s="154">
        <v>61.0</v>
      </c>
      <c r="CF34" s="154">
        <f>726+2</f>
        <v>728</v>
      </c>
      <c r="CG34" s="154">
        <f t="shared" si="152"/>
        <v>667</v>
      </c>
      <c r="CH34" s="154">
        <f t="shared" si="153"/>
        <v>5783</v>
      </c>
      <c r="CI34" s="154">
        <v>754.0</v>
      </c>
      <c r="CJ34" s="154">
        <f>828+1</f>
        <v>829</v>
      </c>
      <c r="CK34" s="154">
        <f t="shared" si="154"/>
        <v>75</v>
      </c>
      <c r="CL34" s="154">
        <f t="shared" ref="CL34:CM34" si="164">192+1</f>
        <v>193</v>
      </c>
      <c r="CM34" s="154">
        <f t="shared" si="164"/>
        <v>193</v>
      </c>
      <c r="CN34" s="154">
        <f t="shared" si="155"/>
        <v>0</v>
      </c>
      <c r="CO34" s="154">
        <f>383+2</f>
        <v>385</v>
      </c>
      <c r="CP34" s="154">
        <f>391+2</f>
        <v>393</v>
      </c>
      <c r="CQ34" s="154">
        <f t="shared" si="156"/>
        <v>8</v>
      </c>
      <c r="CR34" s="154">
        <f t="shared" si="157"/>
        <v>2429</v>
      </c>
      <c r="CS34" s="154">
        <v>342.0</v>
      </c>
      <c r="CT34" s="154">
        <f t="shared" si="158"/>
        <v>750</v>
      </c>
      <c r="CU34" s="154">
        <f t="shared" si="159"/>
        <v>1092</v>
      </c>
      <c r="CV34" s="154"/>
      <c r="CW34" s="154"/>
      <c r="CX34" s="154">
        <f t="shared" si="160"/>
        <v>2184</v>
      </c>
      <c r="CY34" s="154"/>
      <c r="CZ34" s="154"/>
      <c r="DA34" s="154"/>
      <c r="DB34" s="154">
        <f t="shared" si="161"/>
        <v>0</v>
      </c>
      <c r="DC34" s="154">
        <f t="shared" si="162"/>
        <v>10396</v>
      </c>
      <c r="DD34" s="154">
        <f t="shared" si="163"/>
        <v>80243</v>
      </c>
      <c r="DE34" s="6"/>
      <c r="DF34" s="6"/>
      <c r="DG34" s="6"/>
      <c r="DH34" s="6"/>
      <c r="DI34" s="6"/>
      <c r="DJ34" s="6"/>
      <c r="DK34" s="6"/>
      <c r="DL34" s="6"/>
    </row>
    <row r="35" ht="15.75" customHeight="1">
      <c r="A35" s="167" t="s">
        <v>105</v>
      </c>
      <c r="B35" s="154">
        <v>116.0</v>
      </c>
      <c r="C35" s="154">
        <v>0.0</v>
      </c>
      <c r="D35" s="154">
        <v>0.0</v>
      </c>
      <c r="E35" s="154">
        <v>0.0</v>
      </c>
      <c r="F35" s="154">
        <v>0.0</v>
      </c>
      <c r="G35" s="154">
        <v>69.0</v>
      </c>
      <c r="H35" s="154">
        <f t="shared" si="129"/>
        <v>69</v>
      </c>
      <c r="I35" s="154">
        <v>13.0</v>
      </c>
      <c r="J35" s="154">
        <v>26.0</v>
      </c>
      <c r="K35" s="154">
        <v>110.0</v>
      </c>
      <c r="L35" s="156">
        <f t="shared" si="130"/>
        <v>149</v>
      </c>
      <c r="M35" s="154">
        <v>238.0</v>
      </c>
      <c r="N35" s="154">
        <v>23.0</v>
      </c>
      <c r="O35" s="154">
        <v>0.0</v>
      </c>
      <c r="P35" s="156">
        <f t="shared" si="131"/>
        <v>261</v>
      </c>
      <c r="Q35" s="154">
        <v>524.0</v>
      </c>
      <c r="R35" s="154">
        <v>3835.0</v>
      </c>
      <c r="S35" s="154">
        <v>5426.0</v>
      </c>
      <c r="T35" s="156">
        <f t="shared" si="132"/>
        <v>9785</v>
      </c>
      <c r="U35" s="154">
        <v>5863.0</v>
      </c>
      <c r="V35" s="154">
        <v>5335.0</v>
      </c>
      <c r="W35" s="154">
        <v>4529.0</v>
      </c>
      <c r="X35" s="156">
        <f t="shared" si="133"/>
        <v>15727</v>
      </c>
      <c r="Y35" s="156">
        <f t="shared" si="134"/>
        <v>25922</v>
      </c>
      <c r="Z35" s="154">
        <v>2507.0</v>
      </c>
      <c r="AA35" s="154">
        <v>3305.0</v>
      </c>
      <c r="AB35" s="154">
        <v>9606.0</v>
      </c>
      <c r="AC35" s="156">
        <f t="shared" si="135"/>
        <v>15418</v>
      </c>
      <c r="AD35" s="154">
        <v>2466.0</v>
      </c>
      <c r="AE35" s="154">
        <v>3769.0</v>
      </c>
      <c r="AF35" s="154">
        <v>4007.0</v>
      </c>
      <c r="AG35" s="156">
        <f t="shared" si="136"/>
        <v>10242</v>
      </c>
      <c r="AH35" s="154">
        <v>3230.0</v>
      </c>
      <c r="AI35" s="154">
        <v>5370.0</v>
      </c>
      <c r="AJ35" s="154">
        <v>4185.0</v>
      </c>
      <c r="AK35" s="156">
        <f t="shared" si="137"/>
        <v>12785</v>
      </c>
      <c r="AL35" s="154">
        <v>5154.0</v>
      </c>
      <c r="AM35" s="154">
        <v>6025.0</v>
      </c>
      <c r="AN35" s="154">
        <v>3754.0</v>
      </c>
      <c r="AO35" s="156">
        <f t="shared" si="138"/>
        <v>14933</v>
      </c>
      <c r="AP35" s="156">
        <f t="shared" si="139"/>
        <v>53378</v>
      </c>
      <c r="AQ35" s="154">
        <v>2252.0</v>
      </c>
      <c r="AR35" s="154">
        <v>4160.0</v>
      </c>
      <c r="AS35" s="154">
        <v>4041.0</v>
      </c>
      <c r="AT35" s="154">
        <f t="shared" si="140"/>
        <v>10453</v>
      </c>
      <c r="AU35" s="154">
        <v>1431.0</v>
      </c>
      <c r="AV35" s="154">
        <v>2491.0</v>
      </c>
      <c r="AW35" s="154">
        <v>940.0</v>
      </c>
      <c r="AX35" s="154">
        <f t="shared" si="141"/>
        <v>4862</v>
      </c>
      <c r="AY35" s="154">
        <v>1513.0</v>
      </c>
      <c r="AZ35" s="154">
        <v>2606.0</v>
      </c>
      <c r="BA35" s="154">
        <v>1571.0</v>
      </c>
      <c r="BB35" s="154">
        <f t="shared" si="142"/>
        <v>5690</v>
      </c>
      <c r="BC35" s="154">
        <v>462.0</v>
      </c>
      <c r="BD35" s="154">
        <v>1845.0</v>
      </c>
      <c r="BE35" s="154">
        <v>1915.0</v>
      </c>
      <c r="BF35" s="154">
        <f t="shared" si="143"/>
        <v>4222</v>
      </c>
      <c r="BG35" s="154">
        <f t="shared" si="144"/>
        <v>25227</v>
      </c>
      <c r="BH35" s="154">
        <v>1079.0</v>
      </c>
      <c r="BI35" s="154">
        <v>1671.0</v>
      </c>
      <c r="BJ35" s="154">
        <v>1545.0</v>
      </c>
      <c r="BK35" s="154">
        <f t="shared" si="145"/>
        <v>4295</v>
      </c>
      <c r="BL35" s="154">
        <v>908.0</v>
      </c>
      <c r="BM35" s="154">
        <v>1326.0</v>
      </c>
      <c r="BN35" s="154">
        <v>1266.0</v>
      </c>
      <c r="BO35" s="154">
        <f t="shared" si="146"/>
        <v>3500</v>
      </c>
      <c r="BP35" s="154">
        <v>1881.0</v>
      </c>
      <c r="BQ35" s="154">
        <v>1680.0</v>
      </c>
      <c r="BR35" s="154">
        <v>2185.0</v>
      </c>
      <c r="BS35" s="154">
        <f t="shared" si="147"/>
        <v>5746</v>
      </c>
      <c r="BT35" s="154">
        <v>755.0</v>
      </c>
      <c r="BU35" s="154">
        <v>736.0</v>
      </c>
      <c r="BV35" s="154">
        <v>521.0</v>
      </c>
      <c r="BW35" s="154">
        <f t="shared" si="148"/>
        <v>2012</v>
      </c>
      <c r="BX35" s="154">
        <f t="shared" si="149"/>
        <v>15553</v>
      </c>
      <c r="BY35" s="154">
        <v>553.0</v>
      </c>
      <c r="BZ35" s="154">
        <v>553.0</v>
      </c>
      <c r="CA35" s="154">
        <f t="shared" si="150"/>
        <v>0</v>
      </c>
      <c r="CB35" s="154">
        <v>1267.0</v>
      </c>
      <c r="CC35" s="154">
        <v>1267.0</v>
      </c>
      <c r="CD35" s="154">
        <f t="shared" si="151"/>
        <v>0</v>
      </c>
      <c r="CE35" s="154">
        <v>93.0</v>
      </c>
      <c r="CF35" s="154">
        <v>1085.0</v>
      </c>
      <c r="CG35" s="154">
        <f t="shared" si="152"/>
        <v>992</v>
      </c>
      <c r="CH35" s="154">
        <f t="shared" si="153"/>
        <v>4818</v>
      </c>
      <c r="CI35" s="154">
        <v>1217.0</v>
      </c>
      <c r="CJ35" s="154">
        <v>1282.0</v>
      </c>
      <c r="CK35" s="154">
        <f t="shared" si="154"/>
        <v>65</v>
      </c>
      <c r="CL35" s="154">
        <v>1930.0</v>
      </c>
      <c r="CM35" s="154">
        <v>1930.0</v>
      </c>
      <c r="CN35" s="154">
        <f t="shared" si="155"/>
        <v>0</v>
      </c>
      <c r="CO35" s="154">
        <v>1101.0</v>
      </c>
      <c r="CP35" s="154">
        <v>1106.0</v>
      </c>
      <c r="CQ35" s="154">
        <f t="shared" si="156"/>
        <v>5</v>
      </c>
      <c r="CR35" s="154">
        <f t="shared" si="157"/>
        <v>7525</v>
      </c>
      <c r="CS35" s="154">
        <v>820.0</v>
      </c>
      <c r="CT35" s="154">
        <f t="shared" si="158"/>
        <v>1062</v>
      </c>
      <c r="CU35" s="154">
        <f t="shared" si="159"/>
        <v>1882</v>
      </c>
      <c r="CV35" s="154"/>
      <c r="CW35" s="154"/>
      <c r="CX35" s="154">
        <f t="shared" si="160"/>
        <v>3764</v>
      </c>
      <c r="CY35" s="154"/>
      <c r="CZ35" s="154"/>
      <c r="DA35" s="154"/>
      <c r="DB35" s="154">
        <f t="shared" si="161"/>
        <v>0</v>
      </c>
      <c r="DC35" s="154">
        <f t="shared" si="162"/>
        <v>16107</v>
      </c>
      <c r="DD35" s="154">
        <f t="shared" si="163"/>
        <v>136372</v>
      </c>
      <c r="DE35" s="6"/>
      <c r="DF35" s="6"/>
      <c r="DG35" s="6"/>
      <c r="DH35" s="6"/>
      <c r="DI35" s="6"/>
      <c r="DJ35" s="6"/>
      <c r="DK35" s="6"/>
      <c r="DL35" s="6"/>
    </row>
    <row r="36" ht="15.75" customHeight="1">
      <c r="A36" s="169" t="s">
        <v>106</v>
      </c>
      <c r="B36" s="154">
        <v>6.0</v>
      </c>
      <c r="C36" s="154">
        <v>0.0</v>
      </c>
      <c r="D36" s="154">
        <v>0.0</v>
      </c>
      <c r="E36" s="154">
        <v>0.0</v>
      </c>
      <c r="F36" s="154">
        <v>34.0</v>
      </c>
      <c r="G36" s="154">
        <v>11.0</v>
      </c>
      <c r="H36" s="154">
        <f t="shared" si="129"/>
        <v>45</v>
      </c>
      <c r="I36" s="154">
        <v>19.0</v>
      </c>
      <c r="J36" s="154">
        <v>20.0</v>
      </c>
      <c r="K36" s="154">
        <v>22.0</v>
      </c>
      <c r="L36" s="156">
        <f t="shared" si="130"/>
        <v>61</v>
      </c>
      <c r="M36" s="154">
        <v>66.0</v>
      </c>
      <c r="N36" s="154">
        <v>2.0</v>
      </c>
      <c r="O36" s="154">
        <v>0.0</v>
      </c>
      <c r="P36" s="156">
        <f t="shared" si="131"/>
        <v>68</v>
      </c>
      <c r="Q36" s="154">
        <v>7.0</v>
      </c>
      <c r="R36" s="154">
        <v>122.0</v>
      </c>
      <c r="S36" s="154">
        <v>250.0</v>
      </c>
      <c r="T36" s="156">
        <f t="shared" si="132"/>
        <v>379</v>
      </c>
      <c r="U36" s="154">
        <v>168.0</v>
      </c>
      <c r="V36" s="154">
        <v>367.0</v>
      </c>
      <c r="W36" s="154">
        <v>44.0</v>
      </c>
      <c r="X36" s="156">
        <f t="shared" si="133"/>
        <v>579</v>
      </c>
      <c r="Y36" s="156">
        <f t="shared" si="134"/>
        <v>1087</v>
      </c>
      <c r="Z36" s="154">
        <v>78.0</v>
      </c>
      <c r="AA36" s="154">
        <v>1131.0</v>
      </c>
      <c r="AB36" s="154">
        <v>1400.0</v>
      </c>
      <c r="AC36" s="156">
        <f t="shared" si="135"/>
        <v>2609</v>
      </c>
      <c r="AD36" s="154">
        <v>274.0</v>
      </c>
      <c r="AE36" s="154">
        <v>307.0</v>
      </c>
      <c r="AF36" s="154">
        <v>913.0</v>
      </c>
      <c r="AG36" s="156">
        <f t="shared" si="136"/>
        <v>1494</v>
      </c>
      <c r="AH36" s="154">
        <v>2025.0</v>
      </c>
      <c r="AI36" s="154">
        <v>2586.0</v>
      </c>
      <c r="AJ36" s="154">
        <v>3826.0</v>
      </c>
      <c r="AK36" s="156">
        <f t="shared" si="137"/>
        <v>8437</v>
      </c>
      <c r="AL36" s="154">
        <v>4383.0</v>
      </c>
      <c r="AM36" s="154">
        <v>3273.0</v>
      </c>
      <c r="AN36" s="154">
        <v>1603.0</v>
      </c>
      <c r="AO36" s="156">
        <f t="shared" si="138"/>
        <v>9259</v>
      </c>
      <c r="AP36" s="156">
        <f t="shared" si="139"/>
        <v>21799</v>
      </c>
      <c r="AQ36" s="154">
        <v>1738.0</v>
      </c>
      <c r="AR36" s="154">
        <v>1981.0</v>
      </c>
      <c r="AS36" s="154">
        <v>1492.0</v>
      </c>
      <c r="AT36" s="154">
        <f t="shared" si="140"/>
        <v>5211</v>
      </c>
      <c r="AU36" s="154">
        <v>508.0</v>
      </c>
      <c r="AV36" s="154">
        <v>1175.0</v>
      </c>
      <c r="AW36" s="154">
        <v>504.0</v>
      </c>
      <c r="AX36" s="154">
        <f t="shared" si="141"/>
        <v>2187</v>
      </c>
      <c r="AY36" s="154">
        <v>926.0</v>
      </c>
      <c r="AZ36" s="154">
        <v>1233.0</v>
      </c>
      <c r="BA36" s="154">
        <v>529.0</v>
      </c>
      <c r="BB36" s="154">
        <f t="shared" si="142"/>
        <v>2688</v>
      </c>
      <c r="BC36" s="154">
        <v>287.0</v>
      </c>
      <c r="BD36" s="154">
        <v>489.0</v>
      </c>
      <c r="BE36" s="154">
        <v>196.0</v>
      </c>
      <c r="BF36" s="154">
        <f t="shared" si="143"/>
        <v>972</v>
      </c>
      <c r="BG36" s="154">
        <f t="shared" si="144"/>
        <v>11058</v>
      </c>
      <c r="BH36" s="154">
        <v>74.0</v>
      </c>
      <c r="BI36" s="154">
        <v>239.0</v>
      </c>
      <c r="BJ36" s="154">
        <v>211.0</v>
      </c>
      <c r="BK36" s="154">
        <f t="shared" si="145"/>
        <v>524</v>
      </c>
      <c r="BL36" s="154">
        <v>214.0</v>
      </c>
      <c r="BM36" s="154">
        <v>145.0</v>
      </c>
      <c r="BN36" s="154">
        <v>371.0</v>
      </c>
      <c r="BO36" s="154">
        <f t="shared" si="146"/>
        <v>730</v>
      </c>
      <c r="BP36" s="154">
        <v>658.0</v>
      </c>
      <c r="BQ36" s="154">
        <v>428.0</v>
      </c>
      <c r="BR36" s="154">
        <v>405.0</v>
      </c>
      <c r="BS36" s="154">
        <f t="shared" si="147"/>
        <v>1491</v>
      </c>
      <c r="BT36" s="154">
        <v>244.0</v>
      </c>
      <c r="BU36" s="154">
        <v>463.0</v>
      </c>
      <c r="BV36" s="154">
        <v>432.0</v>
      </c>
      <c r="BW36" s="154">
        <f t="shared" si="148"/>
        <v>1139</v>
      </c>
      <c r="BX36" s="154">
        <f t="shared" si="149"/>
        <v>3884</v>
      </c>
      <c r="BY36" s="154">
        <v>465.0</v>
      </c>
      <c r="BZ36" s="154">
        <v>465.0</v>
      </c>
      <c r="CA36" s="154">
        <f t="shared" si="150"/>
        <v>0</v>
      </c>
      <c r="CB36" s="154">
        <v>323.0</v>
      </c>
      <c r="CC36" s="154">
        <v>323.0</v>
      </c>
      <c r="CD36" s="154">
        <f t="shared" si="151"/>
        <v>0</v>
      </c>
      <c r="CE36" s="154">
        <v>15.0</v>
      </c>
      <c r="CF36" s="154">
        <f>3+255</f>
        <v>258</v>
      </c>
      <c r="CG36" s="154">
        <f t="shared" si="152"/>
        <v>243</v>
      </c>
      <c r="CH36" s="154">
        <f>SUM(BY36:CE36)</f>
        <v>1591</v>
      </c>
      <c r="CI36" s="154">
        <v>726.0</v>
      </c>
      <c r="CJ36" s="154">
        <f>709+43</f>
        <v>752</v>
      </c>
      <c r="CK36" s="154">
        <f t="shared" si="154"/>
        <v>26</v>
      </c>
      <c r="CL36" s="154">
        <f t="shared" ref="CL36:CM36" si="165">338+1</f>
        <v>339</v>
      </c>
      <c r="CM36" s="154">
        <f t="shared" si="165"/>
        <v>339</v>
      </c>
      <c r="CN36" s="154">
        <f t="shared" si="155"/>
        <v>0</v>
      </c>
      <c r="CO36" s="154">
        <f>447+37</f>
        <v>484</v>
      </c>
      <c r="CP36" s="154">
        <f>471+37</f>
        <v>508</v>
      </c>
      <c r="CQ36" s="154">
        <f t="shared" si="156"/>
        <v>24</v>
      </c>
      <c r="CR36" s="154">
        <f t="shared" si="157"/>
        <v>2666</v>
      </c>
      <c r="CS36" s="154">
        <f>54+787</f>
        <v>841</v>
      </c>
      <c r="CT36" s="154">
        <f t="shared" si="158"/>
        <v>293</v>
      </c>
      <c r="CU36" s="154">
        <f t="shared" si="159"/>
        <v>1134</v>
      </c>
      <c r="CV36" s="154"/>
      <c r="CW36" s="154"/>
      <c r="CX36" s="154">
        <f t="shared" si="160"/>
        <v>2268</v>
      </c>
      <c r="CY36" s="154"/>
      <c r="CZ36" s="154"/>
      <c r="DA36" s="154"/>
      <c r="DB36" s="154">
        <f t="shared" si="161"/>
        <v>0</v>
      </c>
      <c r="DC36" s="154">
        <f t="shared" si="162"/>
        <v>6525</v>
      </c>
      <c r="DD36" s="154">
        <f t="shared" si="163"/>
        <v>44404</v>
      </c>
      <c r="DE36" s="6"/>
      <c r="DF36" s="6"/>
      <c r="DG36" s="6"/>
      <c r="DH36" s="6"/>
      <c r="DI36" s="6"/>
      <c r="DJ36" s="6"/>
      <c r="DK36" s="6"/>
      <c r="DL36" s="6"/>
    </row>
    <row r="37" ht="15.75" customHeight="1">
      <c r="A37" s="137" t="s">
        <v>107</v>
      </c>
      <c r="B37" s="141">
        <f t="shared" ref="B37:DD37" si="166">SUM(B38:B42)</f>
        <v>2656</v>
      </c>
      <c r="C37" s="141">
        <f t="shared" si="166"/>
        <v>0</v>
      </c>
      <c r="D37" s="141">
        <f t="shared" si="166"/>
        <v>0</v>
      </c>
      <c r="E37" s="141">
        <f t="shared" si="166"/>
        <v>0</v>
      </c>
      <c r="F37" s="141">
        <f t="shared" si="166"/>
        <v>319</v>
      </c>
      <c r="G37" s="141">
        <f t="shared" si="166"/>
        <v>492</v>
      </c>
      <c r="H37" s="141">
        <f t="shared" si="166"/>
        <v>811</v>
      </c>
      <c r="I37" s="141">
        <f t="shared" si="166"/>
        <v>93</v>
      </c>
      <c r="J37" s="141">
        <f t="shared" si="166"/>
        <v>403</v>
      </c>
      <c r="K37" s="141">
        <f t="shared" si="166"/>
        <v>82</v>
      </c>
      <c r="L37" s="141">
        <f t="shared" si="166"/>
        <v>578</v>
      </c>
      <c r="M37" s="141">
        <f t="shared" si="166"/>
        <v>12</v>
      </c>
      <c r="N37" s="141">
        <f t="shared" si="166"/>
        <v>78</v>
      </c>
      <c r="O37" s="141">
        <f t="shared" si="166"/>
        <v>0</v>
      </c>
      <c r="P37" s="141">
        <f t="shared" si="166"/>
        <v>90</v>
      </c>
      <c r="Q37" s="141">
        <f t="shared" si="166"/>
        <v>45</v>
      </c>
      <c r="R37" s="141">
        <f t="shared" si="166"/>
        <v>4751</v>
      </c>
      <c r="S37" s="141">
        <f t="shared" si="166"/>
        <v>6784</v>
      </c>
      <c r="T37" s="141">
        <f t="shared" si="166"/>
        <v>11580</v>
      </c>
      <c r="U37" s="141">
        <f t="shared" si="166"/>
        <v>3973</v>
      </c>
      <c r="V37" s="141">
        <f t="shared" si="166"/>
        <v>3940</v>
      </c>
      <c r="W37" s="141">
        <f t="shared" si="166"/>
        <v>573</v>
      </c>
      <c r="X37" s="141">
        <f t="shared" si="166"/>
        <v>8486</v>
      </c>
      <c r="Y37" s="141">
        <f t="shared" si="166"/>
        <v>20734</v>
      </c>
      <c r="Z37" s="141">
        <f t="shared" si="166"/>
        <v>89</v>
      </c>
      <c r="AA37" s="141">
        <f t="shared" si="166"/>
        <v>658</v>
      </c>
      <c r="AB37" s="141">
        <f t="shared" si="166"/>
        <v>1214</v>
      </c>
      <c r="AC37" s="142">
        <f t="shared" si="166"/>
        <v>1961</v>
      </c>
      <c r="AD37" s="141">
        <f t="shared" si="166"/>
        <v>616</v>
      </c>
      <c r="AE37" s="141">
        <f t="shared" si="166"/>
        <v>351</v>
      </c>
      <c r="AF37" s="141">
        <f t="shared" si="166"/>
        <v>834</v>
      </c>
      <c r="AG37" s="142">
        <f t="shared" si="166"/>
        <v>1801</v>
      </c>
      <c r="AH37" s="141">
        <f t="shared" si="166"/>
        <v>281</v>
      </c>
      <c r="AI37" s="141">
        <f t="shared" si="166"/>
        <v>87</v>
      </c>
      <c r="AJ37" s="141">
        <f t="shared" si="166"/>
        <v>624</v>
      </c>
      <c r="AK37" s="142">
        <f t="shared" si="166"/>
        <v>992</v>
      </c>
      <c r="AL37" s="141">
        <f t="shared" si="166"/>
        <v>4497</v>
      </c>
      <c r="AM37" s="141">
        <f t="shared" si="166"/>
        <v>2683</v>
      </c>
      <c r="AN37" s="141">
        <f t="shared" si="166"/>
        <v>3144</v>
      </c>
      <c r="AO37" s="142">
        <f t="shared" si="166"/>
        <v>10324</v>
      </c>
      <c r="AP37" s="142">
        <f t="shared" si="166"/>
        <v>15078</v>
      </c>
      <c r="AQ37" s="142">
        <f t="shared" si="166"/>
        <v>4510</v>
      </c>
      <c r="AR37" s="142">
        <f t="shared" si="166"/>
        <v>12528</v>
      </c>
      <c r="AS37" s="142">
        <f t="shared" si="166"/>
        <v>13643</v>
      </c>
      <c r="AT37" s="142">
        <f t="shared" si="166"/>
        <v>30681</v>
      </c>
      <c r="AU37" s="142">
        <f t="shared" si="166"/>
        <v>1841</v>
      </c>
      <c r="AV37" s="142">
        <f t="shared" si="166"/>
        <v>2915</v>
      </c>
      <c r="AW37" s="142">
        <f t="shared" si="166"/>
        <v>1236</v>
      </c>
      <c r="AX37" s="142">
        <f t="shared" si="166"/>
        <v>5992</v>
      </c>
      <c r="AY37" s="142">
        <f t="shared" si="166"/>
        <v>4837</v>
      </c>
      <c r="AZ37" s="142">
        <f t="shared" si="166"/>
        <v>8016</v>
      </c>
      <c r="BA37" s="142">
        <f t="shared" si="166"/>
        <v>7094</v>
      </c>
      <c r="BB37" s="142">
        <f t="shared" si="166"/>
        <v>19947</v>
      </c>
      <c r="BC37" s="142">
        <f t="shared" si="166"/>
        <v>566</v>
      </c>
      <c r="BD37" s="142">
        <f t="shared" si="166"/>
        <v>1691</v>
      </c>
      <c r="BE37" s="142">
        <f t="shared" si="166"/>
        <v>1204</v>
      </c>
      <c r="BF37" s="142">
        <f t="shared" si="166"/>
        <v>3461</v>
      </c>
      <c r="BG37" s="142">
        <f t="shared" si="166"/>
        <v>60081</v>
      </c>
      <c r="BH37" s="142">
        <f t="shared" si="166"/>
        <v>43150</v>
      </c>
      <c r="BI37" s="142">
        <f t="shared" si="166"/>
        <v>5911</v>
      </c>
      <c r="BJ37" s="142">
        <f t="shared" si="166"/>
        <v>5295</v>
      </c>
      <c r="BK37" s="142">
        <f t="shared" si="166"/>
        <v>54356</v>
      </c>
      <c r="BL37" s="142">
        <f t="shared" si="166"/>
        <v>3556</v>
      </c>
      <c r="BM37" s="142">
        <f t="shared" si="166"/>
        <v>4061</v>
      </c>
      <c r="BN37" s="142">
        <f t="shared" si="166"/>
        <v>2952</v>
      </c>
      <c r="BO37" s="142">
        <f t="shared" si="166"/>
        <v>10569</v>
      </c>
      <c r="BP37" s="142">
        <f t="shared" si="166"/>
        <v>4137</v>
      </c>
      <c r="BQ37" s="142">
        <f t="shared" si="166"/>
        <v>4487</v>
      </c>
      <c r="BR37" s="142">
        <f t="shared" si="166"/>
        <v>7844</v>
      </c>
      <c r="BS37" s="142">
        <f t="shared" si="166"/>
        <v>16468</v>
      </c>
      <c r="BT37" s="142">
        <f t="shared" si="166"/>
        <v>12331</v>
      </c>
      <c r="BU37" s="142">
        <f t="shared" si="166"/>
        <v>3510</v>
      </c>
      <c r="BV37" s="142">
        <f t="shared" si="166"/>
        <v>2882</v>
      </c>
      <c r="BW37" s="142">
        <f t="shared" si="166"/>
        <v>18723</v>
      </c>
      <c r="BX37" s="142">
        <f t="shared" si="166"/>
        <v>100116</v>
      </c>
      <c r="BY37" s="141">
        <f t="shared" si="166"/>
        <v>1132</v>
      </c>
      <c r="BZ37" s="141">
        <f t="shared" si="166"/>
        <v>1132</v>
      </c>
      <c r="CA37" s="141">
        <f t="shared" si="166"/>
        <v>0</v>
      </c>
      <c r="CB37" s="141">
        <f t="shared" si="166"/>
        <v>8141</v>
      </c>
      <c r="CC37" s="141">
        <f t="shared" si="166"/>
        <v>8141</v>
      </c>
      <c r="CD37" s="141">
        <f t="shared" si="166"/>
        <v>0</v>
      </c>
      <c r="CE37" s="141">
        <f t="shared" si="166"/>
        <v>428</v>
      </c>
      <c r="CF37" s="141">
        <f t="shared" si="166"/>
        <v>10951</v>
      </c>
      <c r="CG37" s="141">
        <f t="shared" si="166"/>
        <v>10523</v>
      </c>
      <c r="CH37" s="142">
        <f t="shared" si="166"/>
        <v>27138</v>
      </c>
      <c r="CI37" s="141">
        <f t="shared" si="166"/>
        <v>10033</v>
      </c>
      <c r="CJ37" s="141">
        <f t="shared" si="166"/>
        <v>10084</v>
      </c>
      <c r="CK37" s="141">
        <f t="shared" si="166"/>
        <v>51</v>
      </c>
      <c r="CL37" s="141">
        <f t="shared" si="166"/>
        <v>10010</v>
      </c>
      <c r="CM37" s="141">
        <f t="shared" si="166"/>
        <v>10010</v>
      </c>
      <c r="CN37" s="141">
        <f t="shared" si="166"/>
        <v>0</v>
      </c>
      <c r="CO37" s="141">
        <f t="shared" si="166"/>
        <v>11166</v>
      </c>
      <c r="CP37" s="141">
        <f t="shared" si="166"/>
        <v>11446</v>
      </c>
      <c r="CQ37" s="141">
        <f t="shared" si="166"/>
        <v>280</v>
      </c>
      <c r="CR37" s="141">
        <f t="shared" si="166"/>
        <v>51354</v>
      </c>
      <c r="CS37" s="141">
        <f t="shared" si="166"/>
        <v>9627</v>
      </c>
      <c r="CT37" s="141">
        <f t="shared" si="166"/>
        <v>10854</v>
      </c>
      <c r="CU37" s="141">
        <f t="shared" si="166"/>
        <v>20481</v>
      </c>
      <c r="CV37" s="141">
        <f t="shared" si="166"/>
        <v>0</v>
      </c>
      <c r="CW37" s="141">
        <f t="shared" si="166"/>
        <v>0</v>
      </c>
      <c r="CX37" s="141">
        <f t="shared" si="166"/>
        <v>40962</v>
      </c>
      <c r="CY37" s="141">
        <f t="shared" si="166"/>
        <v>0</v>
      </c>
      <c r="CZ37" s="141">
        <f t="shared" si="166"/>
        <v>0</v>
      </c>
      <c r="DA37" s="141">
        <f t="shared" si="166"/>
        <v>0</v>
      </c>
      <c r="DB37" s="141">
        <f t="shared" si="166"/>
        <v>0</v>
      </c>
      <c r="DC37" s="141">
        <f t="shared" si="166"/>
        <v>119454</v>
      </c>
      <c r="DD37" s="141">
        <f t="shared" si="166"/>
        <v>318930</v>
      </c>
      <c r="DE37" s="6"/>
      <c r="DF37" s="24">
        <f>SUM(AK37,AO37,BG37,BX37,DC37)</f>
        <v>290967</v>
      </c>
      <c r="DG37" s="6"/>
      <c r="DH37" s="6"/>
      <c r="DI37" s="6"/>
      <c r="DJ37" s="6"/>
      <c r="DK37" s="6"/>
      <c r="DL37" s="6"/>
    </row>
    <row r="38" ht="15.75" customHeight="1">
      <c r="A38" s="167" t="s">
        <v>108</v>
      </c>
      <c r="B38" s="179">
        <v>33.0</v>
      </c>
      <c r="C38" s="154">
        <v>0.0</v>
      </c>
      <c r="D38" s="154">
        <v>0.0</v>
      </c>
      <c r="E38" s="154">
        <v>0.0</v>
      </c>
      <c r="F38" s="154">
        <v>126.0</v>
      </c>
      <c r="G38" s="154">
        <v>281.0</v>
      </c>
      <c r="H38" s="154">
        <f t="shared" ref="H38:H42" si="167">SUM(C38:G38)</f>
        <v>407</v>
      </c>
      <c r="I38" s="154">
        <v>65.0</v>
      </c>
      <c r="J38" s="154">
        <v>128.0</v>
      </c>
      <c r="K38" s="154">
        <v>72.0</v>
      </c>
      <c r="L38" s="156">
        <f t="shared" ref="L38:L42" si="168">SUM(I38:K38)</f>
        <v>265</v>
      </c>
      <c r="M38" s="154">
        <v>6.0</v>
      </c>
      <c r="N38" s="154">
        <v>1.0</v>
      </c>
      <c r="O38" s="154">
        <v>0.0</v>
      </c>
      <c r="P38" s="156">
        <f t="shared" ref="P38:P42" si="169">SUM(M38:O38)</f>
        <v>7</v>
      </c>
      <c r="Q38" s="154">
        <v>0.0</v>
      </c>
      <c r="R38" s="154">
        <v>61.0</v>
      </c>
      <c r="S38" s="154">
        <v>67.0</v>
      </c>
      <c r="T38" s="156">
        <f t="shared" ref="T38:T42" si="170">SUM(Q38:S38)</f>
        <v>128</v>
      </c>
      <c r="U38" s="154">
        <v>29.0</v>
      </c>
      <c r="V38" s="154">
        <v>1716.0</v>
      </c>
      <c r="W38" s="154">
        <v>173.0</v>
      </c>
      <c r="X38" s="156">
        <f t="shared" ref="X38:X42" si="171">SUM(U38:W38)</f>
        <v>1918</v>
      </c>
      <c r="Y38" s="156">
        <f t="shared" ref="Y38:Y42" si="172">SUM(X38,T38,P38,L38)</f>
        <v>2318</v>
      </c>
      <c r="Z38" s="154">
        <v>2.0</v>
      </c>
      <c r="AA38" s="154">
        <v>130.0</v>
      </c>
      <c r="AB38" s="154">
        <v>417.0</v>
      </c>
      <c r="AC38" s="156">
        <f t="shared" ref="AC38:AC42" si="173">SUM(Z38:AB38)</f>
        <v>549</v>
      </c>
      <c r="AD38" s="154">
        <v>48.0</v>
      </c>
      <c r="AE38" s="154">
        <v>113.0</v>
      </c>
      <c r="AF38" s="154">
        <v>163.0</v>
      </c>
      <c r="AG38" s="156">
        <f t="shared" ref="AG38:AG42" si="174">SUM(AD38:AF38)</f>
        <v>324</v>
      </c>
      <c r="AH38" s="154">
        <v>50.0</v>
      </c>
      <c r="AI38" s="154">
        <v>12.0</v>
      </c>
      <c r="AJ38" s="154">
        <v>145.0</v>
      </c>
      <c r="AK38" s="156">
        <f t="shared" ref="AK38:AK42" si="175">SUM(AH38:AJ38)</f>
        <v>207</v>
      </c>
      <c r="AL38" s="154">
        <v>705.0</v>
      </c>
      <c r="AM38" s="154">
        <v>303.0</v>
      </c>
      <c r="AN38" s="154">
        <v>390.0</v>
      </c>
      <c r="AO38" s="156">
        <f t="shared" ref="AO38:AO42" si="176">SUM(AL38:AN38)</f>
        <v>1398</v>
      </c>
      <c r="AP38" s="156">
        <f t="shared" ref="AP38:AP42" si="177">SUM(AO38,AK38,AG38,AC38)</f>
        <v>2478</v>
      </c>
      <c r="AQ38" s="154">
        <v>1183.0</v>
      </c>
      <c r="AR38" s="154">
        <v>2906.0</v>
      </c>
      <c r="AS38" s="154">
        <v>2755.0</v>
      </c>
      <c r="AT38" s="154">
        <f t="shared" ref="AT38:AT42" si="178">SUM(AQ38:AS38)</f>
        <v>6844</v>
      </c>
      <c r="AU38" s="154">
        <v>412.0</v>
      </c>
      <c r="AV38" s="154">
        <v>618.0</v>
      </c>
      <c r="AW38" s="154">
        <v>176.0</v>
      </c>
      <c r="AX38" s="154">
        <f t="shared" ref="AX38:AX42" si="179">SUM(AU38:AW38)</f>
        <v>1206</v>
      </c>
      <c r="AY38" s="154">
        <v>894.0</v>
      </c>
      <c r="AZ38" s="154">
        <v>1630.0</v>
      </c>
      <c r="BA38" s="154">
        <v>1306.0</v>
      </c>
      <c r="BB38" s="154">
        <f t="shared" ref="BB38:BB42" si="180">SUM(AY38:BA38)</f>
        <v>3830</v>
      </c>
      <c r="BC38" s="154">
        <v>180.0</v>
      </c>
      <c r="BD38" s="154">
        <v>259.0</v>
      </c>
      <c r="BE38" s="154">
        <v>221.0</v>
      </c>
      <c r="BF38" s="154">
        <f t="shared" ref="BF38:BF42" si="181">SUM(BC38:BE38)</f>
        <v>660</v>
      </c>
      <c r="BG38" s="154">
        <f t="shared" ref="BG38:BG42" si="182">SUM(AT38,AX38,BB38,BF38)</f>
        <v>12540</v>
      </c>
      <c r="BH38" s="154">
        <v>8905.0</v>
      </c>
      <c r="BI38" s="154">
        <v>1079.0</v>
      </c>
      <c r="BJ38" s="154">
        <v>1370.0</v>
      </c>
      <c r="BK38" s="154">
        <f t="shared" ref="BK38:BK42" si="183">SUM(BH38:BJ38)</f>
        <v>11354</v>
      </c>
      <c r="BL38" s="154">
        <v>902.0</v>
      </c>
      <c r="BM38" s="154">
        <v>1021.0</v>
      </c>
      <c r="BN38" s="154">
        <v>1185.0</v>
      </c>
      <c r="BO38" s="154">
        <f t="shared" ref="BO38:BO42" si="184">SUM(BL38:BN38)</f>
        <v>3108</v>
      </c>
      <c r="BP38" s="154">
        <v>436.0</v>
      </c>
      <c r="BQ38" s="154">
        <v>540.0</v>
      </c>
      <c r="BR38" s="154">
        <v>2404.0</v>
      </c>
      <c r="BS38" s="154">
        <f t="shared" ref="BS38:BS42" si="185">SUM(BP38:BR38)</f>
        <v>3380</v>
      </c>
      <c r="BT38" s="154">
        <v>2944.0</v>
      </c>
      <c r="BU38" s="154">
        <v>662.0</v>
      </c>
      <c r="BV38" s="154">
        <v>1362.0</v>
      </c>
      <c r="BW38" s="154">
        <f t="shared" ref="BW38:BW42" si="186">SUM(BT38:BV38)</f>
        <v>4968</v>
      </c>
      <c r="BX38" s="154">
        <f t="shared" ref="BX38:BX42" si="187">SUM(BK38,BO38,BS38,BW38)</f>
        <v>22810</v>
      </c>
      <c r="BY38" s="154">
        <v>328.0</v>
      </c>
      <c r="BZ38" s="154">
        <v>328.0</v>
      </c>
      <c r="CA38" s="154">
        <f t="shared" ref="CA38:CA42" si="188">BZ38-BY38</f>
        <v>0</v>
      </c>
      <c r="CB38" s="154">
        <v>2427.0</v>
      </c>
      <c r="CC38" s="154">
        <v>2427.0</v>
      </c>
      <c r="CD38" s="154">
        <f t="shared" ref="CD38:CD42" si="189">CC38-CB38</f>
        <v>0</v>
      </c>
      <c r="CE38" s="154">
        <v>185.0</v>
      </c>
      <c r="CF38" s="154">
        <v>4306.0</v>
      </c>
      <c r="CG38" s="154">
        <f t="shared" ref="CG38:CG42" si="190">CF38-CE38</f>
        <v>4121</v>
      </c>
      <c r="CH38" s="154">
        <f t="shared" ref="CH38:CH40" si="191">SUM(BY38:CF38)</f>
        <v>10001</v>
      </c>
      <c r="CI38" s="154">
        <v>4938.0</v>
      </c>
      <c r="CJ38" s="154">
        <v>4962.0</v>
      </c>
      <c r="CK38" s="154">
        <f t="shared" ref="CK38:CK42" si="192">CJ38-CI38</f>
        <v>24</v>
      </c>
      <c r="CL38" s="154">
        <v>3739.0</v>
      </c>
      <c r="CM38" s="154">
        <v>3739.0</v>
      </c>
      <c r="CN38" s="154">
        <f t="shared" ref="CN38:CN42" si="193">CM38-CL38</f>
        <v>0</v>
      </c>
      <c r="CO38" s="154">
        <v>4103.0</v>
      </c>
      <c r="CP38" s="154">
        <v>4130.0</v>
      </c>
      <c r="CQ38" s="154">
        <f t="shared" ref="CQ38:CQ42" si="194">CP38-CO38</f>
        <v>27</v>
      </c>
      <c r="CR38" s="154">
        <f t="shared" ref="CR38:CR42" si="195">SUM(CI38:CO38)</f>
        <v>21505</v>
      </c>
      <c r="CS38" s="154">
        <v>1875.0</v>
      </c>
      <c r="CT38" s="154">
        <f t="shared" ref="CT38:CT42" si="196">SUM(CA38,CD38,CG38,CK38,CN38,CQ38)</f>
        <v>4172</v>
      </c>
      <c r="CU38" s="154">
        <f t="shared" ref="CU38:CU42" si="197">CS38+CT38</f>
        <v>6047</v>
      </c>
      <c r="CV38" s="154"/>
      <c r="CW38" s="154"/>
      <c r="CX38" s="154">
        <f t="shared" ref="CX38:CX42" si="198">SUM(CS38:CW38)</f>
        <v>12094</v>
      </c>
      <c r="CY38" s="154"/>
      <c r="CZ38" s="154"/>
      <c r="DA38" s="154"/>
      <c r="DB38" s="154">
        <f t="shared" ref="DB38:DB42" si="199">SUM(CY38:DA38)</f>
        <v>0</v>
      </c>
      <c r="DC38" s="154">
        <f t="shared" ref="DC38:DC42" si="200">SUM(CH38,CR38,CX38,DB38)</f>
        <v>43600</v>
      </c>
      <c r="DD38" s="154">
        <f t="shared" ref="DD38:DD42" si="201">SUM(B38,H38,Y38,AP38,BG38,BX38,DC38)</f>
        <v>84186</v>
      </c>
      <c r="DE38" s="6"/>
      <c r="DF38" s="6"/>
      <c r="DG38" s="6"/>
      <c r="DH38" s="6"/>
      <c r="DI38" s="6"/>
      <c r="DJ38" s="6"/>
      <c r="DK38" s="6"/>
      <c r="DL38" s="6"/>
    </row>
    <row r="39" ht="15.75" customHeight="1">
      <c r="A39" s="167" t="s">
        <v>109</v>
      </c>
      <c r="B39" s="154">
        <v>161.0</v>
      </c>
      <c r="C39" s="154">
        <v>0.0</v>
      </c>
      <c r="D39" s="154">
        <v>0.0</v>
      </c>
      <c r="E39" s="154">
        <v>0.0</v>
      </c>
      <c r="F39" s="154">
        <v>22.0</v>
      </c>
      <c r="G39" s="154">
        <v>22.0</v>
      </c>
      <c r="H39" s="154">
        <f t="shared" si="167"/>
        <v>44</v>
      </c>
      <c r="I39" s="154">
        <v>0.0</v>
      </c>
      <c r="J39" s="154">
        <v>41.0</v>
      </c>
      <c r="K39" s="154">
        <v>0.0</v>
      </c>
      <c r="L39" s="156">
        <f t="shared" si="168"/>
        <v>41</v>
      </c>
      <c r="M39" s="154">
        <v>0.0</v>
      </c>
      <c r="N39" s="154">
        <v>0.0</v>
      </c>
      <c r="O39" s="154">
        <v>0.0</v>
      </c>
      <c r="P39" s="156">
        <f t="shared" si="169"/>
        <v>0</v>
      </c>
      <c r="Q39" s="154">
        <v>0.0</v>
      </c>
      <c r="R39" s="154">
        <v>1.0</v>
      </c>
      <c r="S39" s="154">
        <v>1.0</v>
      </c>
      <c r="T39" s="156">
        <f t="shared" si="170"/>
        <v>2</v>
      </c>
      <c r="U39" s="154">
        <v>20.0</v>
      </c>
      <c r="V39" s="154">
        <v>135.0</v>
      </c>
      <c r="W39" s="154">
        <v>47.0</v>
      </c>
      <c r="X39" s="156">
        <f t="shared" si="171"/>
        <v>202</v>
      </c>
      <c r="Y39" s="156">
        <f t="shared" si="172"/>
        <v>245</v>
      </c>
      <c r="Z39" s="154">
        <v>0.0</v>
      </c>
      <c r="AA39" s="154">
        <v>17.0</v>
      </c>
      <c r="AB39" s="154">
        <v>166.0</v>
      </c>
      <c r="AC39" s="156">
        <f t="shared" si="173"/>
        <v>183</v>
      </c>
      <c r="AD39" s="154">
        <v>60.0</v>
      </c>
      <c r="AE39" s="154">
        <v>8.0</v>
      </c>
      <c r="AF39" s="154">
        <v>37.0</v>
      </c>
      <c r="AG39" s="156">
        <f t="shared" si="174"/>
        <v>105</v>
      </c>
      <c r="AH39" s="154">
        <v>42.0</v>
      </c>
      <c r="AI39" s="154">
        <v>1.0</v>
      </c>
      <c r="AJ39" s="154">
        <v>10.0</v>
      </c>
      <c r="AK39" s="156">
        <f t="shared" si="175"/>
        <v>53</v>
      </c>
      <c r="AL39" s="154">
        <v>92.0</v>
      </c>
      <c r="AM39" s="154">
        <v>293.0</v>
      </c>
      <c r="AN39" s="154">
        <v>433.0</v>
      </c>
      <c r="AO39" s="156">
        <f t="shared" si="176"/>
        <v>818</v>
      </c>
      <c r="AP39" s="156">
        <f t="shared" si="177"/>
        <v>1159</v>
      </c>
      <c r="AQ39" s="154">
        <v>270.0</v>
      </c>
      <c r="AR39" s="154">
        <v>255.0</v>
      </c>
      <c r="AS39" s="154">
        <v>798.0</v>
      </c>
      <c r="AT39" s="154">
        <f t="shared" si="178"/>
        <v>1323</v>
      </c>
      <c r="AU39" s="154">
        <v>101.0</v>
      </c>
      <c r="AV39" s="154">
        <v>208.0</v>
      </c>
      <c r="AW39" s="154">
        <v>5.0</v>
      </c>
      <c r="AX39" s="154">
        <f t="shared" si="179"/>
        <v>314</v>
      </c>
      <c r="AY39" s="154">
        <v>233.0</v>
      </c>
      <c r="AZ39" s="154">
        <v>625.0</v>
      </c>
      <c r="BA39" s="154">
        <v>1064.0</v>
      </c>
      <c r="BB39" s="154">
        <f t="shared" si="180"/>
        <v>1922</v>
      </c>
      <c r="BC39" s="154">
        <v>55.0</v>
      </c>
      <c r="BD39" s="154">
        <v>75.0</v>
      </c>
      <c r="BE39" s="154">
        <v>26.0</v>
      </c>
      <c r="BF39" s="154">
        <f t="shared" si="181"/>
        <v>156</v>
      </c>
      <c r="BG39" s="154">
        <f t="shared" si="182"/>
        <v>3715</v>
      </c>
      <c r="BH39" s="154">
        <v>2883.0</v>
      </c>
      <c r="BI39" s="154">
        <v>1031.0</v>
      </c>
      <c r="BJ39" s="154">
        <v>296.0</v>
      </c>
      <c r="BK39" s="154">
        <f t="shared" si="183"/>
        <v>4210</v>
      </c>
      <c r="BL39" s="154">
        <v>81.0</v>
      </c>
      <c r="BM39" s="154">
        <v>230.0</v>
      </c>
      <c r="BN39" s="154">
        <v>67.0</v>
      </c>
      <c r="BO39" s="154">
        <f t="shared" si="184"/>
        <v>378</v>
      </c>
      <c r="BP39" s="154">
        <v>915.0</v>
      </c>
      <c r="BQ39" s="154">
        <v>365.0</v>
      </c>
      <c r="BR39" s="154">
        <v>123.0</v>
      </c>
      <c r="BS39" s="154">
        <f t="shared" si="185"/>
        <v>1403</v>
      </c>
      <c r="BT39" s="154">
        <v>488.0</v>
      </c>
      <c r="BU39" s="154">
        <v>137.0</v>
      </c>
      <c r="BV39" s="154">
        <v>170.0</v>
      </c>
      <c r="BW39" s="154">
        <f t="shared" si="186"/>
        <v>795</v>
      </c>
      <c r="BX39" s="154">
        <f t="shared" si="187"/>
        <v>6786</v>
      </c>
      <c r="BY39" s="154">
        <v>56.0</v>
      </c>
      <c r="BZ39" s="154">
        <v>56.0</v>
      </c>
      <c r="CA39" s="154">
        <f t="shared" si="188"/>
        <v>0</v>
      </c>
      <c r="CB39" s="154">
        <v>982.0</v>
      </c>
      <c r="CC39" s="154">
        <v>982.0</v>
      </c>
      <c r="CD39" s="154">
        <f t="shared" si="189"/>
        <v>0</v>
      </c>
      <c r="CE39" s="154">
        <v>2.0</v>
      </c>
      <c r="CF39" s="154">
        <v>1297.0</v>
      </c>
      <c r="CG39" s="154">
        <f t="shared" si="190"/>
        <v>1295</v>
      </c>
      <c r="CH39" s="154">
        <f t="shared" si="191"/>
        <v>3375</v>
      </c>
      <c r="CI39" s="154">
        <v>1248.0</v>
      </c>
      <c r="CJ39" s="154">
        <v>1256.0</v>
      </c>
      <c r="CK39" s="154">
        <f t="shared" si="192"/>
        <v>8</v>
      </c>
      <c r="CL39" s="154">
        <v>742.0</v>
      </c>
      <c r="CM39" s="154">
        <v>742.0</v>
      </c>
      <c r="CN39" s="154">
        <f t="shared" si="193"/>
        <v>0</v>
      </c>
      <c r="CO39" s="154">
        <v>697.0</v>
      </c>
      <c r="CP39" s="154">
        <v>699.0</v>
      </c>
      <c r="CQ39" s="154">
        <f t="shared" si="194"/>
        <v>2</v>
      </c>
      <c r="CR39" s="154">
        <f t="shared" si="195"/>
        <v>4693</v>
      </c>
      <c r="CS39" s="154">
        <v>459.0</v>
      </c>
      <c r="CT39" s="154">
        <f t="shared" si="196"/>
        <v>1305</v>
      </c>
      <c r="CU39" s="154">
        <f t="shared" si="197"/>
        <v>1764</v>
      </c>
      <c r="CV39" s="154"/>
      <c r="CW39" s="154"/>
      <c r="CX39" s="154">
        <f t="shared" si="198"/>
        <v>3528</v>
      </c>
      <c r="CY39" s="154"/>
      <c r="CZ39" s="154"/>
      <c r="DA39" s="154"/>
      <c r="DB39" s="154">
        <f t="shared" si="199"/>
        <v>0</v>
      </c>
      <c r="DC39" s="154">
        <f t="shared" si="200"/>
        <v>11596</v>
      </c>
      <c r="DD39" s="154">
        <f t="shared" si="201"/>
        <v>23706</v>
      </c>
      <c r="DE39" s="6"/>
      <c r="DF39" s="6"/>
      <c r="DG39" s="6"/>
      <c r="DH39" s="6"/>
      <c r="DI39" s="6"/>
      <c r="DJ39" s="6"/>
      <c r="DK39" s="6"/>
      <c r="DL39" s="6"/>
    </row>
    <row r="40" ht="15.75" customHeight="1">
      <c r="A40" s="167" t="s">
        <v>110</v>
      </c>
      <c r="B40" s="154">
        <v>1208.0</v>
      </c>
      <c r="C40" s="154">
        <v>0.0</v>
      </c>
      <c r="D40" s="154">
        <v>0.0</v>
      </c>
      <c r="E40" s="154">
        <v>0.0</v>
      </c>
      <c r="F40" s="154">
        <v>1.0</v>
      </c>
      <c r="G40" s="154">
        <v>28.0</v>
      </c>
      <c r="H40" s="154">
        <f t="shared" si="167"/>
        <v>29</v>
      </c>
      <c r="I40" s="154">
        <v>6.0</v>
      </c>
      <c r="J40" s="154">
        <v>8.0</v>
      </c>
      <c r="K40" s="154">
        <v>0.0</v>
      </c>
      <c r="L40" s="156">
        <f t="shared" si="168"/>
        <v>14</v>
      </c>
      <c r="M40" s="154">
        <v>2.0</v>
      </c>
      <c r="N40" s="154">
        <v>11.0</v>
      </c>
      <c r="O40" s="154">
        <v>0.0</v>
      </c>
      <c r="P40" s="156">
        <f t="shared" si="169"/>
        <v>13</v>
      </c>
      <c r="Q40" s="154">
        <v>0.0</v>
      </c>
      <c r="R40" s="154">
        <v>8.0</v>
      </c>
      <c r="S40" s="154">
        <v>379.0</v>
      </c>
      <c r="T40" s="156">
        <f t="shared" si="170"/>
        <v>387</v>
      </c>
      <c r="U40" s="154">
        <v>1296.0</v>
      </c>
      <c r="V40" s="154">
        <v>158.0</v>
      </c>
      <c r="W40" s="154">
        <v>47.0</v>
      </c>
      <c r="X40" s="156">
        <f t="shared" si="171"/>
        <v>1501</v>
      </c>
      <c r="Y40" s="156">
        <f t="shared" si="172"/>
        <v>1915</v>
      </c>
      <c r="Z40" s="154">
        <v>10.0</v>
      </c>
      <c r="AA40" s="154">
        <v>231.0</v>
      </c>
      <c r="AB40" s="154">
        <v>126.0</v>
      </c>
      <c r="AC40" s="156">
        <f t="shared" si="173"/>
        <v>367</v>
      </c>
      <c r="AD40" s="154">
        <v>45.0</v>
      </c>
      <c r="AE40" s="154">
        <v>2.0</v>
      </c>
      <c r="AF40" s="154">
        <v>258.0</v>
      </c>
      <c r="AG40" s="156">
        <f t="shared" si="174"/>
        <v>305</v>
      </c>
      <c r="AH40" s="154">
        <v>84.0</v>
      </c>
      <c r="AI40" s="154">
        <v>7.0</v>
      </c>
      <c r="AJ40" s="154">
        <v>100.0</v>
      </c>
      <c r="AK40" s="156">
        <f t="shared" si="175"/>
        <v>191</v>
      </c>
      <c r="AL40" s="154">
        <v>329.0</v>
      </c>
      <c r="AM40" s="154">
        <v>160.0</v>
      </c>
      <c r="AN40" s="154">
        <v>165.0</v>
      </c>
      <c r="AO40" s="156">
        <f t="shared" si="176"/>
        <v>654</v>
      </c>
      <c r="AP40" s="156">
        <f t="shared" si="177"/>
        <v>1517</v>
      </c>
      <c r="AQ40" s="154">
        <v>709.0</v>
      </c>
      <c r="AR40" s="154">
        <v>2366.0</v>
      </c>
      <c r="AS40" s="154">
        <v>2387.0</v>
      </c>
      <c r="AT40" s="154">
        <f t="shared" si="178"/>
        <v>5462</v>
      </c>
      <c r="AU40" s="154">
        <v>194.0</v>
      </c>
      <c r="AV40" s="154">
        <v>673.0</v>
      </c>
      <c r="AW40" s="154">
        <v>256.0</v>
      </c>
      <c r="AX40" s="154">
        <f t="shared" si="179"/>
        <v>1123</v>
      </c>
      <c r="AY40" s="154">
        <v>968.0</v>
      </c>
      <c r="AZ40" s="154">
        <v>1471.0</v>
      </c>
      <c r="BA40" s="154">
        <v>746.0</v>
      </c>
      <c r="BB40" s="154">
        <f t="shared" si="180"/>
        <v>3185</v>
      </c>
      <c r="BC40" s="154">
        <v>34.0</v>
      </c>
      <c r="BD40" s="154">
        <v>401.0</v>
      </c>
      <c r="BE40" s="154">
        <v>115.0</v>
      </c>
      <c r="BF40" s="154">
        <f t="shared" si="181"/>
        <v>550</v>
      </c>
      <c r="BG40" s="154">
        <f t="shared" si="182"/>
        <v>10320</v>
      </c>
      <c r="BH40" s="154">
        <v>8174.0</v>
      </c>
      <c r="BI40" s="154">
        <v>729.0</v>
      </c>
      <c r="BJ40" s="154">
        <v>344.0</v>
      </c>
      <c r="BK40" s="154">
        <f t="shared" si="183"/>
        <v>9247</v>
      </c>
      <c r="BL40" s="154">
        <v>35.0</v>
      </c>
      <c r="BM40" s="154">
        <v>160.0</v>
      </c>
      <c r="BN40" s="154">
        <v>631.0</v>
      </c>
      <c r="BO40" s="154">
        <f t="shared" si="184"/>
        <v>826</v>
      </c>
      <c r="BP40" s="154">
        <v>395.0</v>
      </c>
      <c r="BQ40" s="154">
        <v>544.0</v>
      </c>
      <c r="BR40" s="154">
        <v>1611.0</v>
      </c>
      <c r="BS40" s="154">
        <f t="shared" si="185"/>
        <v>2550</v>
      </c>
      <c r="BT40" s="154">
        <v>2155.0</v>
      </c>
      <c r="BU40" s="154">
        <v>912.0</v>
      </c>
      <c r="BV40" s="154">
        <v>530.0</v>
      </c>
      <c r="BW40" s="154">
        <f t="shared" si="186"/>
        <v>3597</v>
      </c>
      <c r="BX40" s="154">
        <f t="shared" si="187"/>
        <v>16220</v>
      </c>
      <c r="BY40" s="154">
        <v>82.0</v>
      </c>
      <c r="BZ40" s="154">
        <v>82.0</v>
      </c>
      <c r="CA40" s="154">
        <f t="shared" si="188"/>
        <v>0</v>
      </c>
      <c r="CB40" s="154">
        <v>1025.0</v>
      </c>
      <c r="CC40" s="154">
        <v>1025.0</v>
      </c>
      <c r="CD40" s="154">
        <f t="shared" si="189"/>
        <v>0</v>
      </c>
      <c r="CE40" s="154">
        <v>63.0</v>
      </c>
      <c r="CF40" s="154">
        <v>2272.0</v>
      </c>
      <c r="CG40" s="154">
        <f t="shared" si="190"/>
        <v>2209</v>
      </c>
      <c r="CH40" s="154">
        <f t="shared" si="191"/>
        <v>4549</v>
      </c>
      <c r="CI40" s="154">
        <v>1348.0</v>
      </c>
      <c r="CJ40" s="154">
        <v>1355.0</v>
      </c>
      <c r="CK40" s="154">
        <f t="shared" si="192"/>
        <v>7</v>
      </c>
      <c r="CL40" s="154">
        <v>2061.0</v>
      </c>
      <c r="CM40" s="154">
        <v>2061.0</v>
      </c>
      <c r="CN40" s="154">
        <f t="shared" si="193"/>
        <v>0</v>
      </c>
      <c r="CO40" s="154">
        <v>1988.0</v>
      </c>
      <c r="CP40" s="154">
        <v>2082.0</v>
      </c>
      <c r="CQ40" s="154">
        <f t="shared" si="194"/>
        <v>94</v>
      </c>
      <c r="CR40" s="154">
        <f t="shared" si="195"/>
        <v>8820</v>
      </c>
      <c r="CS40" s="154">
        <v>1828.0</v>
      </c>
      <c r="CT40" s="154">
        <f t="shared" si="196"/>
        <v>2310</v>
      </c>
      <c r="CU40" s="154">
        <f t="shared" si="197"/>
        <v>4138</v>
      </c>
      <c r="CV40" s="154"/>
      <c r="CW40" s="154"/>
      <c r="CX40" s="154">
        <f t="shared" si="198"/>
        <v>8276</v>
      </c>
      <c r="CY40" s="154"/>
      <c r="CZ40" s="154"/>
      <c r="DA40" s="154"/>
      <c r="DB40" s="154">
        <f t="shared" si="199"/>
        <v>0</v>
      </c>
      <c r="DC40" s="154">
        <f t="shared" si="200"/>
        <v>21645</v>
      </c>
      <c r="DD40" s="154">
        <f t="shared" si="201"/>
        <v>52854</v>
      </c>
      <c r="DE40" s="6"/>
      <c r="DF40" s="6"/>
      <c r="DG40" s="6"/>
      <c r="DH40" s="6"/>
      <c r="DI40" s="6"/>
      <c r="DJ40" s="6"/>
      <c r="DK40" s="6"/>
      <c r="DL40" s="6"/>
    </row>
    <row r="41" ht="15.75" customHeight="1">
      <c r="A41" s="169" t="s">
        <v>111</v>
      </c>
      <c r="B41" s="154">
        <v>1253.0</v>
      </c>
      <c r="C41" s="154">
        <v>0.0</v>
      </c>
      <c r="D41" s="154">
        <v>0.0</v>
      </c>
      <c r="E41" s="154">
        <v>0.0</v>
      </c>
      <c r="F41" s="154">
        <v>47.0</v>
      </c>
      <c r="G41" s="154">
        <v>123.0</v>
      </c>
      <c r="H41" s="154">
        <f t="shared" si="167"/>
        <v>170</v>
      </c>
      <c r="I41" s="154">
        <v>1.0</v>
      </c>
      <c r="J41" s="154">
        <v>37.0</v>
      </c>
      <c r="K41" s="154">
        <v>7.0</v>
      </c>
      <c r="L41" s="156">
        <f t="shared" si="168"/>
        <v>45</v>
      </c>
      <c r="M41" s="154">
        <v>0.0</v>
      </c>
      <c r="N41" s="154">
        <v>0.0</v>
      </c>
      <c r="O41" s="154">
        <v>0.0</v>
      </c>
      <c r="P41" s="156">
        <f t="shared" si="169"/>
        <v>0</v>
      </c>
      <c r="Q41" s="154">
        <v>0.0</v>
      </c>
      <c r="R41" s="154">
        <v>0.0</v>
      </c>
      <c r="S41" s="154">
        <v>1.0</v>
      </c>
      <c r="T41" s="156">
        <f t="shared" si="170"/>
        <v>1</v>
      </c>
      <c r="U41" s="154">
        <v>4.0</v>
      </c>
      <c r="V41" s="154">
        <v>1.0</v>
      </c>
      <c r="W41" s="154">
        <v>34.0</v>
      </c>
      <c r="X41" s="156">
        <f t="shared" si="171"/>
        <v>39</v>
      </c>
      <c r="Y41" s="156">
        <f t="shared" si="172"/>
        <v>85</v>
      </c>
      <c r="Z41" s="154">
        <v>77.0</v>
      </c>
      <c r="AA41" s="154">
        <v>241.0</v>
      </c>
      <c r="AB41" s="154">
        <v>376.0</v>
      </c>
      <c r="AC41" s="156">
        <f t="shared" si="173"/>
        <v>694</v>
      </c>
      <c r="AD41" s="154">
        <v>422.0</v>
      </c>
      <c r="AE41" s="154">
        <v>214.0</v>
      </c>
      <c r="AF41" s="154">
        <v>243.0</v>
      </c>
      <c r="AG41" s="156">
        <f t="shared" si="174"/>
        <v>879</v>
      </c>
      <c r="AH41" s="154">
        <v>88.0</v>
      </c>
      <c r="AI41" s="154">
        <v>57.0</v>
      </c>
      <c r="AJ41" s="154">
        <v>253.0</v>
      </c>
      <c r="AK41" s="156">
        <f t="shared" si="175"/>
        <v>398</v>
      </c>
      <c r="AL41" s="154">
        <v>3151.0</v>
      </c>
      <c r="AM41" s="154">
        <v>1909.0</v>
      </c>
      <c r="AN41" s="154">
        <v>1834.0</v>
      </c>
      <c r="AO41" s="156">
        <f t="shared" si="176"/>
        <v>6894</v>
      </c>
      <c r="AP41" s="156">
        <f t="shared" si="177"/>
        <v>8865</v>
      </c>
      <c r="AQ41" s="154">
        <v>1969.0</v>
      </c>
      <c r="AR41" s="154">
        <v>6885.0</v>
      </c>
      <c r="AS41" s="154">
        <v>6558.0</v>
      </c>
      <c r="AT41" s="154">
        <f t="shared" si="178"/>
        <v>15412</v>
      </c>
      <c r="AU41" s="154">
        <v>1082.0</v>
      </c>
      <c r="AV41" s="154">
        <v>1249.0</v>
      </c>
      <c r="AW41" s="154">
        <v>772.0</v>
      </c>
      <c r="AX41" s="154">
        <f t="shared" si="179"/>
        <v>3103</v>
      </c>
      <c r="AY41" s="154">
        <v>2517.0</v>
      </c>
      <c r="AZ41" s="154">
        <v>3976.0</v>
      </c>
      <c r="BA41" s="154">
        <v>3360.0</v>
      </c>
      <c r="BB41" s="154">
        <f t="shared" si="180"/>
        <v>9853</v>
      </c>
      <c r="BC41" s="154">
        <v>249.0</v>
      </c>
      <c r="BD41" s="154">
        <v>732.0</v>
      </c>
      <c r="BE41" s="154">
        <v>777.0</v>
      </c>
      <c r="BF41" s="154">
        <f t="shared" si="181"/>
        <v>1758</v>
      </c>
      <c r="BG41" s="154">
        <f t="shared" si="182"/>
        <v>30126</v>
      </c>
      <c r="BH41" s="154">
        <v>20201.0</v>
      </c>
      <c r="BI41" s="154">
        <v>2748.0</v>
      </c>
      <c r="BJ41" s="154">
        <v>3197.0</v>
      </c>
      <c r="BK41" s="154">
        <f t="shared" si="183"/>
        <v>26146</v>
      </c>
      <c r="BL41" s="154">
        <v>2498.0</v>
      </c>
      <c r="BM41" s="154">
        <v>2531.0</v>
      </c>
      <c r="BN41" s="154">
        <v>1065.0</v>
      </c>
      <c r="BO41" s="154">
        <f t="shared" si="184"/>
        <v>6094</v>
      </c>
      <c r="BP41" s="154">
        <v>1295.0</v>
      </c>
      <c r="BQ41" s="154">
        <v>2556.0</v>
      </c>
      <c r="BR41" s="154">
        <v>2583.0</v>
      </c>
      <c r="BS41" s="154">
        <f t="shared" si="185"/>
        <v>6434</v>
      </c>
      <c r="BT41" s="154">
        <v>5139.0</v>
      </c>
      <c r="BU41" s="154">
        <v>1249.0</v>
      </c>
      <c r="BV41" s="154">
        <v>750.0</v>
      </c>
      <c r="BW41" s="154">
        <f t="shared" si="186"/>
        <v>7138</v>
      </c>
      <c r="BX41" s="154">
        <f t="shared" si="187"/>
        <v>45812</v>
      </c>
      <c r="BY41" s="154">
        <v>572.0</v>
      </c>
      <c r="BZ41" s="154">
        <v>572.0</v>
      </c>
      <c r="CA41" s="154">
        <f t="shared" si="188"/>
        <v>0</v>
      </c>
      <c r="CB41" s="154">
        <v>2544.0</v>
      </c>
      <c r="CC41" s="154">
        <v>2544.0</v>
      </c>
      <c r="CD41" s="154">
        <f t="shared" si="189"/>
        <v>0</v>
      </c>
      <c r="CE41" s="154">
        <v>178.0</v>
      </c>
      <c r="CF41" s="154">
        <f>2784+3</f>
        <v>2787</v>
      </c>
      <c r="CG41" s="154">
        <f t="shared" si="190"/>
        <v>2609</v>
      </c>
      <c r="CH41" s="154">
        <f>SUM(BY41:CE41)</f>
        <v>6410</v>
      </c>
      <c r="CI41" s="154">
        <v>2402.0</v>
      </c>
      <c r="CJ41" s="154">
        <f>2413+1</f>
        <v>2414</v>
      </c>
      <c r="CK41" s="154">
        <f t="shared" si="192"/>
        <v>12</v>
      </c>
      <c r="CL41" s="154">
        <v>3198.0</v>
      </c>
      <c r="CM41" s="154">
        <v>3198.0</v>
      </c>
      <c r="CN41" s="154">
        <f t="shared" si="193"/>
        <v>0</v>
      </c>
      <c r="CO41" s="154">
        <f>4179+194</f>
        <v>4373</v>
      </c>
      <c r="CP41" s="154">
        <f>4330+6</f>
        <v>4336</v>
      </c>
      <c r="CQ41" s="154">
        <f t="shared" si="194"/>
        <v>-37</v>
      </c>
      <c r="CR41" s="154">
        <f t="shared" si="195"/>
        <v>15597</v>
      </c>
      <c r="CS41" s="154">
        <f>5196+30</f>
        <v>5226</v>
      </c>
      <c r="CT41" s="154">
        <f t="shared" si="196"/>
        <v>2584</v>
      </c>
      <c r="CU41" s="154">
        <f t="shared" si="197"/>
        <v>7810</v>
      </c>
      <c r="CV41" s="154"/>
      <c r="CW41" s="154"/>
      <c r="CX41" s="154">
        <f t="shared" si="198"/>
        <v>15620</v>
      </c>
      <c r="CY41" s="154"/>
      <c r="CZ41" s="154"/>
      <c r="DA41" s="154"/>
      <c r="DB41" s="154">
        <f t="shared" si="199"/>
        <v>0</v>
      </c>
      <c r="DC41" s="154">
        <f t="shared" si="200"/>
        <v>37627</v>
      </c>
      <c r="DD41" s="154">
        <f t="shared" si="201"/>
        <v>123938</v>
      </c>
      <c r="DE41" s="6"/>
      <c r="DF41" s="6"/>
      <c r="DG41" s="6"/>
      <c r="DH41" s="6"/>
      <c r="DI41" s="6"/>
      <c r="DJ41" s="6"/>
      <c r="DK41" s="6"/>
      <c r="DL41" s="6"/>
    </row>
    <row r="42" ht="15.75" customHeight="1">
      <c r="A42" s="167" t="s">
        <v>112</v>
      </c>
      <c r="B42" s="154">
        <v>1.0</v>
      </c>
      <c r="C42" s="154">
        <v>0.0</v>
      </c>
      <c r="D42" s="154">
        <v>0.0</v>
      </c>
      <c r="E42" s="154">
        <v>0.0</v>
      </c>
      <c r="F42" s="154">
        <v>123.0</v>
      </c>
      <c r="G42" s="154">
        <v>38.0</v>
      </c>
      <c r="H42" s="154">
        <f t="shared" si="167"/>
        <v>161</v>
      </c>
      <c r="I42" s="154">
        <v>21.0</v>
      </c>
      <c r="J42" s="154">
        <v>189.0</v>
      </c>
      <c r="K42" s="154">
        <v>3.0</v>
      </c>
      <c r="L42" s="156">
        <f t="shared" si="168"/>
        <v>213</v>
      </c>
      <c r="M42" s="154">
        <v>4.0</v>
      </c>
      <c r="N42" s="154">
        <v>66.0</v>
      </c>
      <c r="O42" s="154">
        <v>0.0</v>
      </c>
      <c r="P42" s="156">
        <f t="shared" si="169"/>
        <v>70</v>
      </c>
      <c r="Q42" s="154">
        <v>45.0</v>
      </c>
      <c r="R42" s="154">
        <v>4681.0</v>
      </c>
      <c r="S42" s="154">
        <v>6336.0</v>
      </c>
      <c r="T42" s="156">
        <f t="shared" si="170"/>
        <v>11062</v>
      </c>
      <c r="U42" s="154">
        <v>2624.0</v>
      </c>
      <c r="V42" s="154">
        <v>1930.0</v>
      </c>
      <c r="W42" s="154">
        <v>272.0</v>
      </c>
      <c r="X42" s="156">
        <f t="shared" si="171"/>
        <v>4826</v>
      </c>
      <c r="Y42" s="156">
        <f t="shared" si="172"/>
        <v>16171</v>
      </c>
      <c r="Z42" s="154">
        <v>0.0</v>
      </c>
      <c r="AA42" s="154">
        <v>39.0</v>
      </c>
      <c r="AB42" s="154">
        <v>129.0</v>
      </c>
      <c r="AC42" s="156">
        <f t="shared" si="173"/>
        <v>168</v>
      </c>
      <c r="AD42" s="154">
        <v>41.0</v>
      </c>
      <c r="AE42" s="154">
        <v>14.0</v>
      </c>
      <c r="AF42" s="154">
        <v>133.0</v>
      </c>
      <c r="AG42" s="156">
        <f t="shared" si="174"/>
        <v>188</v>
      </c>
      <c r="AH42" s="154">
        <v>17.0</v>
      </c>
      <c r="AI42" s="154">
        <v>10.0</v>
      </c>
      <c r="AJ42" s="154">
        <v>116.0</v>
      </c>
      <c r="AK42" s="156">
        <f t="shared" si="175"/>
        <v>143</v>
      </c>
      <c r="AL42" s="154">
        <v>220.0</v>
      </c>
      <c r="AM42" s="154">
        <v>18.0</v>
      </c>
      <c r="AN42" s="154">
        <v>322.0</v>
      </c>
      <c r="AO42" s="156">
        <f t="shared" si="176"/>
        <v>560</v>
      </c>
      <c r="AP42" s="156">
        <f t="shared" si="177"/>
        <v>1059</v>
      </c>
      <c r="AQ42" s="154">
        <v>379.0</v>
      </c>
      <c r="AR42" s="154">
        <v>116.0</v>
      </c>
      <c r="AS42" s="154">
        <v>1145.0</v>
      </c>
      <c r="AT42" s="154">
        <f t="shared" si="178"/>
        <v>1640</v>
      </c>
      <c r="AU42" s="154">
        <v>52.0</v>
      </c>
      <c r="AV42" s="154">
        <v>167.0</v>
      </c>
      <c r="AW42" s="154">
        <v>27.0</v>
      </c>
      <c r="AX42" s="154">
        <f t="shared" si="179"/>
        <v>246</v>
      </c>
      <c r="AY42" s="154">
        <v>225.0</v>
      </c>
      <c r="AZ42" s="154">
        <v>314.0</v>
      </c>
      <c r="BA42" s="154">
        <v>618.0</v>
      </c>
      <c r="BB42" s="154">
        <f t="shared" si="180"/>
        <v>1157</v>
      </c>
      <c r="BC42" s="154">
        <v>48.0</v>
      </c>
      <c r="BD42" s="154">
        <v>224.0</v>
      </c>
      <c r="BE42" s="154">
        <v>65.0</v>
      </c>
      <c r="BF42" s="154">
        <f t="shared" si="181"/>
        <v>337</v>
      </c>
      <c r="BG42" s="154">
        <f t="shared" si="182"/>
        <v>3380</v>
      </c>
      <c r="BH42" s="154">
        <v>2987.0</v>
      </c>
      <c r="BI42" s="154">
        <v>324.0</v>
      </c>
      <c r="BJ42" s="154">
        <v>88.0</v>
      </c>
      <c r="BK42" s="154">
        <f t="shared" si="183"/>
        <v>3399</v>
      </c>
      <c r="BL42" s="154">
        <v>40.0</v>
      </c>
      <c r="BM42" s="154">
        <v>119.0</v>
      </c>
      <c r="BN42" s="154">
        <v>4.0</v>
      </c>
      <c r="BO42" s="154">
        <f t="shared" si="184"/>
        <v>163</v>
      </c>
      <c r="BP42" s="154">
        <v>1096.0</v>
      </c>
      <c r="BQ42" s="154">
        <v>482.0</v>
      </c>
      <c r="BR42" s="154">
        <v>1123.0</v>
      </c>
      <c r="BS42" s="154">
        <f t="shared" si="185"/>
        <v>2701</v>
      </c>
      <c r="BT42" s="154">
        <v>1605.0</v>
      </c>
      <c r="BU42" s="154">
        <v>550.0</v>
      </c>
      <c r="BV42" s="154">
        <v>70.0</v>
      </c>
      <c r="BW42" s="154">
        <f t="shared" si="186"/>
        <v>2225</v>
      </c>
      <c r="BX42" s="154">
        <f t="shared" si="187"/>
        <v>8488</v>
      </c>
      <c r="BY42" s="154">
        <v>94.0</v>
      </c>
      <c r="BZ42" s="154">
        <v>94.0</v>
      </c>
      <c r="CA42" s="154">
        <f t="shared" si="188"/>
        <v>0</v>
      </c>
      <c r="CB42" s="154">
        <v>1163.0</v>
      </c>
      <c r="CC42" s="154">
        <v>1163.0</v>
      </c>
      <c r="CD42" s="154">
        <f t="shared" si="189"/>
        <v>0</v>
      </c>
      <c r="CE42" s="154">
        <v>0.0</v>
      </c>
      <c r="CF42" s="154">
        <v>289.0</v>
      </c>
      <c r="CG42" s="154">
        <f t="shared" si="190"/>
        <v>289</v>
      </c>
      <c r="CH42" s="154">
        <f>SUM(BY42:CF42)</f>
        <v>2803</v>
      </c>
      <c r="CI42" s="154">
        <v>97.0</v>
      </c>
      <c r="CJ42" s="154">
        <v>97.0</v>
      </c>
      <c r="CK42" s="154">
        <f t="shared" si="192"/>
        <v>0</v>
      </c>
      <c r="CL42" s="154">
        <v>270.0</v>
      </c>
      <c r="CM42" s="154">
        <v>270.0</v>
      </c>
      <c r="CN42" s="154">
        <f t="shared" si="193"/>
        <v>0</v>
      </c>
      <c r="CO42" s="154">
        <v>5.0</v>
      </c>
      <c r="CP42" s="154">
        <v>199.0</v>
      </c>
      <c r="CQ42" s="154">
        <f t="shared" si="194"/>
        <v>194</v>
      </c>
      <c r="CR42" s="154">
        <f t="shared" si="195"/>
        <v>739</v>
      </c>
      <c r="CS42" s="154">
        <v>239.0</v>
      </c>
      <c r="CT42" s="154">
        <f t="shared" si="196"/>
        <v>483</v>
      </c>
      <c r="CU42" s="154">
        <f t="shared" si="197"/>
        <v>722</v>
      </c>
      <c r="CV42" s="154"/>
      <c r="CW42" s="154"/>
      <c r="CX42" s="154">
        <f t="shared" si="198"/>
        <v>1444</v>
      </c>
      <c r="CY42" s="154"/>
      <c r="CZ42" s="154"/>
      <c r="DA42" s="154"/>
      <c r="DB42" s="154">
        <f t="shared" si="199"/>
        <v>0</v>
      </c>
      <c r="DC42" s="154">
        <f t="shared" si="200"/>
        <v>4986</v>
      </c>
      <c r="DD42" s="154">
        <f t="shared" si="201"/>
        <v>34246</v>
      </c>
      <c r="DE42" s="6"/>
      <c r="DF42" s="6"/>
      <c r="DG42" s="6"/>
      <c r="DH42" s="6"/>
      <c r="DI42" s="6"/>
      <c r="DJ42" s="6"/>
      <c r="DK42" s="6"/>
      <c r="DL42" s="6"/>
    </row>
    <row r="43" ht="15.75" customHeight="1">
      <c r="A43" s="137" t="s">
        <v>113</v>
      </c>
      <c r="B43" s="141">
        <f t="shared" ref="B43:DD43" si="202">SUM(B44:B48)</f>
        <v>3335</v>
      </c>
      <c r="C43" s="141">
        <f t="shared" si="202"/>
        <v>0</v>
      </c>
      <c r="D43" s="141">
        <f t="shared" si="202"/>
        <v>0</v>
      </c>
      <c r="E43" s="141">
        <f t="shared" si="202"/>
        <v>0</v>
      </c>
      <c r="F43" s="141">
        <f t="shared" si="202"/>
        <v>10</v>
      </c>
      <c r="G43" s="141">
        <f t="shared" si="202"/>
        <v>287</v>
      </c>
      <c r="H43" s="141">
        <f t="shared" si="202"/>
        <v>297</v>
      </c>
      <c r="I43" s="141">
        <f t="shared" si="202"/>
        <v>28</v>
      </c>
      <c r="J43" s="141">
        <f t="shared" si="202"/>
        <v>27</v>
      </c>
      <c r="K43" s="141">
        <f t="shared" si="202"/>
        <v>7</v>
      </c>
      <c r="L43" s="141">
        <f t="shared" si="202"/>
        <v>62</v>
      </c>
      <c r="M43" s="141">
        <f t="shared" si="202"/>
        <v>8</v>
      </c>
      <c r="N43" s="141">
        <f t="shared" si="202"/>
        <v>2</v>
      </c>
      <c r="O43" s="141">
        <f t="shared" si="202"/>
        <v>0</v>
      </c>
      <c r="P43" s="141">
        <f t="shared" si="202"/>
        <v>10</v>
      </c>
      <c r="Q43" s="141">
        <f t="shared" si="202"/>
        <v>0</v>
      </c>
      <c r="R43" s="141">
        <f t="shared" si="202"/>
        <v>24</v>
      </c>
      <c r="S43" s="141">
        <f t="shared" si="202"/>
        <v>25</v>
      </c>
      <c r="T43" s="141">
        <f t="shared" si="202"/>
        <v>49</v>
      </c>
      <c r="U43" s="141">
        <f t="shared" si="202"/>
        <v>15</v>
      </c>
      <c r="V43" s="141">
        <f t="shared" si="202"/>
        <v>10</v>
      </c>
      <c r="W43" s="141">
        <f t="shared" si="202"/>
        <v>4</v>
      </c>
      <c r="X43" s="141">
        <f t="shared" si="202"/>
        <v>29</v>
      </c>
      <c r="Y43" s="141">
        <f t="shared" si="202"/>
        <v>150</v>
      </c>
      <c r="Z43" s="141">
        <f t="shared" si="202"/>
        <v>11</v>
      </c>
      <c r="AA43" s="141">
        <f t="shared" si="202"/>
        <v>7</v>
      </c>
      <c r="AB43" s="141">
        <f t="shared" si="202"/>
        <v>41</v>
      </c>
      <c r="AC43" s="142">
        <f t="shared" si="202"/>
        <v>59</v>
      </c>
      <c r="AD43" s="141">
        <f t="shared" si="202"/>
        <v>11</v>
      </c>
      <c r="AE43" s="141">
        <f t="shared" si="202"/>
        <v>31</v>
      </c>
      <c r="AF43" s="141">
        <f t="shared" si="202"/>
        <v>1507</v>
      </c>
      <c r="AG43" s="142">
        <f t="shared" si="202"/>
        <v>1549</v>
      </c>
      <c r="AH43" s="141">
        <f t="shared" si="202"/>
        <v>847</v>
      </c>
      <c r="AI43" s="141">
        <f t="shared" si="202"/>
        <v>4855</v>
      </c>
      <c r="AJ43" s="141">
        <f t="shared" si="202"/>
        <v>2207</v>
      </c>
      <c r="AK43" s="142">
        <f t="shared" si="202"/>
        <v>7909</v>
      </c>
      <c r="AL43" s="141">
        <f t="shared" si="202"/>
        <v>2295</v>
      </c>
      <c r="AM43" s="141">
        <f t="shared" si="202"/>
        <v>1876</v>
      </c>
      <c r="AN43" s="141">
        <f t="shared" si="202"/>
        <v>362</v>
      </c>
      <c r="AO43" s="142">
        <f t="shared" si="202"/>
        <v>4533</v>
      </c>
      <c r="AP43" s="142">
        <f t="shared" si="202"/>
        <v>14050</v>
      </c>
      <c r="AQ43" s="142">
        <f t="shared" si="202"/>
        <v>1605</v>
      </c>
      <c r="AR43" s="142">
        <f t="shared" si="202"/>
        <v>1192</v>
      </c>
      <c r="AS43" s="142">
        <f t="shared" si="202"/>
        <v>1516</v>
      </c>
      <c r="AT43" s="142">
        <f t="shared" si="202"/>
        <v>4313</v>
      </c>
      <c r="AU43" s="142">
        <f t="shared" si="202"/>
        <v>349</v>
      </c>
      <c r="AV43" s="142">
        <f t="shared" si="202"/>
        <v>800</v>
      </c>
      <c r="AW43" s="142">
        <f t="shared" si="202"/>
        <v>626</v>
      </c>
      <c r="AX43" s="142">
        <f t="shared" si="202"/>
        <v>1775</v>
      </c>
      <c r="AY43" s="142">
        <f t="shared" si="202"/>
        <v>264</v>
      </c>
      <c r="AZ43" s="142">
        <f t="shared" si="202"/>
        <v>5742</v>
      </c>
      <c r="BA43" s="142">
        <f t="shared" si="202"/>
        <v>4708</v>
      </c>
      <c r="BB43" s="142">
        <f t="shared" si="202"/>
        <v>10714</v>
      </c>
      <c r="BC43" s="142">
        <f t="shared" si="202"/>
        <v>1507</v>
      </c>
      <c r="BD43" s="142">
        <f t="shared" si="202"/>
        <v>1988</v>
      </c>
      <c r="BE43" s="142">
        <f t="shared" si="202"/>
        <v>1578</v>
      </c>
      <c r="BF43" s="142">
        <f t="shared" si="202"/>
        <v>5073</v>
      </c>
      <c r="BG43" s="142">
        <f t="shared" si="202"/>
        <v>21875</v>
      </c>
      <c r="BH43" s="142">
        <f t="shared" si="202"/>
        <v>1090</v>
      </c>
      <c r="BI43" s="142">
        <f t="shared" si="202"/>
        <v>1639</v>
      </c>
      <c r="BJ43" s="142">
        <f t="shared" si="202"/>
        <v>996</v>
      </c>
      <c r="BK43" s="142">
        <f t="shared" si="202"/>
        <v>3725</v>
      </c>
      <c r="BL43" s="142">
        <f t="shared" si="202"/>
        <v>1065</v>
      </c>
      <c r="BM43" s="142">
        <f t="shared" si="202"/>
        <v>1712</v>
      </c>
      <c r="BN43" s="142">
        <f t="shared" si="202"/>
        <v>609</v>
      </c>
      <c r="BO43" s="142">
        <f t="shared" si="202"/>
        <v>3386</v>
      </c>
      <c r="BP43" s="142">
        <f t="shared" si="202"/>
        <v>3799</v>
      </c>
      <c r="BQ43" s="142">
        <f t="shared" si="202"/>
        <v>15351</v>
      </c>
      <c r="BR43" s="142">
        <f t="shared" si="202"/>
        <v>24243</v>
      </c>
      <c r="BS43" s="142">
        <f t="shared" si="202"/>
        <v>43393</v>
      </c>
      <c r="BT43" s="142">
        <f t="shared" si="202"/>
        <v>3465</v>
      </c>
      <c r="BU43" s="142">
        <f t="shared" si="202"/>
        <v>1736</v>
      </c>
      <c r="BV43" s="142">
        <f t="shared" si="202"/>
        <v>956</v>
      </c>
      <c r="BW43" s="142">
        <f t="shared" si="202"/>
        <v>6157</v>
      </c>
      <c r="BX43" s="142">
        <f t="shared" si="202"/>
        <v>56661</v>
      </c>
      <c r="BY43" s="141">
        <f t="shared" si="202"/>
        <v>3813</v>
      </c>
      <c r="BZ43" s="141">
        <f t="shared" si="202"/>
        <v>3813</v>
      </c>
      <c r="CA43" s="141">
        <f t="shared" si="202"/>
        <v>0</v>
      </c>
      <c r="CB43" s="141">
        <f t="shared" si="202"/>
        <v>2147</v>
      </c>
      <c r="CC43" s="141">
        <f t="shared" si="202"/>
        <v>2147</v>
      </c>
      <c r="CD43" s="141">
        <f t="shared" si="202"/>
        <v>0</v>
      </c>
      <c r="CE43" s="141">
        <f t="shared" si="202"/>
        <v>38</v>
      </c>
      <c r="CF43" s="141">
        <f t="shared" si="202"/>
        <v>2026</v>
      </c>
      <c r="CG43" s="141">
        <f t="shared" si="202"/>
        <v>1988</v>
      </c>
      <c r="CH43" s="142">
        <f t="shared" si="202"/>
        <v>13367</v>
      </c>
      <c r="CI43" s="141">
        <f t="shared" si="202"/>
        <v>1679</v>
      </c>
      <c r="CJ43" s="141">
        <f t="shared" si="202"/>
        <v>1680</v>
      </c>
      <c r="CK43" s="141">
        <f t="shared" si="202"/>
        <v>1</v>
      </c>
      <c r="CL43" s="141">
        <f t="shared" si="202"/>
        <v>2734</v>
      </c>
      <c r="CM43" s="141">
        <f t="shared" si="202"/>
        <v>2734</v>
      </c>
      <c r="CN43" s="141">
        <f t="shared" si="202"/>
        <v>0</v>
      </c>
      <c r="CO43" s="141">
        <f t="shared" si="202"/>
        <v>2424</v>
      </c>
      <c r="CP43" s="141">
        <f t="shared" si="202"/>
        <v>2534</v>
      </c>
      <c r="CQ43" s="141">
        <f t="shared" si="202"/>
        <v>110</v>
      </c>
      <c r="CR43" s="141">
        <f t="shared" si="202"/>
        <v>11252</v>
      </c>
      <c r="CS43" s="141">
        <f t="shared" si="202"/>
        <v>2882</v>
      </c>
      <c r="CT43" s="141">
        <f t="shared" si="202"/>
        <v>2099</v>
      </c>
      <c r="CU43" s="141">
        <f t="shared" si="202"/>
        <v>4981</v>
      </c>
      <c r="CV43" s="141">
        <f t="shared" si="202"/>
        <v>0</v>
      </c>
      <c r="CW43" s="141">
        <f t="shared" si="202"/>
        <v>0</v>
      </c>
      <c r="CX43" s="141">
        <f t="shared" si="202"/>
        <v>9962</v>
      </c>
      <c r="CY43" s="141">
        <f t="shared" si="202"/>
        <v>0</v>
      </c>
      <c r="CZ43" s="141">
        <f t="shared" si="202"/>
        <v>0</v>
      </c>
      <c r="DA43" s="141">
        <f t="shared" si="202"/>
        <v>0</v>
      </c>
      <c r="DB43" s="141">
        <f t="shared" si="202"/>
        <v>0</v>
      </c>
      <c r="DC43" s="141">
        <f t="shared" si="202"/>
        <v>34581</v>
      </c>
      <c r="DD43" s="141">
        <f t="shared" si="202"/>
        <v>130949</v>
      </c>
      <c r="DE43" s="6"/>
      <c r="DF43" s="24">
        <f>SUM(AK43,AO43,BG43,BX43,DC43)</f>
        <v>125559</v>
      </c>
      <c r="DG43" s="6"/>
      <c r="DH43" s="6"/>
      <c r="DI43" s="6"/>
      <c r="DJ43" s="6"/>
      <c r="DK43" s="6"/>
      <c r="DL43" s="6"/>
    </row>
    <row r="44" ht="15.75" customHeight="1">
      <c r="A44" s="167" t="s">
        <v>114</v>
      </c>
      <c r="B44" s="20"/>
      <c r="C44" s="154">
        <v>0.0</v>
      </c>
      <c r="D44" s="154">
        <v>0.0</v>
      </c>
      <c r="E44" s="154">
        <v>0.0</v>
      </c>
      <c r="F44" s="154">
        <v>0.0</v>
      </c>
      <c r="G44" s="154">
        <v>0.0</v>
      </c>
      <c r="H44" s="154">
        <f t="shared" ref="H44:H48" si="203">SUM(C44:G44)</f>
        <v>0</v>
      </c>
      <c r="I44" s="154">
        <v>2.0</v>
      </c>
      <c r="J44" s="154">
        <v>0.0</v>
      </c>
      <c r="K44" s="154">
        <v>1.0</v>
      </c>
      <c r="L44" s="156">
        <f t="shared" ref="L44:L48" si="204">SUM(I44:K44)</f>
        <v>3</v>
      </c>
      <c r="M44" s="154">
        <v>0.0</v>
      </c>
      <c r="N44" s="154">
        <v>0.0</v>
      </c>
      <c r="O44" s="154">
        <v>0.0</v>
      </c>
      <c r="P44" s="156">
        <f t="shared" ref="P44:P48" si="205">SUM(M44:O44)</f>
        <v>0</v>
      </c>
      <c r="Q44" s="154">
        <v>0.0</v>
      </c>
      <c r="R44" s="154">
        <v>0.0</v>
      </c>
      <c r="S44" s="154">
        <v>1.0</v>
      </c>
      <c r="T44" s="156">
        <f t="shared" ref="T44:T48" si="206">SUM(Q44:S44)</f>
        <v>1</v>
      </c>
      <c r="U44" s="154">
        <v>0.0</v>
      </c>
      <c r="V44" s="154">
        <v>1.0</v>
      </c>
      <c r="W44" s="154">
        <v>0.0</v>
      </c>
      <c r="X44" s="156">
        <f t="shared" ref="X44:X48" si="207">SUM(U44:W44)</f>
        <v>1</v>
      </c>
      <c r="Y44" s="156">
        <f t="shared" ref="Y44:Y48" si="208">SUM(X44,T44,P44,L44)</f>
        <v>5</v>
      </c>
      <c r="Z44" s="154">
        <v>3.0</v>
      </c>
      <c r="AA44" s="154">
        <v>3.0</v>
      </c>
      <c r="AB44" s="154">
        <v>7.0</v>
      </c>
      <c r="AC44" s="156">
        <f t="shared" ref="AC44:AC48" si="209">SUM(Z44:AB44)</f>
        <v>13</v>
      </c>
      <c r="AD44" s="154">
        <v>1.0</v>
      </c>
      <c r="AE44" s="154">
        <v>1.0</v>
      </c>
      <c r="AF44" s="154">
        <v>1.0</v>
      </c>
      <c r="AG44" s="156">
        <f t="shared" ref="AG44:AG48" si="210">SUM(AD44:AF44)</f>
        <v>3</v>
      </c>
      <c r="AH44" s="154">
        <v>8.0</v>
      </c>
      <c r="AI44" s="154">
        <v>115.0</v>
      </c>
      <c r="AJ44" s="154">
        <v>430.0</v>
      </c>
      <c r="AK44" s="156">
        <f t="shared" ref="AK44:AK48" si="211">SUM(AH44:AJ44)</f>
        <v>553</v>
      </c>
      <c r="AL44" s="154">
        <v>3.0</v>
      </c>
      <c r="AM44" s="154">
        <v>10.0</v>
      </c>
      <c r="AN44" s="154">
        <v>10.0</v>
      </c>
      <c r="AO44" s="156">
        <f t="shared" ref="AO44:AO48" si="212">SUM(AL44:AN44)</f>
        <v>23</v>
      </c>
      <c r="AP44" s="156">
        <f t="shared" ref="AP44:AP48" si="213">SUM(AO44,AK44,AG44,AC44)</f>
        <v>592</v>
      </c>
      <c r="AQ44" s="154">
        <v>3.0</v>
      </c>
      <c r="AR44" s="154">
        <v>28.0</v>
      </c>
      <c r="AS44" s="154">
        <v>110.0</v>
      </c>
      <c r="AT44" s="154">
        <f t="shared" ref="AT44:AT48" si="214">SUM(AQ44:AS44)</f>
        <v>141</v>
      </c>
      <c r="AU44" s="154">
        <v>4.0</v>
      </c>
      <c r="AV44" s="154">
        <v>29.0</v>
      </c>
      <c r="AW44" s="154">
        <v>2.0</v>
      </c>
      <c r="AX44" s="154">
        <f t="shared" ref="AX44:AX48" si="215">SUM(AU44:AW44)</f>
        <v>35</v>
      </c>
      <c r="AY44" s="154">
        <v>16.0</v>
      </c>
      <c r="AZ44" s="154">
        <v>374.0</v>
      </c>
      <c r="BA44" s="154">
        <v>442.0</v>
      </c>
      <c r="BB44" s="154">
        <f t="shared" ref="BB44:BB48" si="216">SUM(AY44:BA44)</f>
        <v>832</v>
      </c>
      <c r="BC44" s="154">
        <v>74.0</v>
      </c>
      <c r="BD44" s="154">
        <v>126.0</v>
      </c>
      <c r="BE44" s="154">
        <v>104.0</v>
      </c>
      <c r="BF44" s="154">
        <f t="shared" ref="BF44:BF48" si="217">SUM(BC44:BE44)</f>
        <v>304</v>
      </c>
      <c r="BG44" s="154">
        <f t="shared" ref="BG44:BG48" si="218">SUM(AT44,AX44,BB44,BF44)</f>
        <v>1312</v>
      </c>
      <c r="BH44" s="154">
        <v>134.0</v>
      </c>
      <c r="BI44" s="154">
        <v>202.0</v>
      </c>
      <c r="BJ44" s="154">
        <v>150.0</v>
      </c>
      <c r="BK44" s="154">
        <f t="shared" ref="BK44:BK48" si="219">SUM(BH44:BJ44)</f>
        <v>486</v>
      </c>
      <c r="BL44" s="154">
        <v>237.0</v>
      </c>
      <c r="BM44" s="154">
        <v>252.0</v>
      </c>
      <c r="BN44" s="154">
        <v>88.0</v>
      </c>
      <c r="BO44" s="154">
        <f t="shared" ref="BO44:BO48" si="220">SUM(BL44:BN44)</f>
        <v>577</v>
      </c>
      <c r="BP44" s="154">
        <v>465.0</v>
      </c>
      <c r="BQ44" s="154">
        <v>1199.0</v>
      </c>
      <c r="BR44" s="154">
        <v>3539.0</v>
      </c>
      <c r="BS44" s="154">
        <f t="shared" ref="BS44:BS48" si="221">SUM(BP44:BR44)</f>
        <v>5203</v>
      </c>
      <c r="BT44" s="154">
        <v>433.0</v>
      </c>
      <c r="BU44" s="154">
        <v>465.0</v>
      </c>
      <c r="BV44" s="154">
        <v>311.0</v>
      </c>
      <c r="BW44" s="154">
        <f t="shared" ref="BW44:BW48" si="222">SUM(BT44:BV44)</f>
        <v>1209</v>
      </c>
      <c r="BX44" s="154">
        <f t="shared" ref="BX44:BX48" si="223">SUM(BK44,BO44,BS44,BW44)</f>
        <v>7475</v>
      </c>
      <c r="BY44" s="154">
        <v>472.0</v>
      </c>
      <c r="BZ44" s="154">
        <v>472.0</v>
      </c>
      <c r="CA44" s="154">
        <f t="shared" ref="CA44:CA48" si="224">BZ44-BY44</f>
        <v>0</v>
      </c>
      <c r="CB44" s="154">
        <v>376.0</v>
      </c>
      <c r="CC44" s="154">
        <v>376.0</v>
      </c>
      <c r="CD44" s="154">
        <f t="shared" ref="CD44:CD48" si="225">CC44-CB44</f>
        <v>0</v>
      </c>
      <c r="CE44" s="154">
        <v>0.0</v>
      </c>
      <c r="CF44" s="154">
        <v>251.0</v>
      </c>
      <c r="CG44" s="154">
        <f t="shared" ref="CG44:CG48" si="226">CF44-CE44</f>
        <v>251</v>
      </c>
      <c r="CH44" s="154">
        <f t="shared" ref="CH44:CH46" si="227">SUM(BY44:CF44)</f>
        <v>1947</v>
      </c>
      <c r="CI44" s="154">
        <v>209.0</v>
      </c>
      <c r="CJ44" s="154">
        <v>209.0</v>
      </c>
      <c r="CK44" s="154">
        <f t="shared" ref="CK44:CK48" si="228">CJ44-CI44</f>
        <v>0</v>
      </c>
      <c r="CL44" s="154">
        <v>235.0</v>
      </c>
      <c r="CM44" s="154">
        <v>235.0</v>
      </c>
      <c r="CN44" s="154">
        <f t="shared" ref="CN44:CN48" si="229">CM44-CL44</f>
        <v>0</v>
      </c>
      <c r="CO44" s="154">
        <v>457.0</v>
      </c>
      <c r="CP44" s="154">
        <v>469.0</v>
      </c>
      <c r="CQ44" s="154">
        <f t="shared" ref="CQ44:CQ48" si="230">CP44-CO44</f>
        <v>12</v>
      </c>
      <c r="CR44" s="154">
        <f t="shared" ref="CR44:CR48" si="231">SUM(CI44:CO44)</f>
        <v>1345</v>
      </c>
      <c r="CS44" s="154">
        <v>645.0</v>
      </c>
      <c r="CT44" s="154">
        <f t="shared" ref="CT44:CT48" si="232">SUM(CA44,CD44,CG44,CK44,CN44,CQ44)</f>
        <v>263</v>
      </c>
      <c r="CU44" s="154">
        <f t="shared" ref="CU44:CU48" si="233">CS44+CT44</f>
        <v>908</v>
      </c>
      <c r="CV44" s="154"/>
      <c r="CW44" s="154"/>
      <c r="CX44" s="154">
        <f t="shared" ref="CX44:CX48" si="234">SUM(CS44:CW44)</f>
        <v>1816</v>
      </c>
      <c r="CY44" s="154"/>
      <c r="CZ44" s="154"/>
      <c r="DA44" s="154"/>
      <c r="DB44" s="154">
        <f t="shared" ref="DB44:DB48" si="235">SUM(CY44:DA44)</f>
        <v>0</v>
      </c>
      <c r="DC44" s="154">
        <f t="shared" ref="DC44:DC48" si="236">SUM(CH44,CR44,CX44,DB44)</f>
        <v>5108</v>
      </c>
      <c r="DD44" s="154">
        <f t="shared" ref="DD44:DD48" si="237">SUM(B44,H44,Y44,AP44,BG44,BX44,DC44)</f>
        <v>14492</v>
      </c>
      <c r="DE44" s="6"/>
      <c r="DF44" s="6"/>
      <c r="DG44" s="6"/>
      <c r="DH44" s="6"/>
      <c r="DI44" s="6"/>
      <c r="DJ44" s="6"/>
      <c r="DK44" s="6"/>
      <c r="DL44" s="6"/>
    </row>
    <row r="45" ht="15.75" customHeight="1">
      <c r="A45" s="167" t="s">
        <v>115</v>
      </c>
      <c r="B45" s="154">
        <v>1117.0</v>
      </c>
      <c r="C45" s="154">
        <v>0.0</v>
      </c>
      <c r="D45" s="154">
        <v>0.0</v>
      </c>
      <c r="E45" s="154">
        <v>0.0</v>
      </c>
      <c r="F45" s="154">
        <v>0.0</v>
      </c>
      <c r="G45" s="154">
        <v>0.0</v>
      </c>
      <c r="H45" s="154">
        <f t="shared" si="203"/>
        <v>0</v>
      </c>
      <c r="I45" s="154">
        <v>1.0</v>
      </c>
      <c r="J45" s="154">
        <v>7.0</v>
      </c>
      <c r="K45" s="154">
        <v>1.0</v>
      </c>
      <c r="L45" s="156">
        <f t="shared" si="204"/>
        <v>9</v>
      </c>
      <c r="M45" s="154">
        <v>2.0</v>
      </c>
      <c r="N45" s="154">
        <v>0.0</v>
      </c>
      <c r="O45" s="154">
        <v>0.0</v>
      </c>
      <c r="P45" s="156">
        <f t="shared" si="205"/>
        <v>2</v>
      </c>
      <c r="Q45" s="154">
        <v>0.0</v>
      </c>
      <c r="R45" s="154">
        <v>12.0</v>
      </c>
      <c r="S45" s="154">
        <v>4.0</v>
      </c>
      <c r="T45" s="156">
        <f t="shared" si="206"/>
        <v>16</v>
      </c>
      <c r="U45" s="154">
        <v>4.0</v>
      </c>
      <c r="V45" s="154">
        <v>0.0</v>
      </c>
      <c r="W45" s="154">
        <v>0.0</v>
      </c>
      <c r="X45" s="156">
        <f t="shared" si="207"/>
        <v>4</v>
      </c>
      <c r="Y45" s="156">
        <f t="shared" si="208"/>
        <v>31</v>
      </c>
      <c r="Z45" s="154">
        <v>2.0</v>
      </c>
      <c r="AA45" s="154">
        <v>0.0</v>
      </c>
      <c r="AB45" s="154">
        <v>1.0</v>
      </c>
      <c r="AC45" s="156">
        <f t="shared" si="209"/>
        <v>3</v>
      </c>
      <c r="AD45" s="154">
        <v>2.0</v>
      </c>
      <c r="AE45" s="154">
        <v>16.0</v>
      </c>
      <c r="AF45" s="154">
        <v>123.0</v>
      </c>
      <c r="AG45" s="156">
        <f t="shared" si="210"/>
        <v>141</v>
      </c>
      <c r="AH45" s="154">
        <v>59.0</v>
      </c>
      <c r="AI45" s="154">
        <v>125.0</v>
      </c>
      <c r="AJ45" s="154">
        <v>401.0</v>
      </c>
      <c r="AK45" s="156">
        <f t="shared" si="211"/>
        <v>585</v>
      </c>
      <c r="AL45" s="154">
        <v>238.0</v>
      </c>
      <c r="AM45" s="154">
        <v>1320.0</v>
      </c>
      <c r="AN45" s="154">
        <v>131.0</v>
      </c>
      <c r="AO45" s="156">
        <f t="shared" si="212"/>
        <v>1689</v>
      </c>
      <c r="AP45" s="156">
        <f t="shared" si="213"/>
        <v>2418</v>
      </c>
      <c r="AQ45" s="154">
        <v>1514.0</v>
      </c>
      <c r="AR45" s="154">
        <v>354.0</v>
      </c>
      <c r="AS45" s="154">
        <v>522.0</v>
      </c>
      <c r="AT45" s="154">
        <f t="shared" si="214"/>
        <v>2390</v>
      </c>
      <c r="AU45" s="154">
        <v>126.0</v>
      </c>
      <c r="AV45" s="154">
        <v>337.0</v>
      </c>
      <c r="AW45" s="154">
        <v>136.0</v>
      </c>
      <c r="AX45" s="154">
        <f t="shared" si="215"/>
        <v>599</v>
      </c>
      <c r="AY45" s="154">
        <v>119.0</v>
      </c>
      <c r="AZ45" s="154">
        <v>1967.0</v>
      </c>
      <c r="BA45" s="154">
        <v>1320.0</v>
      </c>
      <c r="BB45" s="154">
        <f t="shared" si="216"/>
        <v>3406</v>
      </c>
      <c r="BC45" s="154">
        <v>313.0</v>
      </c>
      <c r="BD45" s="154">
        <v>394.0</v>
      </c>
      <c r="BE45" s="154">
        <v>577.0</v>
      </c>
      <c r="BF45" s="154">
        <f t="shared" si="217"/>
        <v>1284</v>
      </c>
      <c r="BG45" s="154">
        <f t="shared" si="218"/>
        <v>7679</v>
      </c>
      <c r="BH45" s="154">
        <v>577.0</v>
      </c>
      <c r="BI45" s="154">
        <v>412.0</v>
      </c>
      <c r="BJ45" s="154">
        <v>308.0</v>
      </c>
      <c r="BK45" s="154">
        <f t="shared" si="219"/>
        <v>1297</v>
      </c>
      <c r="BL45" s="154">
        <v>323.0</v>
      </c>
      <c r="BM45" s="154">
        <v>531.0</v>
      </c>
      <c r="BN45" s="154">
        <v>161.0</v>
      </c>
      <c r="BO45" s="154">
        <f t="shared" si="220"/>
        <v>1015</v>
      </c>
      <c r="BP45" s="154">
        <v>1418.0</v>
      </c>
      <c r="BQ45" s="154">
        <v>5854.0</v>
      </c>
      <c r="BR45" s="154">
        <v>8952.0</v>
      </c>
      <c r="BS45" s="154">
        <f t="shared" si="221"/>
        <v>16224</v>
      </c>
      <c r="BT45" s="154">
        <v>646.0</v>
      </c>
      <c r="BU45" s="154">
        <v>563.0</v>
      </c>
      <c r="BV45" s="154">
        <v>418.0</v>
      </c>
      <c r="BW45" s="154">
        <f t="shared" si="222"/>
        <v>1627</v>
      </c>
      <c r="BX45" s="154">
        <f t="shared" si="223"/>
        <v>20163</v>
      </c>
      <c r="BY45" s="154">
        <v>828.0</v>
      </c>
      <c r="BZ45" s="154">
        <v>828.0</v>
      </c>
      <c r="CA45" s="154">
        <f t="shared" si="224"/>
        <v>0</v>
      </c>
      <c r="CB45" s="154">
        <v>335.0</v>
      </c>
      <c r="CC45" s="154">
        <v>335.0</v>
      </c>
      <c r="CD45" s="154">
        <f t="shared" si="225"/>
        <v>0</v>
      </c>
      <c r="CE45" s="154">
        <v>28.0</v>
      </c>
      <c r="CF45" s="154">
        <v>716.0</v>
      </c>
      <c r="CG45" s="154">
        <f t="shared" si="226"/>
        <v>688</v>
      </c>
      <c r="CH45" s="154">
        <f t="shared" si="227"/>
        <v>3070</v>
      </c>
      <c r="CI45" s="154">
        <v>681.0</v>
      </c>
      <c r="CJ45" s="154">
        <v>681.0</v>
      </c>
      <c r="CK45" s="154">
        <f t="shared" si="228"/>
        <v>0</v>
      </c>
      <c r="CL45" s="154">
        <v>731.0</v>
      </c>
      <c r="CM45" s="154">
        <v>731.0</v>
      </c>
      <c r="CN45" s="154">
        <f t="shared" si="229"/>
        <v>0</v>
      </c>
      <c r="CO45" s="154">
        <v>278.0</v>
      </c>
      <c r="CP45" s="154">
        <v>330.0</v>
      </c>
      <c r="CQ45" s="154">
        <f t="shared" si="230"/>
        <v>52</v>
      </c>
      <c r="CR45" s="154">
        <f t="shared" si="231"/>
        <v>3102</v>
      </c>
      <c r="CS45" s="154">
        <v>737.0</v>
      </c>
      <c r="CT45" s="154">
        <f t="shared" si="232"/>
        <v>740</v>
      </c>
      <c r="CU45" s="154">
        <f t="shared" si="233"/>
        <v>1477</v>
      </c>
      <c r="CV45" s="154"/>
      <c r="CW45" s="154"/>
      <c r="CX45" s="154">
        <f t="shared" si="234"/>
        <v>2954</v>
      </c>
      <c r="CY45" s="154"/>
      <c r="CZ45" s="154"/>
      <c r="DA45" s="154"/>
      <c r="DB45" s="154">
        <f t="shared" si="235"/>
        <v>0</v>
      </c>
      <c r="DC45" s="154">
        <f t="shared" si="236"/>
        <v>9126</v>
      </c>
      <c r="DD45" s="154">
        <f t="shared" si="237"/>
        <v>40534</v>
      </c>
      <c r="DE45" s="6"/>
      <c r="DF45" s="6"/>
      <c r="DG45" s="6"/>
      <c r="DH45" s="6"/>
      <c r="DI45" s="6"/>
      <c r="DJ45" s="6"/>
      <c r="DK45" s="6"/>
      <c r="DL45" s="6"/>
    </row>
    <row r="46" ht="15.75" customHeight="1">
      <c r="A46" s="167" t="s">
        <v>116</v>
      </c>
      <c r="B46" s="154">
        <v>1480.0</v>
      </c>
      <c r="C46" s="154">
        <v>0.0</v>
      </c>
      <c r="D46" s="154">
        <v>0.0</v>
      </c>
      <c r="E46" s="154">
        <v>0.0</v>
      </c>
      <c r="F46" s="154">
        <v>10.0</v>
      </c>
      <c r="G46" s="154">
        <v>4.0</v>
      </c>
      <c r="H46" s="154">
        <f t="shared" si="203"/>
        <v>14</v>
      </c>
      <c r="I46" s="154">
        <v>0.0</v>
      </c>
      <c r="J46" s="154">
        <v>5.0</v>
      </c>
      <c r="K46" s="154">
        <v>3.0</v>
      </c>
      <c r="L46" s="156">
        <f t="shared" si="204"/>
        <v>8</v>
      </c>
      <c r="M46" s="154">
        <v>4.0</v>
      </c>
      <c r="N46" s="154">
        <v>0.0</v>
      </c>
      <c r="O46" s="154">
        <v>0.0</v>
      </c>
      <c r="P46" s="156">
        <f t="shared" si="205"/>
        <v>4</v>
      </c>
      <c r="Q46" s="154">
        <v>0.0</v>
      </c>
      <c r="R46" s="154">
        <v>12.0</v>
      </c>
      <c r="S46" s="154">
        <v>12.0</v>
      </c>
      <c r="T46" s="156">
        <f t="shared" si="206"/>
        <v>24</v>
      </c>
      <c r="U46" s="154">
        <v>6.0</v>
      </c>
      <c r="V46" s="154">
        <v>3.0</v>
      </c>
      <c r="W46" s="154">
        <v>1.0</v>
      </c>
      <c r="X46" s="156">
        <f t="shared" si="207"/>
        <v>10</v>
      </c>
      <c r="Y46" s="156">
        <f t="shared" si="208"/>
        <v>46</v>
      </c>
      <c r="Z46" s="154">
        <v>5.0</v>
      </c>
      <c r="AA46" s="154">
        <v>2.0</v>
      </c>
      <c r="AB46" s="154">
        <v>14.0</v>
      </c>
      <c r="AC46" s="156">
        <f t="shared" si="209"/>
        <v>21</v>
      </c>
      <c r="AD46" s="154">
        <v>4.0</v>
      </c>
      <c r="AE46" s="154">
        <v>3.0</v>
      </c>
      <c r="AF46" s="154">
        <v>1283.0</v>
      </c>
      <c r="AG46" s="156">
        <f t="shared" si="210"/>
        <v>1290</v>
      </c>
      <c r="AH46" s="154">
        <v>225.0</v>
      </c>
      <c r="AI46" s="154">
        <v>721.0</v>
      </c>
      <c r="AJ46" s="154">
        <v>719.0</v>
      </c>
      <c r="AK46" s="156">
        <f t="shared" si="211"/>
        <v>1665</v>
      </c>
      <c r="AL46" s="154">
        <v>1642.0</v>
      </c>
      <c r="AM46" s="154">
        <v>229.0</v>
      </c>
      <c r="AN46" s="154">
        <v>91.0</v>
      </c>
      <c r="AO46" s="156">
        <f t="shared" si="212"/>
        <v>1962</v>
      </c>
      <c r="AP46" s="156">
        <f t="shared" si="213"/>
        <v>4938</v>
      </c>
      <c r="AQ46" s="154">
        <v>22.0</v>
      </c>
      <c r="AR46" s="154">
        <v>249.0</v>
      </c>
      <c r="AS46" s="154">
        <v>248.0</v>
      </c>
      <c r="AT46" s="154">
        <f t="shared" si="214"/>
        <v>519</v>
      </c>
      <c r="AU46" s="154">
        <v>122.0</v>
      </c>
      <c r="AV46" s="154">
        <v>216.0</v>
      </c>
      <c r="AW46" s="154">
        <v>324.0</v>
      </c>
      <c r="AX46" s="154">
        <f t="shared" si="215"/>
        <v>662</v>
      </c>
      <c r="AY46" s="154">
        <v>56.0</v>
      </c>
      <c r="AZ46" s="154">
        <v>1540.0</v>
      </c>
      <c r="BA46" s="154">
        <v>1354.0</v>
      </c>
      <c r="BB46" s="154">
        <f t="shared" si="216"/>
        <v>2950</v>
      </c>
      <c r="BC46" s="154">
        <v>381.0</v>
      </c>
      <c r="BD46" s="154">
        <v>450.0</v>
      </c>
      <c r="BE46" s="154">
        <v>358.0</v>
      </c>
      <c r="BF46" s="154">
        <f t="shared" si="217"/>
        <v>1189</v>
      </c>
      <c r="BG46" s="154">
        <f t="shared" si="218"/>
        <v>5320</v>
      </c>
      <c r="BH46" s="154">
        <v>133.0</v>
      </c>
      <c r="BI46" s="154">
        <v>312.0</v>
      </c>
      <c r="BJ46" s="154">
        <v>193.0</v>
      </c>
      <c r="BK46" s="154">
        <f t="shared" si="219"/>
        <v>638</v>
      </c>
      <c r="BL46" s="154">
        <v>221.0</v>
      </c>
      <c r="BM46" s="154">
        <v>353.0</v>
      </c>
      <c r="BN46" s="154">
        <v>166.0</v>
      </c>
      <c r="BO46" s="154">
        <f t="shared" si="220"/>
        <v>740</v>
      </c>
      <c r="BP46" s="154">
        <v>775.0</v>
      </c>
      <c r="BQ46" s="154">
        <v>4276.0</v>
      </c>
      <c r="BR46" s="154">
        <v>5732.0</v>
      </c>
      <c r="BS46" s="154">
        <f t="shared" si="221"/>
        <v>10783</v>
      </c>
      <c r="BT46" s="154">
        <v>1083.0</v>
      </c>
      <c r="BU46" s="154">
        <v>309.0</v>
      </c>
      <c r="BV46" s="154">
        <v>62.0</v>
      </c>
      <c r="BW46" s="154">
        <f t="shared" si="222"/>
        <v>1454</v>
      </c>
      <c r="BX46" s="154">
        <f t="shared" si="223"/>
        <v>13615</v>
      </c>
      <c r="BY46" s="154">
        <v>913.0</v>
      </c>
      <c r="BZ46" s="154">
        <v>913.0</v>
      </c>
      <c r="CA46" s="154">
        <f t="shared" si="224"/>
        <v>0</v>
      </c>
      <c r="CB46" s="154">
        <v>435.0</v>
      </c>
      <c r="CC46" s="154">
        <v>435.0</v>
      </c>
      <c r="CD46" s="154">
        <f t="shared" si="225"/>
        <v>0</v>
      </c>
      <c r="CE46" s="154">
        <v>1.0</v>
      </c>
      <c r="CF46" s="154">
        <v>287.0</v>
      </c>
      <c r="CG46" s="154">
        <f t="shared" si="226"/>
        <v>286</v>
      </c>
      <c r="CH46" s="154">
        <f t="shared" si="227"/>
        <v>2984</v>
      </c>
      <c r="CI46" s="154">
        <v>443.0</v>
      </c>
      <c r="CJ46" s="154">
        <v>444.0</v>
      </c>
      <c r="CK46" s="154">
        <f t="shared" si="228"/>
        <v>1</v>
      </c>
      <c r="CL46" s="154">
        <v>747.0</v>
      </c>
      <c r="CM46" s="154">
        <v>747.0</v>
      </c>
      <c r="CN46" s="154">
        <f t="shared" si="229"/>
        <v>0</v>
      </c>
      <c r="CO46" s="154">
        <v>593.0</v>
      </c>
      <c r="CP46" s="154">
        <v>611.0</v>
      </c>
      <c r="CQ46" s="154">
        <f t="shared" si="230"/>
        <v>18</v>
      </c>
      <c r="CR46" s="154">
        <f t="shared" si="231"/>
        <v>2975</v>
      </c>
      <c r="CS46" s="154">
        <v>585.0</v>
      </c>
      <c r="CT46" s="154">
        <f t="shared" si="232"/>
        <v>305</v>
      </c>
      <c r="CU46" s="154">
        <f t="shared" si="233"/>
        <v>890</v>
      </c>
      <c r="CV46" s="154"/>
      <c r="CW46" s="154"/>
      <c r="CX46" s="154">
        <f t="shared" si="234"/>
        <v>1780</v>
      </c>
      <c r="CY46" s="154"/>
      <c r="CZ46" s="154"/>
      <c r="DA46" s="154"/>
      <c r="DB46" s="154">
        <f t="shared" si="235"/>
        <v>0</v>
      </c>
      <c r="DC46" s="154">
        <f t="shared" si="236"/>
        <v>7739</v>
      </c>
      <c r="DD46" s="154">
        <f t="shared" si="237"/>
        <v>33152</v>
      </c>
      <c r="DE46" s="6"/>
      <c r="DF46" s="6"/>
      <c r="DG46" s="6"/>
      <c r="DH46" s="6"/>
      <c r="DI46" s="6"/>
      <c r="DJ46" s="6"/>
      <c r="DK46" s="6"/>
      <c r="DL46" s="6"/>
    </row>
    <row r="47" ht="15.75" customHeight="1">
      <c r="A47" s="169" t="s">
        <v>117</v>
      </c>
      <c r="B47" s="154">
        <v>503.0</v>
      </c>
      <c r="C47" s="154">
        <v>0.0</v>
      </c>
      <c r="D47" s="154">
        <v>0.0</v>
      </c>
      <c r="E47" s="154">
        <v>0.0</v>
      </c>
      <c r="F47" s="154">
        <v>0.0</v>
      </c>
      <c r="G47" s="154">
        <v>37.0</v>
      </c>
      <c r="H47" s="154">
        <f t="shared" si="203"/>
        <v>37</v>
      </c>
      <c r="I47" s="154">
        <v>3.0</v>
      </c>
      <c r="J47" s="154">
        <v>1.0</v>
      </c>
      <c r="K47" s="154">
        <v>0.0</v>
      </c>
      <c r="L47" s="156">
        <f t="shared" si="204"/>
        <v>4</v>
      </c>
      <c r="M47" s="154">
        <v>2.0</v>
      </c>
      <c r="N47" s="154">
        <v>1.0</v>
      </c>
      <c r="O47" s="154">
        <v>0.0</v>
      </c>
      <c r="P47" s="156">
        <f t="shared" si="205"/>
        <v>3</v>
      </c>
      <c r="Q47" s="154">
        <v>0.0</v>
      </c>
      <c r="R47" s="154">
        <v>0.0</v>
      </c>
      <c r="S47" s="154">
        <v>7.0</v>
      </c>
      <c r="T47" s="156">
        <f t="shared" si="206"/>
        <v>7</v>
      </c>
      <c r="U47" s="154">
        <v>4.0</v>
      </c>
      <c r="V47" s="154">
        <v>5.0</v>
      </c>
      <c r="W47" s="154">
        <v>3.0</v>
      </c>
      <c r="X47" s="156">
        <f t="shared" si="207"/>
        <v>12</v>
      </c>
      <c r="Y47" s="156">
        <f t="shared" si="208"/>
        <v>26</v>
      </c>
      <c r="Z47" s="154">
        <v>1.0</v>
      </c>
      <c r="AA47" s="154">
        <v>0.0</v>
      </c>
      <c r="AB47" s="154">
        <v>14.0</v>
      </c>
      <c r="AC47" s="156">
        <f t="shared" si="209"/>
        <v>15</v>
      </c>
      <c r="AD47" s="154">
        <v>3.0</v>
      </c>
      <c r="AE47" s="154">
        <v>4.0</v>
      </c>
      <c r="AF47" s="154">
        <v>12.0</v>
      </c>
      <c r="AG47" s="156">
        <f t="shared" si="210"/>
        <v>19</v>
      </c>
      <c r="AH47" s="154">
        <v>553.0</v>
      </c>
      <c r="AI47" s="154">
        <v>3019.0</v>
      </c>
      <c r="AJ47" s="154">
        <v>441.0</v>
      </c>
      <c r="AK47" s="156">
        <f t="shared" si="211"/>
        <v>4013</v>
      </c>
      <c r="AL47" s="154">
        <v>376.0</v>
      </c>
      <c r="AM47" s="154">
        <v>305.0</v>
      </c>
      <c r="AN47" s="154">
        <v>97.0</v>
      </c>
      <c r="AO47" s="156">
        <f t="shared" si="212"/>
        <v>778</v>
      </c>
      <c r="AP47" s="156">
        <f t="shared" si="213"/>
        <v>4825</v>
      </c>
      <c r="AQ47" s="154">
        <v>59.0</v>
      </c>
      <c r="AR47" s="154">
        <v>372.0</v>
      </c>
      <c r="AS47" s="154">
        <v>514.0</v>
      </c>
      <c r="AT47" s="154">
        <f t="shared" si="214"/>
        <v>945</v>
      </c>
      <c r="AU47" s="154">
        <v>89.0</v>
      </c>
      <c r="AV47" s="154">
        <v>191.0</v>
      </c>
      <c r="AW47" s="154">
        <v>146.0</v>
      </c>
      <c r="AX47" s="154">
        <f t="shared" si="215"/>
        <v>426</v>
      </c>
      <c r="AY47" s="154">
        <v>68.0</v>
      </c>
      <c r="AZ47" s="154">
        <v>1078.0</v>
      </c>
      <c r="BA47" s="154">
        <v>884.0</v>
      </c>
      <c r="BB47" s="154">
        <f t="shared" si="216"/>
        <v>2030</v>
      </c>
      <c r="BC47" s="154">
        <v>594.0</v>
      </c>
      <c r="BD47" s="154">
        <v>529.0</v>
      </c>
      <c r="BE47" s="154">
        <v>154.0</v>
      </c>
      <c r="BF47" s="154">
        <f t="shared" si="217"/>
        <v>1277</v>
      </c>
      <c r="BG47" s="154">
        <f t="shared" si="218"/>
        <v>4678</v>
      </c>
      <c r="BH47" s="154">
        <v>224.0</v>
      </c>
      <c r="BI47" s="154">
        <v>580.0</v>
      </c>
      <c r="BJ47" s="154">
        <v>238.0</v>
      </c>
      <c r="BK47" s="154">
        <f t="shared" si="219"/>
        <v>1042</v>
      </c>
      <c r="BL47" s="154">
        <v>267.0</v>
      </c>
      <c r="BM47" s="154">
        <v>539.0</v>
      </c>
      <c r="BN47" s="154">
        <v>184.0</v>
      </c>
      <c r="BO47" s="154">
        <f t="shared" si="220"/>
        <v>990</v>
      </c>
      <c r="BP47" s="154">
        <v>828.0</v>
      </c>
      <c r="BQ47" s="154">
        <v>2203.0</v>
      </c>
      <c r="BR47" s="154">
        <v>2871.0</v>
      </c>
      <c r="BS47" s="154">
        <f t="shared" si="221"/>
        <v>5902</v>
      </c>
      <c r="BT47" s="154">
        <v>946.0</v>
      </c>
      <c r="BU47" s="154">
        <v>358.0</v>
      </c>
      <c r="BV47" s="154">
        <v>102.0</v>
      </c>
      <c r="BW47" s="154">
        <f t="shared" si="222"/>
        <v>1406</v>
      </c>
      <c r="BX47" s="154">
        <f t="shared" si="223"/>
        <v>9340</v>
      </c>
      <c r="BY47" s="154">
        <v>1387.0</v>
      </c>
      <c r="BZ47" s="154">
        <v>1387.0</v>
      </c>
      <c r="CA47" s="154">
        <f t="shared" si="224"/>
        <v>0</v>
      </c>
      <c r="CB47" s="154">
        <v>755.0</v>
      </c>
      <c r="CC47" s="154">
        <v>755.0</v>
      </c>
      <c r="CD47" s="154">
        <f t="shared" si="225"/>
        <v>0</v>
      </c>
      <c r="CE47" s="154">
        <v>9.0</v>
      </c>
      <c r="CF47" s="154">
        <f>531+86</f>
        <v>617</v>
      </c>
      <c r="CG47" s="154">
        <f t="shared" si="226"/>
        <v>608</v>
      </c>
      <c r="CH47" s="154">
        <f>SUM(BY47:CE47)</f>
        <v>4293</v>
      </c>
      <c r="CI47" s="154">
        <v>245.0</v>
      </c>
      <c r="CJ47" s="154">
        <f>187+58</f>
        <v>245</v>
      </c>
      <c r="CK47" s="154">
        <f t="shared" si="228"/>
        <v>0</v>
      </c>
      <c r="CL47" s="154">
        <f t="shared" ref="CL47:CM47" si="238">740+84</f>
        <v>824</v>
      </c>
      <c r="CM47" s="154">
        <f t="shared" si="238"/>
        <v>824</v>
      </c>
      <c r="CN47" s="154">
        <f t="shared" si="229"/>
        <v>0</v>
      </c>
      <c r="CO47" s="154">
        <f>868+15</f>
        <v>883</v>
      </c>
      <c r="CP47" s="154">
        <f>886+15</f>
        <v>901</v>
      </c>
      <c r="CQ47" s="154">
        <f t="shared" si="230"/>
        <v>18</v>
      </c>
      <c r="CR47" s="154">
        <f t="shared" si="231"/>
        <v>3021</v>
      </c>
      <c r="CS47" s="154">
        <f>546+57</f>
        <v>603</v>
      </c>
      <c r="CT47" s="154">
        <f t="shared" si="232"/>
        <v>626</v>
      </c>
      <c r="CU47" s="154">
        <f t="shared" si="233"/>
        <v>1229</v>
      </c>
      <c r="CV47" s="154"/>
      <c r="CW47" s="154"/>
      <c r="CX47" s="154">
        <f t="shared" si="234"/>
        <v>2458</v>
      </c>
      <c r="CY47" s="154"/>
      <c r="CZ47" s="154"/>
      <c r="DA47" s="154"/>
      <c r="DB47" s="154">
        <f t="shared" si="235"/>
        <v>0</v>
      </c>
      <c r="DC47" s="154">
        <f t="shared" si="236"/>
        <v>9772</v>
      </c>
      <c r="DD47" s="154">
        <f t="shared" si="237"/>
        <v>29181</v>
      </c>
      <c r="DE47" s="6"/>
      <c r="DF47" s="6"/>
      <c r="DG47" s="6"/>
      <c r="DH47" s="6"/>
      <c r="DI47" s="6"/>
      <c r="DJ47" s="6"/>
      <c r="DK47" s="6"/>
      <c r="DL47" s="6"/>
    </row>
    <row r="48" ht="15.75" customHeight="1">
      <c r="A48" s="167" t="s">
        <v>118</v>
      </c>
      <c r="B48" s="154">
        <v>235.0</v>
      </c>
      <c r="C48" s="154">
        <v>0.0</v>
      </c>
      <c r="D48" s="154">
        <v>0.0</v>
      </c>
      <c r="E48" s="154">
        <v>0.0</v>
      </c>
      <c r="F48" s="154">
        <v>0.0</v>
      </c>
      <c r="G48" s="154">
        <v>246.0</v>
      </c>
      <c r="H48" s="154">
        <f t="shared" si="203"/>
        <v>246</v>
      </c>
      <c r="I48" s="154">
        <v>22.0</v>
      </c>
      <c r="J48" s="154">
        <v>14.0</v>
      </c>
      <c r="K48" s="154">
        <v>2.0</v>
      </c>
      <c r="L48" s="156">
        <f t="shared" si="204"/>
        <v>38</v>
      </c>
      <c r="M48" s="154">
        <v>0.0</v>
      </c>
      <c r="N48" s="154">
        <v>1.0</v>
      </c>
      <c r="O48" s="154">
        <v>0.0</v>
      </c>
      <c r="P48" s="156">
        <f t="shared" si="205"/>
        <v>1</v>
      </c>
      <c r="Q48" s="154">
        <v>0.0</v>
      </c>
      <c r="R48" s="154">
        <v>0.0</v>
      </c>
      <c r="S48" s="154">
        <v>1.0</v>
      </c>
      <c r="T48" s="156">
        <f t="shared" si="206"/>
        <v>1</v>
      </c>
      <c r="U48" s="154">
        <v>1.0</v>
      </c>
      <c r="V48" s="154">
        <v>1.0</v>
      </c>
      <c r="W48" s="154">
        <v>0.0</v>
      </c>
      <c r="X48" s="156">
        <f t="shared" si="207"/>
        <v>2</v>
      </c>
      <c r="Y48" s="156">
        <f t="shared" si="208"/>
        <v>42</v>
      </c>
      <c r="Z48" s="154">
        <v>0.0</v>
      </c>
      <c r="AA48" s="154">
        <v>2.0</v>
      </c>
      <c r="AB48" s="154">
        <v>5.0</v>
      </c>
      <c r="AC48" s="156">
        <f t="shared" si="209"/>
        <v>7</v>
      </c>
      <c r="AD48" s="154">
        <v>1.0</v>
      </c>
      <c r="AE48" s="154">
        <v>7.0</v>
      </c>
      <c r="AF48" s="154">
        <v>88.0</v>
      </c>
      <c r="AG48" s="156">
        <f t="shared" si="210"/>
        <v>96</v>
      </c>
      <c r="AH48" s="154">
        <v>2.0</v>
      </c>
      <c r="AI48" s="154">
        <v>875.0</v>
      </c>
      <c r="AJ48" s="154">
        <v>216.0</v>
      </c>
      <c r="AK48" s="156">
        <f t="shared" si="211"/>
        <v>1093</v>
      </c>
      <c r="AL48" s="154">
        <v>36.0</v>
      </c>
      <c r="AM48" s="154">
        <v>12.0</v>
      </c>
      <c r="AN48" s="154">
        <v>33.0</v>
      </c>
      <c r="AO48" s="156">
        <f t="shared" si="212"/>
        <v>81</v>
      </c>
      <c r="AP48" s="156">
        <f t="shared" si="213"/>
        <v>1277</v>
      </c>
      <c r="AQ48" s="154">
        <v>7.0</v>
      </c>
      <c r="AR48" s="154">
        <v>189.0</v>
      </c>
      <c r="AS48" s="154">
        <v>122.0</v>
      </c>
      <c r="AT48" s="154">
        <f t="shared" si="214"/>
        <v>318</v>
      </c>
      <c r="AU48" s="154">
        <v>8.0</v>
      </c>
      <c r="AV48" s="154">
        <v>27.0</v>
      </c>
      <c r="AW48" s="154">
        <v>18.0</v>
      </c>
      <c r="AX48" s="154">
        <f t="shared" si="215"/>
        <v>53</v>
      </c>
      <c r="AY48" s="154">
        <v>5.0</v>
      </c>
      <c r="AZ48" s="154">
        <v>783.0</v>
      </c>
      <c r="BA48" s="154">
        <v>708.0</v>
      </c>
      <c r="BB48" s="154">
        <f t="shared" si="216"/>
        <v>1496</v>
      </c>
      <c r="BC48" s="154">
        <v>145.0</v>
      </c>
      <c r="BD48" s="154">
        <v>489.0</v>
      </c>
      <c r="BE48" s="154">
        <v>385.0</v>
      </c>
      <c r="BF48" s="154">
        <f t="shared" si="217"/>
        <v>1019</v>
      </c>
      <c r="BG48" s="154">
        <f t="shared" si="218"/>
        <v>2886</v>
      </c>
      <c r="BH48" s="154">
        <v>22.0</v>
      </c>
      <c r="BI48" s="154">
        <v>133.0</v>
      </c>
      <c r="BJ48" s="154">
        <v>107.0</v>
      </c>
      <c r="BK48" s="154">
        <f t="shared" si="219"/>
        <v>262</v>
      </c>
      <c r="BL48" s="154">
        <v>17.0</v>
      </c>
      <c r="BM48" s="154">
        <v>37.0</v>
      </c>
      <c r="BN48" s="154">
        <v>10.0</v>
      </c>
      <c r="BO48" s="154">
        <f t="shared" si="220"/>
        <v>64</v>
      </c>
      <c r="BP48" s="154">
        <v>313.0</v>
      </c>
      <c r="BQ48" s="154">
        <v>1819.0</v>
      </c>
      <c r="BR48" s="154">
        <v>3149.0</v>
      </c>
      <c r="BS48" s="154">
        <f t="shared" si="221"/>
        <v>5281</v>
      </c>
      <c r="BT48" s="154">
        <v>357.0</v>
      </c>
      <c r="BU48" s="154">
        <v>41.0</v>
      </c>
      <c r="BV48" s="154">
        <v>63.0</v>
      </c>
      <c r="BW48" s="154">
        <f t="shared" si="222"/>
        <v>461</v>
      </c>
      <c r="BX48" s="154">
        <f t="shared" si="223"/>
        <v>6068</v>
      </c>
      <c r="BY48" s="154">
        <v>213.0</v>
      </c>
      <c r="BZ48" s="154">
        <v>213.0</v>
      </c>
      <c r="CA48" s="154">
        <f t="shared" si="224"/>
        <v>0</v>
      </c>
      <c r="CB48" s="154">
        <v>246.0</v>
      </c>
      <c r="CC48" s="154">
        <v>246.0</v>
      </c>
      <c r="CD48" s="154">
        <f t="shared" si="225"/>
        <v>0</v>
      </c>
      <c r="CE48" s="154">
        <v>0.0</v>
      </c>
      <c r="CF48" s="154">
        <v>155.0</v>
      </c>
      <c r="CG48" s="154">
        <f t="shared" si="226"/>
        <v>155</v>
      </c>
      <c r="CH48" s="154">
        <f>SUM(BY48:CF48)</f>
        <v>1073</v>
      </c>
      <c r="CI48" s="154">
        <v>101.0</v>
      </c>
      <c r="CJ48" s="154">
        <v>101.0</v>
      </c>
      <c r="CK48" s="154">
        <f t="shared" si="228"/>
        <v>0</v>
      </c>
      <c r="CL48" s="154">
        <v>197.0</v>
      </c>
      <c r="CM48" s="154">
        <v>197.0</v>
      </c>
      <c r="CN48" s="154">
        <f t="shared" si="229"/>
        <v>0</v>
      </c>
      <c r="CO48" s="154">
        <v>213.0</v>
      </c>
      <c r="CP48" s="154">
        <v>223.0</v>
      </c>
      <c r="CQ48" s="154">
        <f t="shared" si="230"/>
        <v>10</v>
      </c>
      <c r="CR48" s="154">
        <f t="shared" si="231"/>
        <v>809</v>
      </c>
      <c r="CS48" s="154">
        <v>312.0</v>
      </c>
      <c r="CT48" s="154">
        <f t="shared" si="232"/>
        <v>165</v>
      </c>
      <c r="CU48" s="154">
        <f t="shared" si="233"/>
        <v>477</v>
      </c>
      <c r="CV48" s="154"/>
      <c r="CW48" s="154"/>
      <c r="CX48" s="154">
        <f t="shared" si="234"/>
        <v>954</v>
      </c>
      <c r="CY48" s="154"/>
      <c r="CZ48" s="154"/>
      <c r="DA48" s="154"/>
      <c r="DB48" s="154">
        <f t="shared" si="235"/>
        <v>0</v>
      </c>
      <c r="DC48" s="154">
        <f t="shared" si="236"/>
        <v>2836</v>
      </c>
      <c r="DD48" s="154">
        <f t="shared" si="237"/>
        <v>13590</v>
      </c>
      <c r="DE48" s="6"/>
      <c r="DF48" s="6"/>
      <c r="DG48" s="6"/>
      <c r="DH48" s="6"/>
      <c r="DI48" s="6"/>
      <c r="DJ48" s="6"/>
      <c r="DK48" s="6"/>
      <c r="DL48" s="6"/>
    </row>
    <row r="49" ht="15.75" customHeight="1">
      <c r="A49" s="137" t="s">
        <v>119</v>
      </c>
      <c r="B49" s="141">
        <f t="shared" ref="B49:DD49" si="239">SUM(B50:B55)</f>
        <v>23885</v>
      </c>
      <c r="C49" s="141">
        <f t="shared" si="239"/>
        <v>0</v>
      </c>
      <c r="D49" s="141">
        <f t="shared" si="239"/>
        <v>0</v>
      </c>
      <c r="E49" s="141">
        <f t="shared" si="239"/>
        <v>8</v>
      </c>
      <c r="F49" s="141">
        <f t="shared" si="239"/>
        <v>87</v>
      </c>
      <c r="G49" s="141">
        <f t="shared" si="239"/>
        <v>396</v>
      </c>
      <c r="H49" s="141">
        <f t="shared" si="239"/>
        <v>491</v>
      </c>
      <c r="I49" s="141">
        <f t="shared" si="239"/>
        <v>769</v>
      </c>
      <c r="J49" s="141">
        <f t="shared" si="239"/>
        <v>545</v>
      </c>
      <c r="K49" s="141">
        <f t="shared" si="239"/>
        <v>1503</v>
      </c>
      <c r="L49" s="141">
        <f t="shared" si="239"/>
        <v>2817</v>
      </c>
      <c r="M49" s="141">
        <f t="shared" si="239"/>
        <v>1309</v>
      </c>
      <c r="N49" s="141">
        <f t="shared" si="239"/>
        <v>292</v>
      </c>
      <c r="O49" s="141">
        <f t="shared" si="239"/>
        <v>0</v>
      </c>
      <c r="P49" s="141">
        <f t="shared" si="239"/>
        <v>1601</v>
      </c>
      <c r="Q49" s="141">
        <f t="shared" si="239"/>
        <v>252</v>
      </c>
      <c r="R49" s="141">
        <f t="shared" si="239"/>
        <v>4009</v>
      </c>
      <c r="S49" s="141">
        <f t="shared" si="239"/>
        <v>2940</v>
      </c>
      <c r="T49" s="141">
        <f t="shared" si="239"/>
        <v>7201</v>
      </c>
      <c r="U49" s="141">
        <f t="shared" si="239"/>
        <v>3771</v>
      </c>
      <c r="V49" s="141">
        <f t="shared" si="239"/>
        <v>21683</v>
      </c>
      <c r="W49" s="141">
        <f t="shared" si="239"/>
        <v>14627</v>
      </c>
      <c r="X49" s="141">
        <f t="shared" si="239"/>
        <v>40081</v>
      </c>
      <c r="Y49" s="141">
        <f t="shared" si="239"/>
        <v>51700</v>
      </c>
      <c r="Z49" s="141">
        <f t="shared" si="239"/>
        <v>6844</v>
      </c>
      <c r="AA49" s="141">
        <f t="shared" si="239"/>
        <v>1296</v>
      </c>
      <c r="AB49" s="141">
        <f t="shared" si="239"/>
        <v>8394</v>
      </c>
      <c r="AC49" s="142">
        <f t="shared" si="239"/>
        <v>16534</v>
      </c>
      <c r="AD49" s="141">
        <f t="shared" si="239"/>
        <v>21507</v>
      </c>
      <c r="AE49" s="141">
        <f t="shared" si="239"/>
        <v>28856</v>
      </c>
      <c r="AF49" s="141">
        <f t="shared" si="239"/>
        <v>12070</v>
      </c>
      <c r="AG49" s="142">
        <f t="shared" si="239"/>
        <v>62433</v>
      </c>
      <c r="AH49" s="141">
        <f t="shared" si="239"/>
        <v>10817</v>
      </c>
      <c r="AI49" s="141">
        <f t="shared" si="239"/>
        <v>5760</v>
      </c>
      <c r="AJ49" s="141">
        <f t="shared" si="239"/>
        <v>9135</v>
      </c>
      <c r="AK49" s="142">
        <f t="shared" si="239"/>
        <v>25712</v>
      </c>
      <c r="AL49" s="141">
        <f t="shared" si="239"/>
        <v>5253</v>
      </c>
      <c r="AM49" s="141">
        <f t="shared" si="239"/>
        <v>5696</v>
      </c>
      <c r="AN49" s="141">
        <f t="shared" si="239"/>
        <v>4104</v>
      </c>
      <c r="AO49" s="142">
        <f t="shared" si="239"/>
        <v>15053</v>
      </c>
      <c r="AP49" s="142">
        <f t="shared" si="239"/>
        <v>119732</v>
      </c>
      <c r="AQ49" s="142">
        <f t="shared" si="239"/>
        <v>4697</v>
      </c>
      <c r="AR49" s="142">
        <f t="shared" si="239"/>
        <v>6275</v>
      </c>
      <c r="AS49" s="142">
        <f t="shared" si="239"/>
        <v>7499</v>
      </c>
      <c r="AT49" s="142">
        <f t="shared" si="239"/>
        <v>18471</v>
      </c>
      <c r="AU49" s="142">
        <f t="shared" si="239"/>
        <v>1750</v>
      </c>
      <c r="AV49" s="142">
        <f t="shared" si="239"/>
        <v>1755</v>
      </c>
      <c r="AW49" s="142">
        <f t="shared" si="239"/>
        <v>868</v>
      </c>
      <c r="AX49" s="142">
        <f t="shared" si="239"/>
        <v>4373</v>
      </c>
      <c r="AY49" s="142">
        <f t="shared" si="239"/>
        <v>4183</v>
      </c>
      <c r="AZ49" s="142">
        <f t="shared" si="239"/>
        <v>4838</v>
      </c>
      <c r="BA49" s="142">
        <f t="shared" si="239"/>
        <v>5518</v>
      </c>
      <c r="BB49" s="142">
        <f t="shared" si="239"/>
        <v>14539</v>
      </c>
      <c r="BC49" s="142">
        <f t="shared" si="239"/>
        <v>2486</v>
      </c>
      <c r="BD49" s="142">
        <f t="shared" si="239"/>
        <v>4656</v>
      </c>
      <c r="BE49" s="142">
        <f t="shared" si="239"/>
        <v>3202</v>
      </c>
      <c r="BF49" s="142">
        <f t="shared" si="239"/>
        <v>10344</v>
      </c>
      <c r="BG49" s="142">
        <f t="shared" si="239"/>
        <v>47727</v>
      </c>
      <c r="BH49" s="142">
        <f t="shared" si="239"/>
        <v>3332</v>
      </c>
      <c r="BI49" s="142">
        <f t="shared" si="239"/>
        <v>4713</v>
      </c>
      <c r="BJ49" s="142">
        <f t="shared" si="239"/>
        <v>3178</v>
      </c>
      <c r="BK49" s="142">
        <f t="shared" si="239"/>
        <v>11223</v>
      </c>
      <c r="BL49" s="142">
        <f t="shared" si="239"/>
        <v>3692</v>
      </c>
      <c r="BM49" s="142">
        <f t="shared" si="239"/>
        <v>5877</v>
      </c>
      <c r="BN49" s="142">
        <f t="shared" si="239"/>
        <v>2317</v>
      </c>
      <c r="BO49" s="142">
        <f t="shared" si="239"/>
        <v>11886</v>
      </c>
      <c r="BP49" s="142">
        <f t="shared" si="239"/>
        <v>2952</v>
      </c>
      <c r="BQ49" s="142">
        <f t="shared" si="239"/>
        <v>3259</v>
      </c>
      <c r="BR49" s="142">
        <f t="shared" si="239"/>
        <v>3773</v>
      </c>
      <c r="BS49" s="142">
        <f t="shared" si="239"/>
        <v>9984</v>
      </c>
      <c r="BT49" s="142">
        <f t="shared" si="239"/>
        <v>2706</v>
      </c>
      <c r="BU49" s="142">
        <f t="shared" si="239"/>
        <v>2717</v>
      </c>
      <c r="BV49" s="142">
        <f t="shared" si="239"/>
        <v>1970</v>
      </c>
      <c r="BW49" s="142">
        <f t="shared" si="239"/>
        <v>7393</v>
      </c>
      <c r="BX49" s="142">
        <f t="shared" si="239"/>
        <v>40486</v>
      </c>
      <c r="BY49" s="141">
        <f t="shared" si="239"/>
        <v>3420</v>
      </c>
      <c r="BZ49" s="141">
        <f t="shared" si="239"/>
        <v>3420</v>
      </c>
      <c r="CA49" s="141">
        <f t="shared" si="239"/>
        <v>0</v>
      </c>
      <c r="CB49" s="141">
        <f t="shared" si="239"/>
        <v>3458</v>
      </c>
      <c r="CC49" s="141">
        <f t="shared" si="239"/>
        <v>3458</v>
      </c>
      <c r="CD49" s="141">
        <f t="shared" si="239"/>
        <v>0</v>
      </c>
      <c r="CE49" s="141">
        <f t="shared" si="239"/>
        <v>163</v>
      </c>
      <c r="CF49" s="141">
        <f t="shared" si="239"/>
        <v>3629</v>
      </c>
      <c r="CG49" s="141">
        <f t="shared" si="239"/>
        <v>3466</v>
      </c>
      <c r="CH49" s="142">
        <f t="shared" si="239"/>
        <v>17548</v>
      </c>
      <c r="CI49" s="141">
        <f t="shared" si="239"/>
        <v>1950</v>
      </c>
      <c r="CJ49" s="141">
        <f t="shared" si="239"/>
        <v>2623</v>
      </c>
      <c r="CK49" s="141">
        <f t="shared" si="239"/>
        <v>673</v>
      </c>
      <c r="CL49" s="141">
        <f t="shared" si="239"/>
        <v>2770</v>
      </c>
      <c r="CM49" s="141">
        <f t="shared" si="239"/>
        <v>2770</v>
      </c>
      <c r="CN49" s="141">
        <f t="shared" si="239"/>
        <v>0</v>
      </c>
      <c r="CO49" s="141">
        <f t="shared" si="239"/>
        <v>7349</v>
      </c>
      <c r="CP49" s="141">
        <f t="shared" si="239"/>
        <v>7453</v>
      </c>
      <c r="CQ49" s="141">
        <f t="shared" si="239"/>
        <v>104</v>
      </c>
      <c r="CR49" s="141">
        <f t="shared" si="239"/>
        <v>18135</v>
      </c>
      <c r="CS49" s="141">
        <f t="shared" si="239"/>
        <v>3069</v>
      </c>
      <c r="CT49" s="141">
        <f t="shared" si="239"/>
        <v>4243</v>
      </c>
      <c r="CU49" s="141">
        <f t="shared" si="239"/>
        <v>7312</v>
      </c>
      <c r="CV49" s="141">
        <f t="shared" si="239"/>
        <v>0</v>
      </c>
      <c r="CW49" s="141">
        <f t="shared" si="239"/>
        <v>0</v>
      </c>
      <c r="CX49" s="141">
        <f t="shared" si="239"/>
        <v>14624</v>
      </c>
      <c r="CY49" s="141">
        <f t="shared" si="239"/>
        <v>0</v>
      </c>
      <c r="CZ49" s="141">
        <f t="shared" si="239"/>
        <v>0</v>
      </c>
      <c r="DA49" s="141">
        <f t="shared" si="239"/>
        <v>0</v>
      </c>
      <c r="DB49" s="141">
        <f t="shared" si="239"/>
        <v>0</v>
      </c>
      <c r="DC49" s="141">
        <f t="shared" si="239"/>
        <v>50307</v>
      </c>
      <c r="DD49" s="141">
        <f t="shared" si="239"/>
        <v>334328</v>
      </c>
      <c r="DE49" s="6"/>
      <c r="DF49" s="24">
        <f>SUM(AK49,AO49,BG49,BX49,DC49)</f>
        <v>179285</v>
      </c>
      <c r="DG49" s="6"/>
      <c r="DH49" s="6"/>
      <c r="DI49" s="6"/>
      <c r="DJ49" s="6"/>
      <c r="DK49" s="6"/>
      <c r="DL49" s="6"/>
    </row>
    <row r="50" ht="15.75" customHeight="1">
      <c r="A50" s="167" t="s">
        <v>120</v>
      </c>
      <c r="B50" s="179">
        <v>6873.0</v>
      </c>
      <c r="C50" s="154">
        <v>0.0</v>
      </c>
      <c r="D50" s="154">
        <v>0.0</v>
      </c>
      <c r="E50" s="154">
        <v>2.0</v>
      </c>
      <c r="F50" s="154">
        <v>20.0</v>
      </c>
      <c r="G50" s="154">
        <v>70.0</v>
      </c>
      <c r="H50" s="154">
        <f t="shared" ref="H50:H55" si="240">SUM(C50:G50)</f>
        <v>92</v>
      </c>
      <c r="I50" s="154">
        <v>67.0</v>
      </c>
      <c r="J50" s="154">
        <v>69.0</v>
      </c>
      <c r="K50" s="155">
        <v>241.0</v>
      </c>
      <c r="L50" s="156">
        <f t="shared" ref="L50:L55" si="241">SUM(I50:K50)</f>
        <v>377</v>
      </c>
      <c r="M50" s="154">
        <v>234.0</v>
      </c>
      <c r="N50" s="154">
        <v>123.0</v>
      </c>
      <c r="O50" s="154">
        <v>0.0</v>
      </c>
      <c r="P50" s="156">
        <f t="shared" ref="P50:P55" si="242">SUM(M50:O50)</f>
        <v>357</v>
      </c>
      <c r="Q50" s="154">
        <v>27.0</v>
      </c>
      <c r="R50" s="154">
        <v>659.0</v>
      </c>
      <c r="S50" s="154">
        <v>393.0</v>
      </c>
      <c r="T50" s="156">
        <f t="shared" ref="T50:T55" si="243">SUM(Q50:S50)</f>
        <v>1079</v>
      </c>
      <c r="U50" s="154">
        <v>1650.0</v>
      </c>
      <c r="V50" s="154">
        <v>5197.0</v>
      </c>
      <c r="W50" s="154">
        <v>1312.0</v>
      </c>
      <c r="X50" s="156">
        <f t="shared" ref="X50:X55" si="244">SUM(U50:W50)</f>
        <v>8159</v>
      </c>
      <c r="Y50" s="156">
        <f t="shared" ref="Y50:Y55" si="245">SUM(X50,T50,P50,L50)</f>
        <v>9972</v>
      </c>
      <c r="Z50" s="154">
        <v>1291.0</v>
      </c>
      <c r="AA50" s="154">
        <v>234.0</v>
      </c>
      <c r="AB50" s="155">
        <v>923.0</v>
      </c>
      <c r="AC50" s="156">
        <f t="shared" ref="AC50:AC55" si="246">SUM(Z50:AB50)</f>
        <v>2448</v>
      </c>
      <c r="AD50" s="154">
        <v>523.0</v>
      </c>
      <c r="AE50" s="154">
        <v>1346.0</v>
      </c>
      <c r="AF50" s="154">
        <v>1972.0</v>
      </c>
      <c r="AG50" s="156">
        <f t="shared" ref="AG50:AG55" si="247">SUM(AD50:AF50)</f>
        <v>3841</v>
      </c>
      <c r="AH50" s="154">
        <v>2617.0</v>
      </c>
      <c r="AI50" s="154">
        <v>594.0</v>
      </c>
      <c r="AJ50" s="154">
        <v>2154.0</v>
      </c>
      <c r="AK50" s="156">
        <f t="shared" ref="AK50:AK55" si="248">SUM(AH50:AJ50)</f>
        <v>5365</v>
      </c>
      <c r="AL50" s="154">
        <v>965.0</v>
      </c>
      <c r="AM50" s="154">
        <v>1232.0</v>
      </c>
      <c r="AN50" s="154">
        <v>894.0</v>
      </c>
      <c r="AO50" s="156">
        <f t="shared" ref="AO50:AO55" si="249">SUM(AL50:AN50)</f>
        <v>3091</v>
      </c>
      <c r="AP50" s="156">
        <f t="shared" ref="AP50:AP55" si="250">SUM(AO50,AK50,AG50,AC50)</f>
        <v>14745</v>
      </c>
      <c r="AQ50" s="154">
        <v>850.0</v>
      </c>
      <c r="AR50" s="154">
        <v>852.0</v>
      </c>
      <c r="AS50" s="154">
        <v>672.0</v>
      </c>
      <c r="AT50" s="154">
        <f t="shared" ref="AT50:AT55" si="251">SUM(AQ50:AS50)</f>
        <v>2374</v>
      </c>
      <c r="AU50" s="154">
        <v>85.0</v>
      </c>
      <c r="AV50" s="154">
        <v>353.0</v>
      </c>
      <c r="AW50" s="154">
        <v>162.0</v>
      </c>
      <c r="AX50" s="154">
        <f t="shared" ref="AX50:AX55" si="252">SUM(AU50:AW50)</f>
        <v>600</v>
      </c>
      <c r="AY50" s="154">
        <v>561.0</v>
      </c>
      <c r="AZ50" s="154">
        <v>759.0</v>
      </c>
      <c r="BA50" s="154">
        <v>911.0</v>
      </c>
      <c r="BB50" s="154">
        <f t="shared" ref="BB50:BB55" si="253">SUM(AY50:BA50)</f>
        <v>2231</v>
      </c>
      <c r="BC50" s="154">
        <v>220.0</v>
      </c>
      <c r="BD50" s="154">
        <v>576.0</v>
      </c>
      <c r="BE50" s="154">
        <v>378.0</v>
      </c>
      <c r="BF50" s="154">
        <f t="shared" ref="BF50:BF55" si="254">SUM(BC50:BE50)</f>
        <v>1174</v>
      </c>
      <c r="BG50" s="154">
        <f t="shared" ref="BG50:BG55" si="255">SUM(AT50,AX50,BB50,BF50)</f>
        <v>6379</v>
      </c>
      <c r="BH50" s="154">
        <v>452.0</v>
      </c>
      <c r="BI50" s="154">
        <v>1070.0</v>
      </c>
      <c r="BJ50" s="154">
        <v>398.0</v>
      </c>
      <c r="BK50" s="154">
        <f t="shared" ref="BK50:BK55" si="256">SUM(BH50:BJ50)</f>
        <v>1920</v>
      </c>
      <c r="BL50" s="154">
        <v>749.0</v>
      </c>
      <c r="BM50" s="154">
        <v>621.0</v>
      </c>
      <c r="BN50" s="154">
        <v>510.0</v>
      </c>
      <c r="BO50" s="154">
        <f t="shared" ref="BO50:BO55" si="257">SUM(BL50:BN50)</f>
        <v>1880</v>
      </c>
      <c r="BP50" s="154">
        <v>140.0</v>
      </c>
      <c r="BQ50" s="154">
        <v>382.0</v>
      </c>
      <c r="BR50" s="154">
        <v>734.0</v>
      </c>
      <c r="BS50" s="154">
        <f t="shared" ref="BS50:BS55" si="258">SUM(BP50:BR50)</f>
        <v>1256</v>
      </c>
      <c r="BT50" s="154">
        <v>504.0</v>
      </c>
      <c r="BU50" s="154">
        <v>316.0</v>
      </c>
      <c r="BV50" s="154">
        <v>455.0</v>
      </c>
      <c r="BW50" s="154">
        <f t="shared" ref="BW50:BW55" si="259">SUM(BT50:BV50)</f>
        <v>1275</v>
      </c>
      <c r="BX50" s="154">
        <f t="shared" ref="BX50:BX55" si="260">SUM(BK50,BO50,BS50,BW50)</f>
        <v>6331</v>
      </c>
      <c r="BY50" s="154">
        <v>278.0</v>
      </c>
      <c r="BZ50" s="154">
        <v>278.0</v>
      </c>
      <c r="CA50" s="154">
        <f t="shared" ref="CA50:CA55" si="261">BZ50-BY50</f>
        <v>0</v>
      </c>
      <c r="CB50" s="154">
        <v>532.0</v>
      </c>
      <c r="CC50" s="154">
        <v>532.0</v>
      </c>
      <c r="CD50" s="154">
        <f t="shared" ref="CD50:CD55" si="262">CC50-CB50</f>
        <v>0</v>
      </c>
      <c r="CE50" s="154">
        <v>17.0</v>
      </c>
      <c r="CF50" s="154">
        <v>526.0</v>
      </c>
      <c r="CG50" s="154">
        <f t="shared" ref="CG50:CG55" si="263">CF50-CE50</f>
        <v>509</v>
      </c>
      <c r="CH50" s="154">
        <f t="shared" ref="CH50:CH55" si="264">SUM(BY50:CF50)</f>
        <v>2163</v>
      </c>
      <c r="CI50" s="152">
        <v>149.0</v>
      </c>
      <c r="CJ50" s="154">
        <v>259.0</v>
      </c>
      <c r="CK50" s="154">
        <f t="shared" ref="CK50:CK55" si="265">CJ50-CI50</f>
        <v>110</v>
      </c>
      <c r="CL50" s="154">
        <v>286.0</v>
      </c>
      <c r="CM50" s="154">
        <v>286.0</v>
      </c>
      <c r="CN50" s="154">
        <f t="shared" ref="CN50:CN55" si="266">CM50-CL50</f>
        <v>0</v>
      </c>
      <c r="CO50" s="155">
        <v>1077.0</v>
      </c>
      <c r="CP50" s="155">
        <v>1078.0</v>
      </c>
      <c r="CQ50" s="154">
        <f t="shared" ref="CQ50:CQ55" si="267">CP50-CO50</f>
        <v>1</v>
      </c>
      <c r="CR50" s="154">
        <f t="shared" ref="CR50:CR55" si="268">SUM(CI50:CO50)</f>
        <v>2167</v>
      </c>
      <c r="CS50" s="154">
        <v>498.0</v>
      </c>
      <c r="CT50" s="154">
        <f t="shared" ref="CT50:CT55" si="269">SUM(CA50,CD50,CG50,CK50,CN50,CQ50)</f>
        <v>620</v>
      </c>
      <c r="CU50" s="154">
        <f t="shared" ref="CU50:CU55" si="270">CS50+CT50</f>
        <v>1118</v>
      </c>
      <c r="CV50" s="154"/>
      <c r="CW50" s="155"/>
      <c r="CX50" s="154">
        <f t="shared" ref="CX50:CX55" si="271">SUM(CS50:CW50)</f>
        <v>2236</v>
      </c>
      <c r="CY50" s="154"/>
      <c r="CZ50" s="154"/>
      <c r="DA50" s="155"/>
      <c r="DB50" s="154">
        <f t="shared" ref="DB50:DB55" si="272">SUM(CY50:DA50)</f>
        <v>0</v>
      </c>
      <c r="DC50" s="154">
        <f t="shared" ref="DC50:DC55" si="273">SUM(CH50,CR50,CX50,DB50)</f>
        <v>6566</v>
      </c>
      <c r="DD50" s="154">
        <f t="shared" ref="DD50:DD55" si="274">SUM(B50,H50,Y50,AP50,BG50,BX50,DC50)</f>
        <v>50958</v>
      </c>
      <c r="DE50" s="6"/>
      <c r="DF50" s="6"/>
      <c r="DG50" s="6"/>
      <c r="DH50" s="6"/>
      <c r="DI50" s="6"/>
      <c r="DJ50" s="6"/>
      <c r="DK50" s="6"/>
      <c r="DL50" s="6"/>
    </row>
    <row r="51" ht="15.75" customHeight="1">
      <c r="A51" s="167" t="s">
        <v>121</v>
      </c>
      <c r="B51" s="154">
        <v>625.0</v>
      </c>
      <c r="C51" s="154">
        <v>0.0</v>
      </c>
      <c r="D51" s="154">
        <v>0.0</v>
      </c>
      <c r="E51" s="154">
        <v>0.0</v>
      </c>
      <c r="F51" s="154">
        <v>19.0</v>
      </c>
      <c r="G51" s="154">
        <v>25.0</v>
      </c>
      <c r="H51" s="154">
        <f t="shared" si="240"/>
        <v>44</v>
      </c>
      <c r="I51" s="154">
        <v>169.0</v>
      </c>
      <c r="J51" s="154">
        <v>29.0</v>
      </c>
      <c r="K51" s="154">
        <v>189.0</v>
      </c>
      <c r="L51" s="156">
        <f t="shared" si="241"/>
        <v>387</v>
      </c>
      <c r="M51" s="154">
        <v>71.0</v>
      </c>
      <c r="N51" s="154">
        <v>33.0</v>
      </c>
      <c r="O51" s="154">
        <v>0.0</v>
      </c>
      <c r="P51" s="156">
        <f t="shared" si="242"/>
        <v>104</v>
      </c>
      <c r="Q51" s="154">
        <v>10.0</v>
      </c>
      <c r="R51" s="154">
        <v>289.0</v>
      </c>
      <c r="S51" s="154">
        <v>176.0</v>
      </c>
      <c r="T51" s="156">
        <f t="shared" si="243"/>
        <v>475</v>
      </c>
      <c r="U51" s="154">
        <v>111.0</v>
      </c>
      <c r="V51" s="154">
        <v>2750.0</v>
      </c>
      <c r="W51" s="154">
        <v>313.0</v>
      </c>
      <c r="X51" s="156">
        <f t="shared" si="244"/>
        <v>3174</v>
      </c>
      <c r="Y51" s="156">
        <f t="shared" si="245"/>
        <v>4140</v>
      </c>
      <c r="Z51" s="154">
        <v>341.0</v>
      </c>
      <c r="AA51" s="154">
        <v>180.0</v>
      </c>
      <c r="AB51" s="154">
        <v>746.0</v>
      </c>
      <c r="AC51" s="156">
        <f t="shared" si="246"/>
        <v>1267</v>
      </c>
      <c r="AD51" s="154">
        <v>1966.0</v>
      </c>
      <c r="AE51" s="154">
        <v>806.0</v>
      </c>
      <c r="AF51" s="154">
        <v>2134.0</v>
      </c>
      <c r="AG51" s="156">
        <f t="shared" si="247"/>
        <v>4906</v>
      </c>
      <c r="AH51" s="154">
        <v>817.0</v>
      </c>
      <c r="AI51" s="154">
        <v>216.0</v>
      </c>
      <c r="AJ51" s="154">
        <v>254.0</v>
      </c>
      <c r="AK51" s="156">
        <f t="shared" si="248"/>
        <v>1287</v>
      </c>
      <c r="AL51" s="154">
        <v>328.0</v>
      </c>
      <c r="AM51" s="154">
        <v>251.0</v>
      </c>
      <c r="AN51" s="154">
        <v>450.0</v>
      </c>
      <c r="AO51" s="156">
        <f t="shared" si="249"/>
        <v>1029</v>
      </c>
      <c r="AP51" s="156">
        <f t="shared" si="250"/>
        <v>8489</v>
      </c>
      <c r="AQ51" s="154">
        <v>215.0</v>
      </c>
      <c r="AR51" s="154">
        <v>286.0</v>
      </c>
      <c r="AS51" s="154">
        <v>80.0</v>
      </c>
      <c r="AT51" s="154">
        <f t="shared" si="251"/>
        <v>581</v>
      </c>
      <c r="AU51" s="154">
        <v>128.0</v>
      </c>
      <c r="AV51" s="154">
        <v>72.0</v>
      </c>
      <c r="AW51" s="154">
        <v>22.0</v>
      </c>
      <c r="AX51" s="154">
        <f t="shared" si="252"/>
        <v>222</v>
      </c>
      <c r="AY51" s="154">
        <v>300.0</v>
      </c>
      <c r="AZ51" s="154">
        <v>201.0</v>
      </c>
      <c r="BA51" s="154">
        <v>188.0</v>
      </c>
      <c r="BB51" s="154">
        <f t="shared" si="253"/>
        <v>689</v>
      </c>
      <c r="BC51" s="154">
        <v>119.0</v>
      </c>
      <c r="BD51" s="154">
        <v>58.0</v>
      </c>
      <c r="BE51" s="154">
        <v>48.0</v>
      </c>
      <c r="BF51" s="154">
        <f t="shared" si="254"/>
        <v>225</v>
      </c>
      <c r="BG51" s="154">
        <f t="shared" si="255"/>
        <v>1717</v>
      </c>
      <c r="BH51" s="154">
        <v>103.0</v>
      </c>
      <c r="BI51" s="154">
        <v>311.0</v>
      </c>
      <c r="BJ51" s="154">
        <v>129.0</v>
      </c>
      <c r="BK51" s="154">
        <f t="shared" si="256"/>
        <v>543</v>
      </c>
      <c r="BL51" s="154">
        <v>215.0</v>
      </c>
      <c r="BM51" s="154">
        <v>311.0</v>
      </c>
      <c r="BN51" s="154">
        <v>373.0</v>
      </c>
      <c r="BO51" s="154">
        <f t="shared" si="257"/>
        <v>899</v>
      </c>
      <c r="BP51" s="154">
        <v>97.0</v>
      </c>
      <c r="BQ51" s="154">
        <v>387.0</v>
      </c>
      <c r="BR51" s="154">
        <v>243.0</v>
      </c>
      <c r="BS51" s="154">
        <f t="shared" si="258"/>
        <v>727</v>
      </c>
      <c r="BT51" s="154">
        <v>355.0</v>
      </c>
      <c r="BU51" s="154">
        <v>217.0</v>
      </c>
      <c r="BV51" s="154">
        <v>174.0</v>
      </c>
      <c r="BW51" s="154">
        <f t="shared" si="259"/>
        <v>746</v>
      </c>
      <c r="BX51" s="154">
        <f t="shared" si="260"/>
        <v>2915</v>
      </c>
      <c r="BY51" s="154">
        <v>312.0</v>
      </c>
      <c r="BZ51" s="154">
        <v>312.0</v>
      </c>
      <c r="CA51" s="154">
        <f t="shared" si="261"/>
        <v>0</v>
      </c>
      <c r="CB51" s="154">
        <v>504.0</v>
      </c>
      <c r="CC51" s="154">
        <v>504.0</v>
      </c>
      <c r="CD51" s="154">
        <f t="shared" si="262"/>
        <v>0</v>
      </c>
      <c r="CE51" s="154">
        <v>3.0</v>
      </c>
      <c r="CF51" s="154">
        <v>340.0</v>
      </c>
      <c r="CG51" s="154">
        <f t="shared" si="263"/>
        <v>337</v>
      </c>
      <c r="CH51" s="154">
        <f t="shared" si="264"/>
        <v>1975</v>
      </c>
      <c r="CI51" s="152">
        <v>614.0</v>
      </c>
      <c r="CJ51" s="154">
        <v>648.0</v>
      </c>
      <c r="CK51" s="154">
        <f t="shared" si="265"/>
        <v>34</v>
      </c>
      <c r="CL51" s="154">
        <v>584.0</v>
      </c>
      <c r="CM51" s="154">
        <v>584.0</v>
      </c>
      <c r="CN51" s="154">
        <f t="shared" si="266"/>
        <v>0</v>
      </c>
      <c r="CO51" s="154">
        <v>854.0</v>
      </c>
      <c r="CP51" s="154">
        <v>872.0</v>
      </c>
      <c r="CQ51" s="154">
        <f t="shared" si="267"/>
        <v>18</v>
      </c>
      <c r="CR51" s="154">
        <f t="shared" si="268"/>
        <v>3318</v>
      </c>
      <c r="CS51" s="154">
        <v>1022.0</v>
      </c>
      <c r="CT51" s="154">
        <f t="shared" si="269"/>
        <v>389</v>
      </c>
      <c r="CU51" s="154">
        <f t="shared" si="270"/>
        <v>1411</v>
      </c>
      <c r="CV51" s="154"/>
      <c r="CW51" s="154"/>
      <c r="CX51" s="154">
        <f t="shared" si="271"/>
        <v>2822</v>
      </c>
      <c r="CY51" s="154"/>
      <c r="CZ51" s="154"/>
      <c r="DA51" s="154"/>
      <c r="DB51" s="154">
        <f t="shared" si="272"/>
        <v>0</v>
      </c>
      <c r="DC51" s="154">
        <f t="shared" si="273"/>
        <v>8115</v>
      </c>
      <c r="DD51" s="154">
        <f t="shared" si="274"/>
        <v>26045</v>
      </c>
      <c r="DE51" s="6"/>
      <c r="DF51" s="6"/>
      <c r="DG51" s="6"/>
      <c r="DH51" s="6"/>
      <c r="DI51" s="6"/>
      <c r="DJ51" s="6"/>
      <c r="DK51" s="6"/>
      <c r="DL51" s="6"/>
    </row>
    <row r="52" ht="15.75" customHeight="1">
      <c r="A52" s="167" t="s">
        <v>122</v>
      </c>
      <c r="B52" s="154">
        <v>11742.0</v>
      </c>
      <c r="C52" s="154">
        <v>0.0</v>
      </c>
      <c r="D52" s="154">
        <v>0.0</v>
      </c>
      <c r="E52" s="154">
        <v>1.0</v>
      </c>
      <c r="F52" s="154">
        <v>4.0</v>
      </c>
      <c r="G52" s="154">
        <v>71.0</v>
      </c>
      <c r="H52" s="154">
        <f t="shared" si="240"/>
        <v>76</v>
      </c>
      <c r="I52" s="154">
        <v>174.0</v>
      </c>
      <c r="J52" s="154">
        <v>258.0</v>
      </c>
      <c r="K52" s="154">
        <v>577.0</v>
      </c>
      <c r="L52" s="156">
        <f t="shared" si="241"/>
        <v>1009</v>
      </c>
      <c r="M52" s="154">
        <v>651.0</v>
      </c>
      <c r="N52" s="154">
        <v>52.0</v>
      </c>
      <c r="O52" s="154">
        <v>0.0</v>
      </c>
      <c r="P52" s="156">
        <f t="shared" si="242"/>
        <v>703</v>
      </c>
      <c r="Q52" s="154">
        <v>57.0</v>
      </c>
      <c r="R52" s="154">
        <v>1565.0</v>
      </c>
      <c r="S52" s="154">
        <v>1296.0</v>
      </c>
      <c r="T52" s="156">
        <f t="shared" si="243"/>
        <v>2918</v>
      </c>
      <c r="U52" s="154">
        <v>884.0</v>
      </c>
      <c r="V52" s="154">
        <v>3242.0</v>
      </c>
      <c r="W52" s="154">
        <v>10489.0</v>
      </c>
      <c r="X52" s="156">
        <f t="shared" si="244"/>
        <v>14615</v>
      </c>
      <c r="Y52" s="156">
        <f t="shared" si="245"/>
        <v>19245</v>
      </c>
      <c r="Z52" s="154">
        <v>3072.0</v>
      </c>
      <c r="AA52" s="154">
        <v>487.0</v>
      </c>
      <c r="AB52" s="154">
        <v>4741.0</v>
      </c>
      <c r="AC52" s="156">
        <f t="shared" si="246"/>
        <v>8300</v>
      </c>
      <c r="AD52" s="154">
        <v>17418.0</v>
      </c>
      <c r="AE52" s="154">
        <v>25338.0</v>
      </c>
      <c r="AF52" s="154">
        <v>3979.0</v>
      </c>
      <c r="AG52" s="156">
        <f t="shared" si="247"/>
        <v>46735</v>
      </c>
      <c r="AH52" s="154">
        <v>3060.0</v>
      </c>
      <c r="AI52" s="154">
        <v>1318.0</v>
      </c>
      <c r="AJ52" s="154">
        <v>1847.0</v>
      </c>
      <c r="AK52" s="156">
        <f t="shared" si="248"/>
        <v>6225</v>
      </c>
      <c r="AL52" s="154">
        <v>2521.0</v>
      </c>
      <c r="AM52" s="154">
        <v>1797.0</v>
      </c>
      <c r="AN52" s="154">
        <v>898.0</v>
      </c>
      <c r="AO52" s="156">
        <f t="shared" si="249"/>
        <v>5216</v>
      </c>
      <c r="AP52" s="156">
        <f t="shared" si="250"/>
        <v>66476</v>
      </c>
      <c r="AQ52" s="154">
        <v>1870.0</v>
      </c>
      <c r="AR52" s="154">
        <v>1549.0</v>
      </c>
      <c r="AS52" s="154">
        <v>2114.0</v>
      </c>
      <c r="AT52" s="154">
        <f t="shared" si="251"/>
        <v>5533</v>
      </c>
      <c r="AU52" s="154">
        <v>1075.0</v>
      </c>
      <c r="AV52" s="154">
        <v>575.0</v>
      </c>
      <c r="AW52" s="154">
        <v>320.0</v>
      </c>
      <c r="AX52" s="154">
        <f t="shared" si="252"/>
        <v>1970</v>
      </c>
      <c r="AY52" s="154">
        <v>1928.0</v>
      </c>
      <c r="AZ52" s="154">
        <v>2200.0</v>
      </c>
      <c r="BA52" s="154">
        <v>2204.0</v>
      </c>
      <c r="BB52" s="154">
        <f t="shared" si="253"/>
        <v>6332</v>
      </c>
      <c r="BC52" s="154">
        <v>967.0</v>
      </c>
      <c r="BD52" s="154">
        <v>1344.0</v>
      </c>
      <c r="BE52" s="154">
        <v>802.0</v>
      </c>
      <c r="BF52" s="154">
        <f t="shared" si="254"/>
        <v>3113</v>
      </c>
      <c r="BG52" s="154">
        <f t="shared" si="255"/>
        <v>16948</v>
      </c>
      <c r="BH52" s="154">
        <v>978.0</v>
      </c>
      <c r="BI52" s="154">
        <v>1276.0</v>
      </c>
      <c r="BJ52" s="154">
        <v>1001.0</v>
      </c>
      <c r="BK52" s="154">
        <f t="shared" si="256"/>
        <v>3255</v>
      </c>
      <c r="BL52" s="154">
        <v>1354.0</v>
      </c>
      <c r="BM52" s="154">
        <v>2161.0</v>
      </c>
      <c r="BN52" s="154">
        <v>944.0</v>
      </c>
      <c r="BO52" s="154">
        <f t="shared" si="257"/>
        <v>4459</v>
      </c>
      <c r="BP52" s="154">
        <v>671.0</v>
      </c>
      <c r="BQ52" s="154">
        <v>1422.0</v>
      </c>
      <c r="BR52" s="154">
        <v>1284.0</v>
      </c>
      <c r="BS52" s="154">
        <f t="shared" si="258"/>
        <v>3377</v>
      </c>
      <c r="BT52" s="154">
        <v>987.0</v>
      </c>
      <c r="BU52" s="154">
        <v>880.0</v>
      </c>
      <c r="BV52" s="154">
        <v>473.0</v>
      </c>
      <c r="BW52" s="154">
        <f t="shared" si="259"/>
        <v>2340</v>
      </c>
      <c r="BX52" s="154">
        <f t="shared" si="260"/>
        <v>13431</v>
      </c>
      <c r="BY52" s="154">
        <v>1233.0</v>
      </c>
      <c r="BZ52" s="154">
        <v>1233.0</v>
      </c>
      <c r="CA52" s="154">
        <f t="shared" si="261"/>
        <v>0</v>
      </c>
      <c r="CB52" s="154">
        <v>1238.0</v>
      </c>
      <c r="CC52" s="154">
        <v>1238.0</v>
      </c>
      <c r="CD52" s="154">
        <f t="shared" si="262"/>
        <v>0</v>
      </c>
      <c r="CE52" s="154">
        <v>7.0</v>
      </c>
      <c r="CF52" s="154">
        <v>946.0</v>
      </c>
      <c r="CG52" s="154">
        <f t="shared" si="263"/>
        <v>939</v>
      </c>
      <c r="CH52" s="154">
        <f t="shared" si="264"/>
        <v>5895</v>
      </c>
      <c r="CI52" s="152">
        <v>461.0</v>
      </c>
      <c r="CJ52" s="154">
        <v>557.0</v>
      </c>
      <c r="CK52" s="154">
        <f t="shared" si="265"/>
        <v>96</v>
      </c>
      <c r="CL52" s="154">
        <v>527.0</v>
      </c>
      <c r="CM52" s="154">
        <v>527.0</v>
      </c>
      <c r="CN52" s="154">
        <f t="shared" si="266"/>
        <v>0</v>
      </c>
      <c r="CO52" s="154">
        <v>2090.0</v>
      </c>
      <c r="CP52" s="154">
        <v>2101.0</v>
      </c>
      <c r="CQ52" s="154">
        <f t="shared" si="267"/>
        <v>11</v>
      </c>
      <c r="CR52" s="154">
        <f t="shared" si="268"/>
        <v>4258</v>
      </c>
      <c r="CS52" s="154">
        <v>551.0</v>
      </c>
      <c r="CT52" s="154">
        <f t="shared" si="269"/>
        <v>1046</v>
      </c>
      <c r="CU52" s="154">
        <f t="shared" si="270"/>
        <v>1597</v>
      </c>
      <c r="CV52" s="154"/>
      <c r="CW52" s="154"/>
      <c r="CX52" s="154">
        <f t="shared" si="271"/>
        <v>3194</v>
      </c>
      <c r="CY52" s="154"/>
      <c r="CZ52" s="154"/>
      <c r="DA52" s="154"/>
      <c r="DB52" s="154">
        <f t="shared" si="272"/>
        <v>0</v>
      </c>
      <c r="DC52" s="154">
        <f t="shared" si="273"/>
        <v>13347</v>
      </c>
      <c r="DD52" s="154">
        <f t="shared" si="274"/>
        <v>141265</v>
      </c>
      <c r="DE52" s="6"/>
      <c r="DF52" s="6"/>
      <c r="DG52" s="6"/>
      <c r="DH52" s="6"/>
      <c r="DI52" s="6"/>
      <c r="DJ52" s="6"/>
      <c r="DK52" s="6"/>
      <c r="DL52" s="6"/>
    </row>
    <row r="53" ht="15.75" customHeight="1">
      <c r="A53" s="167" t="s">
        <v>123</v>
      </c>
      <c r="B53" s="154">
        <v>827.0</v>
      </c>
      <c r="C53" s="154">
        <v>0.0</v>
      </c>
      <c r="D53" s="154">
        <v>0.0</v>
      </c>
      <c r="E53" s="154">
        <v>0.0</v>
      </c>
      <c r="F53" s="154">
        <v>2.0</v>
      </c>
      <c r="G53" s="154">
        <v>11.0</v>
      </c>
      <c r="H53" s="154">
        <f t="shared" si="240"/>
        <v>13</v>
      </c>
      <c r="I53" s="154">
        <v>77.0</v>
      </c>
      <c r="J53" s="154">
        <v>30.0</v>
      </c>
      <c r="K53" s="154">
        <v>96.0</v>
      </c>
      <c r="L53" s="156">
        <f t="shared" si="241"/>
        <v>203</v>
      </c>
      <c r="M53" s="154">
        <v>39.0</v>
      </c>
      <c r="N53" s="154">
        <v>21.0</v>
      </c>
      <c r="O53" s="154">
        <v>0.0</v>
      </c>
      <c r="P53" s="156">
        <f t="shared" si="242"/>
        <v>60</v>
      </c>
      <c r="Q53" s="154">
        <v>31.0</v>
      </c>
      <c r="R53" s="154">
        <v>560.0</v>
      </c>
      <c r="S53" s="154">
        <v>232.0</v>
      </c>
      <c r="T53" s="156">
        <f t="shared" si="243"/>
        <v>823</v>
      </c>
      <c r="U53" s="154">
        <v>210.0</v>
      </c>
      <c r="V53" s="154">
        <v>2056.0</v>
      </c>
      <c r="W53" s="154">
        <v>320.0</v>
      </c>
      <c r="X53" s="156">
        <f t="shared" si="244"/>
        <v>2586</v>
      </c>
      <c r="Y53" s="156">
        <f t="shared" si="245"/>
        <v>3672</v>
      </c>
      <c r="Z53" s="154">
        <v>889.0</v>
      </c>
      <c r="AA53" s="154">
        <v>55.0</v>
      </c>
      <c r="AB53" s="154">
        <v>909.0</v>
      </c>
      <c r="AC53" s="156">
        <f t="shared" si="246"/>
        <v>1853</v>
      </c>
      <c r="AD53" s="154">
        <v>303.0</v>
      </c>
      <c r="AE53" s="154">
        <v>418.0</v>
      </c>
      <c r="AF53" s="154">
        <v>1049.0</v>
      </c>
      <c r="AG53" s="156">
        <f t="shared" si="247"/>
        <v>1770</v>
      </c>
      <c r="AH53" s="154">
        <v>456.0</v>
      </c>
      <c r="AI53" s="154">
        <v>216.0</v>
      </c>
      <c r="AJ53" s="154">
        <v>427.0</v>
      </c>
      <c r="AK53" s="156">
        <f t="shared" si="248"/>
        <v>1099</v>
      </c>
      <c r="AL53" s="154">
        <v>321.0</v>
      </c>
      <c r="AM53" s="154">
        <v>541.0</v>
      </c>
      <c r="AN53" s="154">
        <v>323.0</v>
      </c>
      <c r="AO53" s="156">
        <f t="shared" si="249"/>
        <v>1185</v>
      </c>
      <c r="AP53" s="156">
        <f t="shared" si="250"/>
        <v>5907</v>
      </c>
      <c r="AQ53" s="154">
        <v>564.0</v>
      </c>
      <c r="AR53" s="154">
        <v>1050.0</v>
      </c>
      <c r="AS53" s="154">
        <v>686.0</v>
      </c>
      <c r="AT53" s="154">
        <f t="shared" si="251"/>
        <v>2300</v>
      </c>
      <c r="AU53" s="154">
        <v>109.0</v>
      </c>
      <c r="AV53" s="154">
        <v>272.0</v>
      </c>
      <c r="AW53" s="154">
        <v>153.0</v>
      </c>
      <c r="AX53" s="154">
        <f t="shared" si="252"/>
        <v>534</v>
      </c>
      <c r="AY53" s="154">
        <v>318.0</v>
      </c>
      <c r="AZ53" s="154">
        <v>263.0</v>
      </c>
      <c r="BA53" s="154">
        <v>475.0</v>
      </c>
      <c r="BB53" s="154">
        <f t="shared" si="253"/>
        <v>1056</v>
      </c>
      <c r="BC53" s="154">
        <v>203.0</v>
      </c>
      <c r="BD53" s="154">
        <v>270.0</v>
      </c>
      <c r="BE53" s="154">
        <v>273.0</v>
      </c>
      <c r="BF53" s="154">
        <f t="shared" si="254"/>
        <v>746</v>
      </c>
      <c r="BG53" s="154">
        <f t="shared" si="255"/>
        <v>4636</v>
      </c>
      <c r="BH53" s="154">
        <v>636.0</v>
      </c>
      <c r="BI53" s="154">
        <v>172.0</v>
      </c>
      <c r="BJ53" s="154">
        <v>232.0</v>
      </c>
      <c r="BK53" s="154">
        <f t="shared" si="256"/>
        <v>1040</v>
      </c>
      <c r="BL53" s="154">
        <v>244.0</v>
      </c>
      <c r="BM53" s="154">
        <v>192.0</v>
      </c>
      <c r="BN53" s="154">
        <v>79.0</v>
      </c>
      <c r="BO53" s="154">
        <f t="shared" si="257"/>
        <v>515</v>
      </c>
      <c r="BP53" s="154">
        <v>0.0</v>
      </c>
      <c r="BQ53" s="154">
        <v>35.0</v>
      </c>
      <c r="BR53" s="154">
        <v>127.0</v>
      </c>
      <c r="BS53" s="154">
        <f t="shared" si="258"/>
        <v>162</v>
      </c>
      <c r="BT53" s="154">
        <v>43.0</v>
      </c>
      <c r="BU53" s="154">
        <v>107.0</v>
      </c>
      <c r="BV53" s="154">
        <v>95.0</v>
      </c>
      <c r="BW53" s="154">
        <f t="shared" si="259"/>
        <v>245</v>
      </c>
      <c r="BX53" s="154">
        <f t="shared" si="260"/>
        <v>1962</v>
      </c>
      <c r="BY53" s="154">
        <v>389.0</v>
      </c>
      <c r="BZ53" s="154">
        <v>389.0</v>
      </c>
      <c r="CA53" s="154">
        <f t="shared" si="261"/>
        <v>0</v>
      </c>
      <c r="CB53" s="154">
        <v>124.0</v>
      </c>
      <c r="CC53" s="154">
        <v>124.0</v>
      </c>
      <c r="CD53" s="154">
        <f t="shared" si="262"/>
        <v>0</v>
      </c>
      <c r="CE53" s="154">
        <v>3.0</v>
      </c>
      <c r="CF53" s="154">
        <v>87.0</v>
      </c>
      <c r="CG53" s="154">
        <f t="shared" si="263"/>
        <v>84</v>
      </c>
      <c r="CH53" s="154">
        <f t="shared" si="264"/>
        <v>1116</v>
      </c>
      <c r="CI53" s="152">
        <v>129.0</v>
      </c>
      <c r="CJ53" s="154">
        <v>132.0</v>
      </c>
      <c r="CK53" s="154">
        <f t="shared" si="265"/>
        <v>3</v>
      </c>
      <c r="CL53" s="154">
        <v>135.0</v>
      </c>
      <c r="CM53" s="154">
        <v>135.0</v>
      </c>
      <c r="CN53" s="154">
        <f t="shared" si="266"/>
        <v>0</v>
      </c>
      <c r="CO53" s="154">
        <v>672.0</v>
      </c>
      <c r="CP53" s="154">
        <v>694.0</v>
      </c>
      <c r="CQ53" s="154">
        <f t="shared" si="267"/>
        <v>22</v>
      </c>
      <c r="CR53" s="154">
        <f t="shared" si="268"/>
        <v>1206</v>
      </c>
      <c r="CS53" s="154">
        <v>68.0</v>
      </c>
      <c r="CT53" s="154">
        <f t="shared" si="269"/>
        <v>109</v>
      </c>
      <c r="CU53" s="154">
        <f t="shared" si="270"/>
        <v>177</v>
      </c>
      <c r="CV53" s="154"/>
      <c r="CW53" s="154"/>
      <c r="CX53" s="154">
        <f t="shared" si="271"/>
        <v>354</v>
      </c>
      <c r="CY53" s="154"/>
      <c r="CZ53" s="154"/>
      <c r="DA53" s="154"/>
      <c r="DB53" s="154">
        <f t="shared" si="272"/>
        <v>0</v>
      </c>
      <c r="DC53" s="154">
        <f t="shared" si="273"/>
        <v>2676</v>
      </c>
      <c r="DD53" s="154">
        <f t="shared" si="274"/>
        <v>19693</v>
      </c>
      <c r="DE53" s="6"/>
      <c r="DF53" s="6"/>
      <c r="DG53" s="6"/>
      <c r="DH53" s="6"/>
      <c r="DI53" s="6"/>
      <c r="DJ53" s="6"/>
      <c r="DK53" s="6"/>
      <c r="DL53" s="6"/>
    </row>
    <row r="54" ht="15.75" customHeight="1">
      <c r="A54" s="167" t="s">
        <v>124</v>
      </c>
      <c r="B54" s="154">
        <v>2669.0</v>
      </c>
      <c r="C54" s="154">
        <v>0.0</v>
      </c>
      <c r="D54" s="154">
        <v>0.0</v>
      </c>
      <c r="E54" s="154">
        <v>2.0</v>
      </c>
      <c r="F54" s="154">
        <v>36.0</v>
      </c>
      <c r="G54" s="154">
        <v>38.0</v>
      </c>
      <c r="H54" s="154">
        <f t="shared" si="240"/>
        <v>76</v>
      </c>
      <c r="I54" s="154">
        <v>71.0</v>
      </c>
      <c r="J54" s="154">
        <v>70.0</v>
      </c>
      <c r="K54" s="154">
        <v>157.0</v>
      </c>
      <c r="L54" s="156">
        <f t="shared" si="241"/>
        <v>298</v>
      </c>
      <c r="M54" s="154">
        <v>126.0</v>
      </c>
      <c r="N54" s="154">
        <v>26.0</v>
      </c>
      <c r="O54" s="154">
        <v>0.0</v>
      </c>
      <c r="P54" s="156">
        <f t="shared" si="242"/>
        <v>152</v>
      </c>
      <c r="Q54" s="154">
        <v>73.0</v>
      </c>
      <c r="R54" s="154">
        <v>434.0</v>
      </c>
      <c r="S54" s="154">
        <v>324.0</v>
      </c>
      <c r="T54" s="156">
        <f t="shared" si="243"/>
        <v>831</v>
      </c>
      <c r="U54" s="154">
        <v>229.0</v>
      </c>
      <c r="V54" s="154">
        <v>4506.0</v>
      </c>
      <c r="W54" s="154">
        <v>1435.0</v>
      </c>
      <c r="X54" s="156">
        <f t="shared" si="244"/>
        <v>6170</v>
      </c>
      <c r="Y54" s="156">
        <f t="shared" si="245"/>
        <v>7451</v>
      </c>
      <c r="Z54" s="154">
        <v>732.0</v>
      </c>
      <c r="AA54" s="154">
        <v>187.0</v>
      </c>
      <c r="AB54" s="154">
        <v>280.0</v>
      </c>
      <c r="AC54" s="156">
        <f t="shared" si="246"/>
        <v>1199</v>
      </c>
      <c r="AD54" s="154">
        <v>428.0</v>
      </c>
      <c r="AE54" s="154">
        <v>145.0</v>
      </c>
      <c r="AF54" s="154">
        <v>730.0</v>
      </c>
      <c r="AG54" s="156">
        <f t="shared" si="247"/>
        <v>1303</v>
      </c>
      <c r="AH54" s="154">
        <v>2583.0</v>
      </c>
      <c r="AI54" s="154">
        <v>2938.0</v>
      </c>
      <c r="AJ54" s="154">
        <v>3329.0</v>
      </c>
      <c r="AK54" s="156">
        <f t="shared" si="248"/>
        <v>8850</v>
      </c>
      <c r="AL54" s="154">
        <v>893.0</v>
      </c>
      <c r="AM54" s="154">
        <v>862.0</v>
      </c>
      <c r="AN54" s="154">
        <v>654.0</v>
      </c>
      <c r="AO54" s="156">
        <f t="shared" si="249"/>
        <v>2409</v>
      </c>
      <c r="AP54" s="156">
        <f t="shared" si="250"/>
        <v>13761</v>
      </c>
      <c r="AQ54" s="154">
        <v>676.0</v>
      </c>
      <c r="AR54" s="154">
        <v>1674.0</v>
      </c>
      <c r="AS54" s="154">
        <v>3102.0</v>
      </c>
      <c r="AT54" s="154">
        <f t="shared" si="251"/>
        <v>5452</v>
      </c>
      <c r="AU54" s="154">
        <v>211.0</v>
      </c>
      <c r="AV54" s="154">
        <v>310.0</v>
      </c>
      <c r="AW54" s="154">
        <v>133.0</v>
      </c>
      <c r="AX54" s="154">
        <f t="shared" si="252"/>
        <v>654</v>
      </c>
      <c r="AY54" s="154">
        <v>699.0</v>
      </c>
      <c r="AZ54" s="154">
        <v>954.0</v>
      </c>
      <c r="BA54" s="154">
        <v>1400.0</v>
      </c>
      <c r="BB54" s="154">
        <f t="shared" si="253"/>
        <v>3053</v>
      </c>
      <c r="BC54" s="154">
        <v>698.0</v>
      </c>
      <c r="BD54" s="154">
        <v>1615.0</v>
      </c>
      <c r="BE54" s="154">
        <v>1101.0</v>
      </c>
      <c r="BF54" s="154">
        <f t="shared" si="254"/>
        <v>3414</v>
      </c>
      <c r="BG54" s="154">
        <f t="shared" si="255"/>
        <v>12573</v>
      </c>
      <c r="BH54" s="154">
        <v>900.0</v>
      </c>
      <c r="BI54" s="154">
        <v>1394.0</v>
      </c>
      <c r="BJ54" s="154">
        <v>939.0</v>
      </c>
      <c r="BK54" s="154">
        <f t="shared" si="256"/>
        <v>3233</v>
      </c>
      <c r="BL54" s="154">
        <v>696.0</v>
      </c>
      <c r="BM54" s="154">
        <v>1787.0</v>
      </c>
      <c r="BN54" s="154">
        <v>243.0</v>
      </c>
      <c r="BO54" s="154">
        <f t="shared" si="257"/>
        <v>2726</v>
      </c>
      <c r="BP54" s="154">
        <v>1315.0</v>
      </c>
      <c r="BQ54" s="154">
        <v>488.0</v>
      </c>
      <c r="BR54" s="154">
        <v>1098.0</v>
      </c>
      <c r="BS54" s="154">
        <f t="shared" si="258"/>
        <v>2901</v>
      </c>
      <c r="BT54" s="154">
        <v>613.0</v>
      </c>
      <c r="BU54" s="154">
        <v>874.0</v>
      </c>
      <c r="BV54" s="154">
        <v>305.0</v>
      </c>
      <c r="BW54" s="154">
        <f t="shared" si="259"/>
        <v>1792</v>
      </c>
      <c r="BX54" s="154">
        <f t="shared" si="260"/>
        <v>10652</v>
      </c>
      <c r="BY54" s="154">
        <v>912.0</v>
      </c>
      <c r="BZ54" s="154">
        <v>912.0</v>
      </c>
      <c r="CA54" s="154">
        <f t="shared" si="261"/>
        <v>0</v>
      </c>
      <c r="CB54" s="154">
        <v>709.0</v>
      </c>
      <c r="CC54" s="154">
        <v>709.0</v>
      </c>
      <c r="CD54" s="154">
        <f t="shared" si="262"/>
        <v>0</v>
      </c>
      <c r="CE54" s="154">
        <v>104.0</v>
      </c>
      <c r="CF54" s="154">
        <v>1170.0</v>
      </c>
      <c r="CG54" s="154">
        <f t="shared" si="263"/>
        <v>1066</v>
      </c>
      <c r="CH54" s="154">
        <f t="shared" si="264"/>
        <v>4516</v>
      </c>
      <c r="CI54" s="152">
        <v>449.0</v>
      </c>
      <c r="CJ54" s="154">
        <v>685.0</v>
      </c>
      <c r="CK54" s="154">
        <f t="shared" si="265"/>
        <v>236</v>
      </c>
      <c r="CL54" s="154">
        <v>837.0</v>
      </c>
      <c r="CM54" s="154">
        <v>837.0</v>
      </c>
      <c r="CN54" s="154">
        <f t="shared" si="266"/>
        <v>0</v>
      </c>
      <c r="CO54" s="154">
        <v>1811.0</v>
      </c>
      <c r="CP54" s="154">
        <v>1833.0</v>
      </c>
      <c r="CQ54" s="154">
        <f t="shared" si="267"/>
        <v>22</v>
      </c>
      <c r="CR54" s="154">
        <f t="shared" si="268"/>
        <v>4855</v>
      </c>
      <c r="CS54" s="154">
        <v>437.0</v>
      </c>
      <c r="CT54" s="154">
        <f t="shared" si="269"/>
        <v>1324</v>
      </c>
      <c r="CU54" s="154">
        <f t="shared" si="270"/>
        <v>1761</v>
      </c>
      <c r="CV54" s="154"/>
      <c r="CW54" s="154"/>
      <c r="CX54" s="154">
        <f t="shared" si="271"/>
        <v>3522</v>
      </c>
      <c r="CY54" s="154"/>
      <c r="CZ54" s="154"/>
      <c r="DA54" s="154"/>
      <c r="DB54" s="154">
        <f t="shared" si="272"/>
        <v>0</v>
      </c>
      <c r="DC54" s="154">
        <f t="shared" si="273"/>
        <v>12893</v>
      </c>
      <c r="DD54" s="154">
        <f t="shared" si="274"/>
        <v>60075</v>
      </c>
      <c r="DE54" s="6"/>
      <c r="DF54" s="6"/>
      <c r="DG54" s="6"/>
      <c r="DH54" s="6"/>
      <c r="DI54" s="6"/>
      <c r="DJ54" s="6"/>
      <c r="DK54" s="6"/>
      <c r="DL54" s="6"/>
    </row>
    <row r="55" ht="15.75" customHeight="1">
      <c r="A55" s="167" t="s">
        <v>125</v>
      </c>
      <c r="B55" s="154">
        <v>1149.0</v>
      </c>
      <c r="C55" s="154">
        <v>0.0</v>
      </c>
      <c r="D55" s="154">
        <v>0.0</v>
      </c>
      <c r="E55" s="154">
        <v>3.0</v>
      </c>
      <c r="F55" s="154">
        <v>6.0</v>
      </c>
      <c r="G55" s="154">
        <v>181.0</v>
      </c>
      <c r="H55" s="154">
        <f t="shared" si="240"/>
        <v>190</v>
      </c>
      <c r="I55" s="154">
        <v>211.0</v>
      </c>
      <c r="J55" s="154">
        <v>89.0</v>
      </c>
      <c r="K55" s="154">
        <v>243.0</v>
      </c>
      <c r="L55" s="156">
        <f t="shared" si="241"/>
        <v>543</v>
      </c>
      <c r="M55" s="154">
        <v>188.0</v>
      </c>
      <c r="N55" s="154">
        <v>37.0</v>
      </c>
      <c r="O55" s="154">
        <v>0.0</v>
      </c>
      <c r="P55" s="156">
        <f t="shared" si="242"/>
        <v>225</v>
      </c>
      <c r="Q55" s="154">
        <v>54.0</v>
      </c>
      <c r="R55" s="154">
        <v>502.0</v>
      </c>
      <c r="S55" s="154">
        <v>519.0</v>
      </c>
      <c r="T55" s="156">
        <f t="shared" si="243"/>
        <v>1075</v>
      </c>
      <c r="U55" s="154">
        <v>687.0</v>
      </c>
      <c r="V55" s="154">
        <v>3932.0</v>
      </c>
      <c r="W55" s="154">
        <v>758.0</v>
      </c>
      <c r="X55" s="156">
        <f t="shared" si="244"/>
        <v>5377</v>
      </c>
      <c r="Y55" s="156">
        <f t="shared" si="245"/>
        <v>7220</v>
      </c>
      <c r="Z55" s="154">
        <v>519.0</v>
      </c>
      <c r="AA55" s="154">
        <v>153.0</v>
      </c>
      <c r="AB55" s="154">
        <v>795.0</v>
      </c>
      <c r="AC55" s="156">
        <f t="shared" si="246"/>
        <v>1467</v>
      </c>
      <c r="AD55" s="154">
        <v>869.0</v>
      </c>
      <c r="AE55" s="154">
        <v>803.0</v>
      </c>
      <c r="AF55" s="154">
        <v>2206.0</v>
      </c>
      <c r="AG55" s="156">
        <f t="shared" si="247"/>
        <v>3878</v>
      </c>
      <c r="AH55" s="154">
        <v>1284.0</v>
      </c>
      <c r="AI55" s="154">
        <v>478.0</v>
      </c>
      <c r="AJ55" s="154">
        <v>1124.0</v>
      </c>
      <c r="AK55" s="156">
        <f t="shared" si="248"/>
        <v>2886</v>
      </c>
      <c r="AL55" s="154">
        <v>225.0</v>
      </c>
      <c r="AM55" s="154">
        <v>1013.0</v>
      </c>
      <c r="AN55" s="154">
        <v>885.0</v>
      </c>
      <c r="AO55" s="156">
        <f t="shared" si="249"/>
        <v>2123</v>
      </c>
      <c r="AP55" s="156">
        <f t="shared" si="250"/>
        <v>10354</v>
      </c>
      <c r="AQ55" s="154">
        <v>522.0</v>
      </c>
      <c r="AR55" s="154">
        <v>864.0</v>
      </c>
      <c r="AS55" s="154">
        <v>845.0</v>
      </c>
      <c r="AT55" s="154">
        <f t="shared" si="251"/>
        <v>2231</v>
      </c>
      <c r="AU55" s="154">
        <v>142.0</v>
      </c>
      <c r="AV55" s="154">
        <v>173.0</v>
      </c>
      <c r="AW55" s="154">
        <v>78.0</v>
      </c>
      <c r="AX55" s="154">
        <f t="shared" si="252"/>
        <v>393</v>
      </c>
      <c r="AY55" s="154">
        <v>377.0</v>
      </c>
      <c r="AZ55" s="154">
        <v>461.0</v>
      </c>
      <c r="BA55" s="154">
        <v>340.0</v>
      </c>
      <c r="BB55" s="154">
        <f t="shared" si="253"/>
        <v>1178</v>
      </c>
      <c r="BC55" s="154">
        <v>279.0</v>
      </c>
      <c r="BD55" s="154">
        <v>793.0</v>
      </c>
      <c r="BE55" s="154">
        <v>600.0</v>
      </c>
      <c r="BF55" s="154">
        <f t="shared" si="254"/>
        <v>1672</v>
      </c>
      <c r="BG55" s="154">
        <f t="shared" si="255"/>
        <v>5474</v>
      </c>
      <c r="BH55" s="154">
        <v>263.0</v>
      </c>
      <c r="BI55" s="154">
        <v>490.0</v>
      </c>
      <c r="BJ55" s="154">
        <v>479.0</v>
      </c>
      <c r="BK55" s="154">
        <f t="shared" si="256"/>
        <v>1232</v>
      </c>
      <c r="BL55" s="154">
        <v>434.0</v>
      </c>
      <c r="BM55" s="154">
        <v>805.0</v>
      </c>
      <c r="BN55" s="154">
        <v>168.0</v>
      </c>
      <c r="BO55" s="154">
        <f t="shared" si="257"/>
        <v>1407</v>
      </c>
      <c r="BP55" s="154">
        <v>729.0</v>
      </c>
      <c r="BQ55" s="154">
        <v>545.0</v>
      </c>
      <c r="BR55" s="154">
        <v>287.0</v>
      </c>
      <c r="BS55" s="154">
        <f t="shared" si="258"/>
        <v>1561</v>
      </c>
      <c r="BT55" s="154">
        <v>204.0</v>
      </c>
      <c r="BU55" s="154">
        <v>323.0</v>
      </c>
      <c r="BV55" s="154">
        <v>468.0</v>
      </c>
      <c r="BW55" s="154">
        <f t="shared" si="259"/>
        <v>995</v>
      </c>
      <c r="BX55" s="154">
        <f t="shared" si="260"/>
        <v>5195</v>
      </c>
      <c r="BY55" s="154">
        <v>296.0</v>
      </c>
      <c r="BZ55" s="154">
        <v>296.0</v>
      </c>
      <c r="CA55" s="154">
        <f t="shared" si="261"/>
        <v>0</v>
      </c>
      <c r="CB55" s="154">
        <v>351.0</v>
      </c>
      <c r="CC55" s="154">
        <v>351.0</v>
      </c>
      <c r="CD55" s="154">
        <f t="shared" si="262"/>
        <v>0</v>
      </c>
      <c r="CE55" s="154">
        <v>29.0</v>
      </c>
      <c r="CF55" s="154">
        <v>560.0</v>
      </c>
      <c r="CG55" s="154">
        <f t="shared" si="263"/>
        <v>531</v>
      </c>
      <c r="CH55" s="154">
        <f t="shared" si="264"/>
        <v>1883</v>
      </c>
      <c r="CI55" s="152">
        <v>148.0</v>
      </c>
      <c r="CJ55" s="154">
        <v>342.0</v>
      </c>
      <c r="CK55" s="154">
        <f t="shared" si="265"/>
        <v>194</v>
      </c>
      <c r="CL55" s="154">
        <v>401.0</v>
      </c>
      <c r="CM55" s="154">
        <v>401.0</v>
      </c>
      <c r="CN55" s="154">
        <f t="shared" si="266"/>
        <v>0</v>
      </c>
      <c r="CO55" s="154">
        <v>845.0</v>
      </c>
      <c r="CP55" s="154">
        <v>875.0</v>
      </c>
      <c r="CQ55" s="154">
        <f t="shared" si="267"/>
        <v>30</v>
      </c>
      <c r="CR55" s="154">
        <f t="shared" si="268"/>
        <v>2331</v>
      </c>
      <c r="CS55" s="154">
        <v>493.0</v>
      </c>
      <c r="CT55" s="154">
        <f t="shared" si="269"/>
        <v>755</v>
      </c>
      <c r="CU55" s="154">
        <f t="shared" si="270"/>
        <v>1248</v>
      </c>
      <c r="CV55" s="154"/>
      <c r="CW55" s="154"/>
      <c r="CX55" s="154">
        <f t="shared" si="271"/>
        <v>2496</v>
      </c>
      <c r="CY55" s="154"/>
      <c r="CZ55" s="154"/>
      <c r="DA55" s="154"/>
      <c r="DB55" s="154">
        <f t="shared" si="272"/>
        <v>0</v>
      </c>
      <c r="DC55" s="154">
        <f t="shared" si="273"/>
        <v>6710</v>
      </c>
      <c r="DD55" s="154">
        <f t="shared" si="274"/>
        <v>36292</v>
      </c>
      <c r="DE55" s="6"/>
      <c r="DF55" s="6"/>
      <c r="DG55" s="6"/>
      <c r="DH55" s="6"/>
      <c r="DI55" s="6"/>
      <c r="DJ55" s="6"/>
      <c r="DK55" s="6"/>
      <c r="DL55" s="6"/>
    </row>
    <row r="56" ht="15.75" customHeight="1">
      <c r="A56" s="137" t="s">
        <v>126</v>
      </c>
      <c r="B56" s="141">
        <f t="shared" ref="B56:DD56" si="275">SUM(B57:B62)</f>
        <v>37562</v>
      </c>
      <c r="C56" s="141">
        <f t="shared" si="275"/>
        <v>0</v>
      </c>
      <c r="D56" s="141">
        <f t="shared" si="275"/>
        <v>0</v>
      </c>
      <c r="E56" s="141">
        <f t="shared" si="275"/>
        <v>3</v>
      </c>
      <c r="F56" s="141">
        <f t="shared" si="275"/>
        <v>694</v>
      </c>
      <c r="G56" s="141">
        <f t="shared" si="275"/>
        <v>1062</v>
      </c>
      <c r="H56" s="141">
        <f t="shared" si="275"/>
        <v>1759</v>
      </c>
      <c r="I56" s="141">
        <f t="shared" si="275"/>
        <v>2776</v>
      </c>
      <c r="J56" s="141">
        <f t="shared" si="275"/>
        <v>842</v>
      </c>
      <c r="K56" s="141">
        <f t="shared" si="275"/>
        <v>983</v>
      </c>
      <c r="L56" s="141">
        <f t="shared" si="275"/>
        <v>4601</v>
      </c>
      <c r="M56" s="141">
        <f t="shared" si="275"/>
        <v>1207</v>
      </c>
      <c r="N56" s="141">
        <f t="shared" si="275"/>
        <v>379</v>
      </c>
      <c r="O56" s="141">
        <f t="shared" si="275"/>
        <v>0</v>
      </c>
      <c r="P56" s="141">
        <f t="shared" si="275"/>
        <v>1586</v>
      </c>
      <c r="Q56" s="141">
        <f t="shared" si="275"/>
        <v>198</v>
      </c>
      <c r="R56" s="141">
        <f t="shared" si="275"/>
        <v>1117</v>
      </c>
      <c r="S56" s="141">
        <f t="shared" si="275"/>
        <v>1297</v>
      </c>
      <c r="T56" s="141">
        <f t="shared" si="275"/>
        <v>2612</v>
      </c>
      <c r="U56" s="141">
        <f t="shared" si="275"/>
        <v>706</v>
      </c>
      <c r="V56" s="141">
        <f t="shared" si="275"/>
        <v>1138</v>
      </c>
      <c r="W56" s="141">
        <f t="shared" si="275"/>
        <v>929</v>
      </c>
      <c r="X56" s="141">
        <f t="shared" si="275"/>
        <v>2773</v>
      </c>
      <c r="Y56" s="141">
        <f t="shared" si="275"/>
        <v>11572</v>
      </c>
      <c r="Z56" s="141">
        <f t="shared" si="275"/>
        <v>811</v>
      </c>
      <c r="AA56" s="141">
        <f t="shared" si="275"/>
        <v>1126</v>
      </c>
      <c r="AB56" s="141">
        <f t="shared" si="275"/>
        <v>686</v>
      </c>
      <c r="AC56" s="142">
        <f t="shared" si="275"/>
        <v>2623</v>
      </c>
      <c r="AD56" s="141">
        <f t="shared" si="275"/>
        <v>710</v>
      </c>
      <c r="AE56" s="141">
        <f t="shared" si="275"/>
        <v>605</v>
      </c>
      <c r="AF56" s="141">
        <f t="shared" si="275"/>
        <v>2104</v>
      </c>
      <c r="AG56" s="142">
        <f t="shared" si="275"/>
        <v>3419</v>
      </c>
      <c r="AH56" s="141">
        <f t="shared" si="275"/>
        <v>3033</v>
      </c>
      <c r="AI56" s="141">
        <f t="shared" si="275"/>
        <v>6273</v>
      </c>
      <c r="AJ56" s="141">
        <f t="shared" si="275"/>
        <v>6823</v>
      </c>
      <c r="AK56" s="142">
        <f t="shared" si="275"/>
        <v>16129</v>
      </c>
      <c r="AL56" s="141">
        <f t="shared" si="275"/>
        <v>1509</v>
      </c>
      <c r="AM56" s="141">
        <f t="shared" si="275"/>
        <v>3722</v>
      </c>
      <c r="AN56" s="141">
        <f t="shared" si="275"/>
        <v>8156</v>
      </c>
      <c r="AO56" s="142">
        <f t="shared" si="275"/>
        <v>13387</v>
      </c>
      <c r="AP56" s="142">
        <f t="shared" si="275"/>
        <v>35558</v>
      </c>
      <c r="AQ56" s="142">
        <f t="shared" si="275"/>
        <v>561</v>
      </c>
      <c r="AR56" s="142">
        <f t="shared" si="275"/>
        <v>475</v>
      </c>
      <c r="AS56" s="142">
        <f t="shared" si="275"/>
        <v>4120</v>
      </c>
      <c r="AT56" s="142">
        <f t="shared" si="275"/>
        <v>5156</v>
      </c>
      <c r="AU56" s="142">
        <f t="shared" si="275"/>
        <v>1455</v>
      </c>
      <c r="AV56" s="142">
        <f t="shared" si="275"/>
        <v>1119</v>
      </c>
      <c r="AW56" s="142">
        <f t="shared" si="275"/>
        <v>20072</v>
      </c>
      <c r="AX56" s="142">
        <f t="shared" si="275"/>
        <v>22646</v>
      </c>
      <c r="AY56" s="142">
        <f t="shared" si="275"/>
        <v>3280</v>
      </c>
      <c r="AZ56" s="142">
        <f t="shared" si="275"/>
        <v>371</v>
      </c>
      <c r="BA56" s="142">
        <f t="shared" si="275"/>
        <v>3827</v>
      </c>
      <c r="BB56" s="142">
        <f t="shared" si="275"/>
        <v>7478</v>
      </c>
      <c r="BC56" s="142">
        <f t="shared" si="275"/>
        <v>1785</v>
      </c>
      <c r="BD56" s="142">
        <f t="shared" si="275"/>
        <v>3710</v>
      </c>
      <c r="BE56" s="142">
        <f t="shared" si="275"/>
        <v>12808</v>
      </c>
      <c r="BF56" s="142">
        <f t="shared" si="275"/>
        <v>18303</v>
      </c>
      <c r="BG56" s="142">
        <f t="shared" si="275"/>
        <v>53583</v>
      </c>
      <c r="BH56" s="142">
        <f t="shared" si="275"/>
        <v>2420</v>
      </c>
      <c r="BI56" s="142">
        <f t="shared" si="275"/>
        <v>3905</v>
      </c>
      <c r="BJ56" s="142">
        <f t="shared" si="275"/>
        <v>4724</v>
      </c>
      <c r="BK56" s="142">
        <f t="shared" si="275"/>
        <v>11049</v>
      </c>
      <c r="BL56" s="142">
        <f t="shared" si="275"/>
        <v>3540</v>
      </c>
      <c r="BM56" s="142">
        <f t="shared" si="275"/>
        <v>3599</v>
      </c>
      <c r="BN56" s="142">
        <f t="shared" si="275"/>
        <v>2658</v>
      </c>
      <c r="BO56" s="142">
        <f t="shared" si="275"/>
        <v>9797</v>
      </c>
      <c r="BP56" s="142">
        <f t="shared" si="275"/>
        <v>1761</v>
      </c>
      <c r="BQ56" s="142">
        <f t="shared" si="275"/>
        <v>1411</v>
      </c>
      <c r="BR56" s="142">
        <f t="shared" si="275"/>
        <v>2390</v>
      </c>
      <c r="BS56" s="142">
        <f t="shared" si="275"/>
        <v>5562</v>
      </c>
      <c r="BT56" s="142">
        <f t="shared" si="275"/>
        <v>2934</v>
      </c>
      <c r="BU56" s="142">
        <f t="shared" si="275"/>
        <v>1552</v>
      </c>
      <c r="BV56" s="142">
        <f t="shared" si="275"/>
        <v>3483</v>
      </c>
      <c r="BW56" s="142">
        <f t="shared" si="275"/>
        <v>7969</v>
      </c>
      <c r="BX56" s="142">
        <f t="shared" si="275"/>
        <v>34377</v>
      </c>
      <c r="BY56" s="141">
        <f t="shared" si="275"/>
        <v>6197</v>
      </c>
      <c r="BZ56" s="141">
        <f t="shared" si="275"/>
        <v>6197</v>
      </c>
      <c r="CA56" s="141">
        <f t="shared" si="275"/>
        <v>0</v>
      </c>
      <c r="CB56" s="141">
        <f t="shared" si="275"/>
        <v>9351</v>
      </c>
      <c r="CC56" s="141">
        <f t="shared" si="275"/>
        <v>9351</v>
      </c>
      <c r="CD56" s="141">
        <f t="shared" si="275"/>
        <v>0</v>
      </c>
      <c r="CE56" s="141">
        <f t="shared" si="275"/>
        <v>948</v>
      </c>
      <c r="CF56" s="141">
        <f t="shared" si="275"/>
        <v>10722</v>
      </c>
      <c r="CG56" s="141">
        <f t="shared" si="275"/>
        <v>9774</v>
      </c>
      <c r="CH56" s="142">
        <f t="shared" si="275"/>
        <v>37558</v>
      </c>
      <c r="CI56" s="141">
        <f t="shared" si="275"/>
        <v>10387</v>
      </c>
      <c r="CJ56" s="141">
        <f t="shared" si="275"/>
        <v>10435</v>
      </c>
      <c r="CK56" s="141">
        <f t="shared" si="275"/>
        <v>48</v>
      </c>
      <c r="CL56" s="141">
        <f t="shared" si="275"/>
        <v>10740</v>
      </c>
      <c r="CM56" s="141">
        <f t="shared" si="275"/>
        <v>10740</v>
      </c>
      <c r="CN56" s="141">
        <f t="shared" si="275"/>
        <v>0</v>
      </c>
      <c r="CO56" s="141">
        <f t="shared" si="275"/>
        <v>9063</v>
      </c>
      <c r="CP56" s="141">
        <f t="shared" si="275"/>
        <v>9209</v>
      </c>
      <c r="CQ56" s="141">
        <f t="shared" si="275"/>
        <v>146</v>
      </c>
      <c r="CR56" s="141">
        <f t="shared" si="275"/>
        <v>51413</v>
      </c>
      <c r="CS56" s="141">
        <f t="shared" si="275"/>
        <v>9477</v>
      </c>
      <c r="CT56" s="141">
        <f t="shared" si="275"/>
        <v>9968</v>
      </c>
      <c r="CU56" s="141">
        <f t="shared" si="275"/>
        <v>19445</v>
      </c>
      <c r="CV56" s="141">
        <f t="shared" si="275"/>
        <v>0</v>
      </c>
      <c r="CW56" s="141">
        <f t="shared" si="275"/>
        <v>0</v>
      </c>
      <c r="CX56" s="141">
        <f t="shared" si="275"/>
        <v>38890</v>
      </c>
      <c r="CY56" s="141">
        <f t="shared" si="275"/>
        <v>0</v>
      </c>
      <c r="CZ56" s="141">
        <f t="shared" si="275"/>
        <v>0</v>
      </c>
      <c r="DA56" s="141">
        <f t="shared" si="275"/>
        <v>0</v>
      </c>
      <c r="DB56" s="141">
        <f t="shared" si="275"/>
        <v>0</v>
      </c>
      <c r="DC56" s="141">
        <f t="shared" si="275"/>
        <v>127861</v>
      </c>
      <c r="DD56" s="141">
        <f t="shared" si="275"/>
        <v>302272</v>
      </c>
      <c r="DE56" s="6"/>
      <c r="DF56" s="24">
        <f>SUM(AK56,AO56,BG56,BX56,DC56)</f>
        <v>245337</v>
      </c>
      <c r="DG56" s="6"/>
      <c r="DH56" s="6"/>
      <c r="DI56" s="6"/>
      <c r="DJ56" s="6"/>
      <c r="DK56" s="6"/>
      <c r="DL56" s="6"/>
    </row>
    <row r="57" ht="15.75" customHeight="1">
      <c r="A57" s="167" t="s">
        <v>127</v>
      </c>
      <c r="B57" s="20">
        <v>0.0</v>
      </c>
      <c r="C57" s="154">
        <v>0.0</v>
      </c>
      <c r="D57" s="154">
        <v>0.0</v>
      </c>
      <c r="E57" s="154">
        <v>1.0</v>
      </c>
      <c r="F57" s="154">
        <v>8.0</v>
      </c>
      <c r="G57" s="154">
        <v>111.0</v>
      </c>
      <c r="H57" s="154">
        <f t="shared" ref="H57:H62" si="276">SUM(C57:G57)</f>
        <v>120</v>
      </c>
      <c r="I57" s="154">
        <v>386.0</v>
      </c>
      <c r="J57" s="154">
        <v>148.0</v>
      </c>
      <c r="K57" s="154">
        <v>214.0</v>
      </c>
      <c r="L57" s="156">
        <f t="shared" ref="L57:L62" si="277">SUM(I57:K57)</f>
        <v>748</v>
      </c>
      <c r="M57" s="154">
        <v>181.0</v>
      </c>
      <c r="N57" s="154">
        <v>24.0</v>
      </c>
      <c r="O57" s="154">
        <v>0.0</v>
      </c>
      <c r="P57" s="156">
        <f t="shared" ref="P57:P62" si="278">SUM(M57:O57)</f>
        <v>205</v>
      </c>
      <c r="Q57" s="154">
        <v>13.0</v>
      </c>
      <c r="R57" s="154">
        <v>188.0</v>
      </c>
      <c r="S57" s="154">
        <v>259.0</v>
      </c>
      <c r="T57" s="156">
        <f t="shared" ref="T57:T62" si="279">SUM(Q57:S57)</f>
        <v>460</v>
      </c>
      <c r="U57" s="154">
        <v>123.0</v>
      </c>
      <c r="V57" s="154">
        <v>243.0</v>
      </c>
      <c r="W57" s="154">
        <v>131.0</v>
      </c>
      <c r="X57" s="156">
        <f t="shared" ref="X57:X62" si="280">SUM(U57:W57)</f>
        <v>497</v>
      </c>
      <c r="Y57" s="156">
        <f t="shared" ref="Y57:Y62" si="281">SUM(X57,T57,P57,L57)</f>
        <v>1910</v>
      </c>
      <c r="Z57" s="154">
        <v>49.0</v>
      </c>
      <c r="AA57" s="154">
        <v>100.0</v>
      </c>
      <c r="AB57" s="154">
        <v>448.0</v>
      </c>
      <c r="AC57" s="156">
        <f t="shared" ref="AC57:AC62" si="282">SUM(Z57:AB57)</f>
        <v>597</v>
      </c>
      <c r="AD57" s="154">
        <v>155.0</v>
      </c>
      <c r="AE57" s="154">
        <v>228.0</v>
      </c>
      <c r="AF57" s="154">
        <v>136.0</v>
      </c>
      <c r="AG57" s="156">
        <f t="shared" ref="AG57:AG62" si="283">SUM(AD57:AF57)</f>
        <v>519</v>
      </c>
      <c r="AH57" s="154">
        <v>48.0</v>
      </c>
      <c r="AI57" s="154">
        <v>57.0</v>
      </c>
      <c r="AJ57" s="154">
        <v>33.0</v>
      </c>
      <c r="AK57" s="156">
        <f t="shared" ref="AK57:AK62" si="284">SUM(AH57:AJ57)</f>
        <v>138</v>
      </c>
      <c r="AL57" s="154">
        <v>26.0</v>
      </c>
      <c r="AM57" s="154">
        <v>129.0</v>
      </c>
      <c r="AN57" s="154">
        <v>1552.0</v>
      </c>
      <c r="AO57" s="156">
        <f t="shared" ref="AO57:AO62" si="285">SUM(AL57:AN57)</f>
        <v>1707</v>
      </c>
      <c r="AP57" s="156">
        <f t="shared" ref="AP57:AP62" si="286">SUM(AO57,AK57,AG57,AC57)</f>
        <v>2961</v>
      </c>
      <c r="AQ57" s="154">
        <v>18.0</v>
      </c>
      <c r="AR57" s="154">
        <v>5.0</v>
      </c>
      <c r="AS57" s="154">
        <v>18.0</v>
      </c>
      <c r="AT57" s="154">
        <f t="shared" ref="AT57:AT62" si="287">SUM(AQ57:AS57)</f>
        <v>41</v>
      </c>
      <c r="AU57" s="154">
        <v>39.0</v>
      </c>
      <c r="AV57" s="154">
        <v>32.0</v>
      </c>
      <c r="AW57" s="154">
        <v>1397.0</v>
      </c>
      <c r="AX57" s="154">
        <f t="shared" ref="AX57:AX62" si="288">SUM(AU57:AW57)</f>
        <v>1468</v>
      </c>
      <c r="AY57" s="154">
        <v>213.0</v>
      </c>
      <c r="AZ57" s="154">
        <v>37.0</v>
      </c>
      <c r="BA57" s="154">
        <v>123.0</v>
      </c>
      <c r="BB57" s="154">
        <f t="shared" ref="BB57:BB62" si="289">SUM(AY57:BA57)</f>
        <v>373</v>
      </c>
      <c r="BC57" s="154">
        <v>208.0</v>
      </c>
      <c r="BD57" s="154">
        <v>625.0</v>
      </c>
      <c r="BE57" s="154">
        <v>542.0</v>
      </c>
      <c r="BF57" s="154">
        <f t="shared" ref="BF57:BF62" si="290">SUM(BC57:BE57)</f>
        <v>1375</v>
      </c>
      <c r="BG57" s="154">
        <f t="shared" ref="BG57:BG62" si="291">SUM(AT57,AX57,BB57,BF57)</f>
        <v>3257</v>
      </c>
      <c r="BH57" s="154">
        <v>77.0</v>
      </c>
      <c r="BI57" s="154">
        <v>371.0</v>
      </c>
      <c r="BJ57" s="154">
        <v>589.0</v>
      </c>
      <c r="BK57" s="154">
        <f t="shared" ref="BK57:BK62" si="292">SUM(BH57:BJ57)</f>
        <v>1037</v>
      </c>
      <c r="BL57" s="154">
        <v>78.0</v>
      </c>
      <c r="BM57" s="154">
        <v>40.0</v>
      </c>
      <c r="BN57" s="154">
        <v>381.0</v>
      </c>
      <c r="BO57" s="154">
        <f t="shared" ref="BO57:BO62" si="293">SUM(BL57:BN57)</f>
        <v>499</v>
      </c>
      <c r="BP57" s="154">
        <v>114.0</v>
      </c>
      <c r="BQ57" s="154">
        <v>111.0</v>
      </c>
      <c r="BR57" s="154">
        <v>208.0</v>
      </c>
      <c r="BS57" s="154">
        <f t="shared" ref="BS57:BS62" si="294">SUM(BP57:BR57)</f>
        <v>433</v>
      </c>
      <c r="BT57" s="154">
        <v>137.0</v>
      </c>
      <c r="BU57" s="154">
        <v>230.0</v>
      </c>
      <c r="BV57" s="154">
        <v>1.0</v>
      </c>
      <c r="BW57" s="154">
        <f t="shared" ref="BW57:BW62" si="295">SUM(BT57:BV57)</f>
        <v>368</v>
      </c>
      <c r="BX57" s="154">
        <f t="shared" ref="BX57:BX62" si="296">SUM(BK57,BO57,BS57,BW57)</f>
        <v>2337</v>
      </c>
      <c r="BY57" s="154">
        <v>1754.0</v>
      </c>
      <c r="BZ57" s="154">
        <v>1754.0</v>
      </c>
      <c r="CA57" s="154">
        <f t="shared" ref="CA57:CA62" si="297">BZ57-BY57</f>
        <v>0</v>
      </c>
      <c r="CB57" s="154">
        <v>1819.0</v>
      </c>
      <c r="CC57" s="154">
        <v>1819.0</v>
      </c>
      <c r="CD57" s="154">
        <f t="shared" ref="CD57:CD62" si="298">CC57-CB57</f>
        <v>0</v>
      </c>
      <c r="CE57" s="154">
        <v>0.0</v>
      </c>
      <c r="CF57" s="154">
        <v>1894.0</v>
      </c>
      <c r="CG57" s="154">
        <f t="shared" ref="CG57:CG62" si="299">CF57-CE57</f>
        <v>1894</v>
      </c>
      <c r="CH57" s="154">
        <f t="shared" ref="CH57:CH60" si="300">SUM(BY57:CF57)</f>
        <v>9040</v>
      </c>
      <c r="CI57" s="154">
        <v>1907.0</v>
      </c>
      <c r="CJ57" s="154">
        <v>1919.0</v>
      </c>
      <c r="CK57" s="154">
        <f t="shared" ref="CK57:CK62" si="301">CJ57-CI57</f>
        <v>12</v>
      </c>
      <c r="CL57" s="154">
        <v>1870.0</v>
      </c>
      <c r="CM57" s="154">
        <v>1870.0</v>
      </c>
      <c r="CN57" s="154">
        <f t="shared" ref="CN57:CN62" si="302">CM57-CL57</f>
        <v>0</v>
      </c>
      <c r="CO57" s="154">
        <v>1814.0</v>
      </c>
      <c r="CP57" s="154">
        <v>1814.0</v>
      </c>
      <c r="CQ57" s="154">
        <f t="shared" ref="CQ57:CQ62" si="303">CP57-CO57</f>
        <v>0</v>
      </c>
      <c r="CR57" s="154">
        <f t="shared" ref="CR57:CR62" si="304">SUM(CI57:CO57)</f>
        <v>9392</v>
      </c>
      <c r="CS57" s="154">
        <v>2296.0</v>
      </c>
      <c r="CT57" s="154">
        <f t="shared" ref="CT57:CT62" si="305">SUM(CA57,CD57,CG57,CK57,CN57,CQ57)</f>
        <v>1906</v>
      </c>
      <c r="CU57" s="154">
        <f t="shared" ref="CU57:CU62" si="306">CS57+CT57</f>
        <v>4202</v>
      </c>
      <c r="CV57" s="154"/>
      <c r="CW57" s="154"/>
      <c r="CX57" s="154">
        <f t="shared" ref="CX57:CX62" si="307">SUM(CS57:CW57)</f>
        <v>8404</v>
      </c>
      <c r="CY57" s="154"/>
      <c r="CZ57" s="154"/>
      <c r="DA57" s="154"/>
      <c r="DB57" s="154">
        <f t="shared" ref="DB57:DB62" si="308">SUM(CY57:DA57)</f>
        <v>0</v>
      </c>
      <c r="DC57" s="154">
        <f t="shared" ref="DC57:DC62" si="309">SUM(CH57,CR57,CX57,DB57)</f>
        <v>26836</v>
      </c>
      <c r="DD57" s="154">
        <f t="shared" ref="DD57:DD62" si="310">SUM(B57,H57,Y57,AP57,BG57,BX57,DC57)</f>
        <v>37421</v>
      </c>
      <c r="DE57" s="6"/>
      <c r="DF57" s="6"/>
      <c r="DG57" s="6"/>
      <c r="DH57" s="6"/>
      <c r="DI57" s="6"/>
      <c r="DJ57" s="6"/>
      <c r="DK57" s="6"/>
      <c r="DL57" s="6"/>
    </row>
    <row r="58" ht="15.75" customHeight="1">
      <c r="A58" s="167" t="s">
        <v>128</v>
      </c>
      <c r="B58" s="125">
        <v>0.0</v>
      </c>
      <c r="C58" s="154">
        <v>0.0</v>
      </c>
      <c r="D58" s="154">
        <v>0.0</v>
      </c>
      <c r="E58" s="154">
        <v>1.0</v>
      </c>
      <c r="F58" s="154">
        <v>100.0</v>
      </c>
      <c r="G58" s="154">
        <v>64.0</v>
      </c>
      <c r="H58" s="154">
        <f t="shared" si="276"/>
        <v>165</v>
      </c>
      <c r="I58" s="154">
        <v>320.0</v>
      </c>
      <c r="J58" s="154">
        <v>126.0</v>
      </c>
      <c r="K58" s="154">
        <v>152.0</v>
      </c>
      <c r="L58" s="156">
        <f t="shared" si="277"/>
        <v>598</v>
      </c>
      <c r="M58" s="154">
        <v>151.0</v>
      </c>
      <c r="N58" s="154">
        <v>16.0</v>
      </c>
      <c r="O58" s="154">
        <v>0.0</v>
      </c>
      <c r="P58" s="156">
        <f t="shared" si="278"/>
        <v>167</v>
      </c>
      <c r="Q58" s="154">
        <v>14.0</v>
      </c>
      <c r="R58" s="154">
        <v>186.0</v>
      </c>
      <c r="S58" s="154">
        <v>209.0</v>
      </c>
      <c r="T58" s="156">
        <f t="shared" si="279"/>
        <v>409</v>
      </c>
      <c r="U58" s="154">
        <v>46.0</v>
      </c>
      <c r="V58" s="154">
        <v>151.0</v>
      </c>
      <c r="W58" s="154">
        <v>149.0</v>
      </c>
      <c r="X58" s="156">
        <f t="shared" si="280"/>
        <v>346</v>
      </c>
      <c r="Y58" s="156">
        <f t="shared" si="281"/>
        <v>1520</v>
      </c>
      <c r="Z58" s="154">
        <v>188.0</v>
      </c>
      <c r="AA58" s="154">
        <v>83.0</v>
      </c>
      <c r="AB58" s="154">
        <v>62.0</v>
      </c>
      <c r="AC58" s="156">
        <f t="shared" si="282"/>
        <v>333</v>
      </c>
      <c r="AD58" s="154">
        <v>130.0</v>
      </c>
      <c r="AE58" s="154">
        <v>44.0</v>
      </c>
      <c r="AF58" s="154">
        <v>81.0</v>
      </c>
      <c r="AG58" s="156">
        <f t="shared" si="283"/>
        <v>255</v>
      </c>
      <c r="AH58" s="154">
        <v>61.0</v>
      </c>
      <c r="AI58" s="154">
        <v>97.0</v>
      </c>
      <c r="AJ58" s="154">
        <v>34.0</v>
      </c>
      <c r="AK58" s="156">
        <f t="shared" si="284"/>
        <v>192</v>
      </c>
      <c r="AL58" s="154">
        <v>278.0</v>
      </c>
      <c r="AM58" s="154">
        <v>145.0</v>
      </c>
      <c r="AN58" s="154">
        <v>891.0</v>
      </c>
      <c r="AO58" s="156">
        <f t="shared" si="285"/>
        <v>1314</v>
      </c>
      <c r="AP58" s="156">
        <f t="shared" si="286"/>
        <v>2094</v>
      </c>
      <c r="AQ58" s="154">
        <v>15.0</v>
      </c>
      <c r="AR58" s="154">
        <v>140.0</v>
      </c>
      <c r="AS58" s="154">
        <v>108.0</v>
      </c>
      <c r="AT58" s="154">
        <f t="shared" si="287"/>
        <v>263</v>
      </c>
      <c r="AU58" s="154">
        <v>13.0</v>
      </c>
      <c r="AV58" s="154">
        <v>225.0</v>
      </c>
      <c r="AW58" s="154">
        <v>1667.0</v>
      </c>
      <c r="AX58" s="154">
        <f t="shared" si="288"/>
        <v>1905</v>
      </c>
      <c r="AY58" s="154">
        <v>543.0</v>
      </c>
      <c r="AZ58" s="154">
        <v>31.0</v>
      </c>
      <c r="BA58" s="154">
        <v>88.0</v>
      </c>
      <c r="BB58" s="154">
        <f t="shared" si="289"/>
        <v>662</v>
      </c>
      <c r="BC58" s="154">
        <v>234.0</v>
      </c>
      <c r="BD58" s="154">
        <v>270.0</v>
      </c>
      <c r="BE58" s="154">
        <v>1136.0</v>
      </c>
      <c r="BF58" s="154">
        <f t="shared" si="290"/>
        <v>1640</v>
      </c>
      <c r="BG58" s="154">
        <f t="shared" si="291"/>
        <v>4470</v>
      </c>
      <c r="BH58" s="154">
        <v>44.0</v>
      </c>
      <c r="BI58" s="154">
        <v>327.0</v>
      </c>
      <c r="BJ58" s="154">
        <v>132.0</v>
      </c>
      <c r="BK58" s="154">
        <f t="shared" si="292"/>
        <v>503</v>
      </c>
      <c r="BL58" s="154">
        <v>120.0</v>
      </c>
      <c r="BM58" s="154">
        <v>253.0</v>
      </c>
      <c r="BN58" s="154">
        <v>298.0</v>
      </c>
      <c r="BO58" s="154">
        <f t="shared" si="293"/>
        <v>671</v>
      </c>
      <c r="BP58" s="154">
        <v>206.0</v>
      </c>
      <c r="BQ58" s="154">
        <v>62.0</v>
      </c>
      <c r="BR58" s="154">
        <v>411.0</v>
      </c>
      <c r="BS58" s="154">
        <f t="shared" si="294"/>
        <v>679</v>
      </c>
      <c r="BT58" s="154">
        <v>172.0</v>
      </c>
      <c r="BU58" s="154">
        <v>227.0</v>
      </c>
      <c r="BV58" s="154">
        <v>115.0</v>
      </c>
      <c r="BW58" s="154">
        <f t="shared" si="295"/>
        <v>514</v>
      </c>
      <c r="BX58" s="154">
        <f t="shared" si="296"/>
        <v>2367</v>
      </c>
      <c r="BY58" s="154">
        <v>429.0</v>
      </c>
      <c r="BZ58" s="154">
        <v>429.0</v>
      </c>
      <c r="CA58" s="154">
        <f t="shared" si="297"/>
        <v>0</v>
      </c>
      <c r="CB58" s="154">
        <v>1151.0</v>
      </c>
      <c r="CC58" s="154">
        <v>1151.0</v>
      </c>
      <c r="CD58" s="154">
        <f t="shared" si="298"/>
        <v>0</v>
      </c>
      <c r="CE58" s="154">
        <v>161.0</v>
      </c>
      <c r="CF58" s="154">
        <v>958.0</v>
      </c>
      <c r="CG58" s="154">
        <f t="shared" si="299"/>
        <v>797</v>
      </c>
      <c r="CH58" s="154">
        <f t="shared" si="300"/>
        <v>4279</v>
      </c>
      <c r="CI58" s="154">
        <v>924.0</v>
      </c>
      <c r="CJ58" s="154">
        <v>930.0</v>
      </c>
      <c r="CK58" s="154">
        <f t="shared" si="301"/>
        <v>6</v>
      </c>
      <c r="CL58" s="154">
        <v>1698.0</v>
      </c>
      <c r="CM58" s="154">
        <v>1698.0</v>
      </c>
      <c r="CN58" s="154">
        <f t="shared" si="302"/>
        <v>0</v>
      </c>
      <c r="CO58" s="154">
        <v>938.0</v>
      </c>
      <c r="CP58" s="154">
        <v>989.0</v>
      </c>
      <c r="CQ58" s="154">
        <f t="shared" si="303"/>
        <v>51</v>
      </c>
      <c r="CR58" s="154">
        <f t="shared" si="304"/>
        <v>6194</v>
      </c>
      <c r="CS58" s="154">
        <v>1273.0</v>
      </c>
      <c r="CT58" s="154">
        <f t="shared" si="305"/>
        <v>854</v>
      </c>
      <c r="CU58" s="154">
        <f t="shared" si="306"/>
        <v>2127</v>
      </c>
      <c r="CV58" s="154"/>
      <c r="CW58" s="154"/>
      <c r="CX58" s="154">
        <f t="shared" si="307"/>
        <v>4254</v>
      </c>
      <c r="CY58" s="154"/>
      <c r="CZ58" s="154"/>
      <c r="DA58" s="154"/>
      <c r="DB58" s="154">
        <f t="shared" si="308"/>
        <v>0</v>
      </c>
      <c r="DC58" s="154">
        <f t="shared" si="309"/>
        <v>14727</v>
      </c>
      <c r="DD58" s="154">
        <f t="shared" si="310"/>
        <v>25343</v>
      </c>
      <c r="DE58" s="6"/>
      <c r="DF58" s="6"/>
      <c r="DG58" s="6"/>
      <c r="DH58" s="6"/>
      <c r="DI58" s="6"/>
      <c r="DJ58" s="6"/>
      <c r="DK58" s="6"/>
      <c r="DL58" s="6"/>
    </row>
    <row r="59" ht="15.75" customHeight="1">
      <c r="A59" s="167" t="s">
        <v>129</v>
      </c>
      <c r="B59" s="125">
        <v>0.0</v>
      </c>
      <c r="C59" s="154">
        <v>0.0</v>
      </c>
      <c r="D59" s="154">
        <v>0.0</v>
      </c>
      <c r="E59" s="154">
        <v>0.0</v>
      </c>
      <c r="F59" s="154">
        <v>6.0</v>
      </c>
      <c r="G59" s="154">
        <v>128.0</v>
      </c>
      <c r="H59" s="154">
        <f t="shared" si="276"/>
        <v>134</v>
      </c>
      <c r="I59" s="154">
        <v>390.0</v>
      </c>
      <c r="J59" s="154">
        <v>66.0</v>
      </c>
      <c r="K59" s="154">
        <v>81.0</v>
      </c>
      <c r="L59" s="156">
        <f t="shared" si="277"/>
        <v>537</v>
      </c>
      <c r="M59" s="154">
        <v>93.0</v>
      </c>
      <c r="N59" s="154">
        <v>0.0</v>
      </c>
      <c r="O59" s="154">
        <v>0.0</v>
      </c>
      <c r="P59" s="156">
        <f t="shared" si="278"/>
        <v>93</v>
      </c>
      <c r="Q59" s="154">
        <v>27.0</v>
      </c>
      <c r="R59" s="154">
        <v>121.0</v>
      </c>
      <c r="S59" s="154">
        <v>186.0</v>
      </c>
      <c r="T59" s="156">
        <f t="shared" si="279"/>
        <v>334</v>
      </c>
      <c r="U59" s="154">
        <v>56.0</v>
      </c>
      <c r="V59" s="154">
        <v>239.0</v>
      </c>
      <c r="W59" s="154">
        <v>148.0</v>
      </c>
      <c r="X59" s="156">
        <f t="shared" si="280"/>
        <v>443</v>
      </c>
      <c r="Y59" s="156">
        <f t="shared" si="281"/>
        <v>1407</v>
      </c>
      <c r="Z59" s="154">
        <v>29.0</v>
      </c>
      <c r="AA59" s="154">
        <v>20.0</v>
      </c>
      <c r="AB59" s="154">
        <v>8.0</v>
      </c>
      <c r="AC59" s="156">
        <f t="shared" si="282"/>
        <v>57</v>
      </c>
      <c r="AD59" s="154">
        <v>55.0</v>
      </c>
      <c r="AE59" s="154">
        <v>14.0</v>
      </c>
      <c r="AF59" s="154">
        <v>80.0</v>
      </c>
      <c r="AG59" s="156">
        <f t="shared" si="283"/>
        <v>149</v>
      </c>
      <c r="AH59" s="154">
        <v>21.0</v>
      </c>
      <c r="AI59" s="154">
        <v>343.0</v>
      </c>
      <c r="AJ59" s="154">
        <v>52.0</v>
      </c>
      <c r="AK59" s="156">
        <f t="shared" si="284"/>
        <v>416</v>
      </c>
      <c r="AL59" s="154">
        <v>127.0</v>
      </c>
      <c r="AM59" s="154">
        <v>388.0</v>
      </c>
      <c r="AN59" s="154">
        <v>518.0</v>
      </c>
      <c r="AO59" s="156">
        <f t="shared" si="285"/>
        <v>1033</v>
      </c>
      <c r="AP59" s="156">
        <f t="shared" si="286"/>
        <v>1655</v>
      </c>
      <c r="AQ59" s="154">
        <v>17.0</v>
      </c>
      <c r="AR59" s="154">
        <v>107.0</v>
      </c>
      <c r="AS59" s="154">
        <v>124.0</v>
      </c>
      <c r="AT59" s="154">
        <f t="shared" si="287"/>
        <v>248</v>
      </c>
      <c r="AU59" s="154">
        <v>47.0</v>
      </c>
      <c r="AV59" s="154">
        <v>122.0</v>
      </c>
      <c r="AW59" s="154">
        <v>1584.0</v>
      </c>
      <c r="AX59" s="154">
        <f t="shared" si="288"/>
        <v>1753</v>
      </c>
      <c r="AY59" s="154">
        <v>164.0</v>
      </c>
      <c r="AZ59" s="154">
        <v>29.0</v>
      </c>
      <c r="BA59" s="154">
        <v>198.0</v>
      </c>
      <c r="BB59" s="154">
        <f t="shared" si="289"/>
        <v>391</v>
      </c>
      <c r="BC59" s="154">
        <v>235.0</v>
      </c>
      <c r="BD59" s="154">
        <v>251.0</v>
      </c>
      <c r="BE59" s="154">
        <v>1693.0</v>
      </c>
      <c r="BF59" s="154">
        <f t="shared" si="290"/>
        <v>2179</v>
      </c>
      <c r="BG59" s="154">
        <f t="shared" si="291"/>
        <v>4571</v>
      </c>
      <c r="BH59" s="154">
        <v>325.0</v>
      </c>
      <c r="BI59" s="154">
        <v>732.0</v>
      </c>
      <c r="BJ59" s="154">
        <v>361.0</v>
      </c>
      <c r="BK59" s="154">
        <f t="shared" si="292"/>
        <v>1418</v>
      </c>
      <c r="BL59" s="154">
        <v>306.0</v>
      </c>
      <c r="BM59" s="154">
        <v>182.0</v>
      </c>
      <c r="BN59" s="154">
        <v>554.0</v>
      </c>
      <c r="BO59" s="154">
        <f t="shared" si="293"/>
        <v>1042</v>
      </c>
      <c r="BP59" s="154">
        <v>269.0</v>
      </c>
      <c r="BQ59" s="154">
        <v>360.0</v>
      </c>
      <c r="BR59" s="154">
        <v>364.0</v>
      </c>
      <c r="BS59" s="154">
        <f t="shared" si="294"/>
        <v>993</v>
      </c>
      <c r="BT59" s="154">
        <v>294.0</v>
      </c>
      <c r="BU59" s="154">
        <v>15.0</v>
      </c>
      <c r="BV59" s="154">
        <v>35.0</v>
      </c>
      <c r="BW59" s="154">
        <f t="shared" si="295"/>
        <v>344</v>
      </c>
      <c r="BX59" s="154">
        <f t="shared" si="296"/>
        <v>3797</v>
      </c>
      <c r="BY59" s="154">
        <v>1394.0</v>
      </c>
      <c r="BZ59" s="154">
        <v>1394.0</v>
      </c>
      <c r="CA59" s="154">
        <f t="shared" si="297"/>
        <v>0</v>
      </c>
      <c r="CB59" s="154">
        <v>1075.0</v>
      </c>
      <c r="CC59" s="154">
        <v>1075.0</v>
      </c>
      <c r="CD59" s="154">
        <f t="shared" si="298"/>
        <v>0</v>
      </c>
      <c r="CE59" s="154">
        <v>1.0</v>
      </c>
      <c r="CF59" s="154">
        <v>1597.0</v>
      </c>
      <c r="CG59" s="154">
        <f t="shared" si="299"/>
        <v>1596</v>
      </c>
      <c r="CH59" s="154">
        <f t="shared" si="300"/>
        <v>6536</v>
      </c>
      <c r="CI59" s="154">
        <v>1793.0</v>
      </c>
      <c r="CJ59" s="154">
        <v>1797.0</v>
      </c>
      <c r="CK59" s="154">
        <f t="shared" si="301"/>
        <v>4</v>
      </c>
      <c r="CL59" s="154">
        <v>1721.0</v>
      </c>
      <c r="CM59" s="154">
        <v>1721.0</v>
      </c>
      <c r="CN59" s="154">
        <f t="shared" si="302"/>
        <v>0</v>
      </c>
      <c r="CO59" s="154">
        <v>1149.0</v>
      </c>
      <c r="CP59" s="154">
        <v>1155.0</v>
      </c>
      <c r="CQ59" s="154">
        <f t="shared" si="303"/>
        <v>6</v>
      </c>
      <c r="CR59" s="154">
        <f t="shared" si="304"/>
        <v>8185</v>
      </c>
      <c r="CS59" s="154">
        <v>1702.0</v>
      </c>
      <c r="CT59" s="154">
        <f t="shared" si="305"/>
        <v>1606</v>
      </c>
      <c r="CU59" s="154">
        <f t="shared" si="306"/>
        <v>3308</v>
      </c>
      <c r="CV59" s="154"/>
      <c r="CW59" s="154"/>
      <c r="CX59" s="154">
        <f t="shared" si="307"/>
        <v>6616</v>
      </c>
      <c r="CY59" s="154"/>
      <c r="CZ59" s="154"/>
      <c r="DA59" s="154"/>
      <c r="DB59" s="154">
        <f t="shared" si="308"/>
        <v>0</v>
      </c>
      <c r="DC59" s="154">
        <f t="shared" si="309"/>
        <v>21337</v>
      </c>
      <c r="DD59" s="154">
        <f t="shared" si="310"/>
        <v>32901</v>
      </c>
      <c r="DE59" s="6"/>
      <c r="DF59" s="6"/>
      <c r="DG59" s="6"/>
      <c r="DH59" s="6"/>
      <c r="DI59" s="6"/>
      <c r="DJ59" s="6"/>
      <c r="DK59" s="6"/>
      <c r="DL59" s="6"/>
    </row>
    <row r="60" ht="15.75" customHeight="1">
      <c r="A60" s="167" t="s">
        <v>130</v>
      </c>
      <c r="B60" s="125">
        <v>0.0</v>
      </c>
      <c r="C60" s="154">
        <v>0.0</v>
      </c>
      <c r="D60" s="154">
        <v>0.0</v>
      </c>
      <c r="E60" s="154">
        <v>0.0</v>
      </c>
      <c r="F60" s="154">
        <v>3.0</v>
      </c>
      <c r="G60" s="154">
        <v>64.0</v>
      </c>
      <c r="H60" s="154">
        <f t="shared" si="276"/>
        <v>67</v>
      </c>
      <c r="I60" s="154">
        <v>660.0</v>
      </c>
      <c r="J60" s="154">
        <v>72.0</v>
      </c>
      <c r="K60" s="155">
        <v>32.0</v>
      </c>
      <c r="L60" s="156">
        <f t="shared" si="277"/>
        <v>764</v>
      </c>
      <c r="M60" s="154">
        <v>15.0</v>
      </c>
      <c r="N60" s="154">
        <v>6.0</v>
      </c>
      <c r="O60" s="154">
        <v>0.0</v>
      </c>
      <c r="P60" s="156">
        <f t="shared" si="278"/>
        <v>21</v>
      </c>
      <c r="Q60" s="154">
        <v>0.0</v>
      </c>
      <c r="R60" s="154">
        <v>41.0</v>
      </c>
      <c r="S60" s="154">
        <v>89.0</v>
      </c>
      <c r="T60" s="156">
        <f t="shared" si="279"/>
        <v>130</v>
      </c>
      <c r="U60" s="154">
        <v>33.0</v>
      </c>
      <c r="V60" s="154">
        <v>40.0</v>
      </c>
      <c r="W60" s="154">
        <v>25.0</v>
      </c>
      <c r="X60" s="156">
        <f t="shared" si="280"/>
        <v>98</v>
      </c>
      <c r="Y60" s="156">
        <f t="shared" si="281"/>
        <v>1013</v>
      </c>
      <c r="Z60" s="154">
        <v>12.0</v>
      </c>
      <c r="AA60" s="154">
        <v>6.0</v>
      </c>
      <c r="AB60" s="155">
        <v>11.0</v>
      </c>
      <c r="AC60" s="156">
        <f t="shared" si="282"/>
        <v>29</v>
      </c>
      <c r="AD60" s="154">
        <v>72.0</v>
      </c>
      <c r="AE60" s="154">
        <v>11.0</v>
      </c>
      <c r="AF60" s="154">
        <v>8.0</v>
      </c>
      <c r="AG60" s="156">
        <f t="shared" si="283"/>
        <v>91</v>
      </c>
      <c r="AH60" s="154">
        <v>18.0</v>
      </c>
      <c r="AI60" s="154">
        <v>42.0</v>
      </c>
      <c r="AJ60" s="154">
        <v>9.0</v>
      </c>
      <c r="AK60" s="156">
        <f t="shared" si="284"/>
        <v>69</v>
      </c>
      <c r="AL60" s="154">
        <v>31.0</v>
      </c>
      <c r="AM60" s="154">
        <v>1016.0</v>
      </c>
      <c r="AN60" s="154">
        <v>3383.0</v>
      </c>
      <c r="AO60" s="156">
        <f t="shared" si="285"/>
        <v>4430</v>
      </c>
      <c r="AP60" s="156">
        <f t="shared" si="286"/>
        <v>4619</v>
      </c>
      <c r="AQ60" s="154">
        <v>224.0</v>
      </c>
      <c r="AR60" s="154">
        <v>5.0</v>
      </c>
      <c r="AS60" s="154">
        <v>6.0</v>
      </c>
      <c r="AT60" s="154">
        <f t="shared" si="287"/>
        <v>235</v>
      </c>
      <c r="AU60" s="154">
        <v>66.0</v>
      </c>
      <c r="AV60" s="154">
        <v>102.0</v>
      </c>
      <c r="AW60" s="154">
        <v>954.0</v>
      </c>
      <c r="AX60" s="154">
        <f t="shared" si="288"/>
        <v>1122</v>
      </c>
      <c r="AY60" s="154">
        <v>32.0</v>
      </c>
      <c r="AZ60" s="154">
        <v>1.0</v>
      </c>
      <c r="BA60" s="154">
        <v>1.0</v>
      </c>
      <c r="BB60" s="154">
        <f t="shared" si="289"/>
        <v>34</v>
      </c>
      <c r="BC60" s="154">
        <v>2.0</v>
      </c>
      <c r="BD60" s="154">
        <v>56.0</v>
      </c>
      <c r="BE60" s="154">
        <v>232.0</v>
      </c>
      <c r="BF60" s="154">
        <f t="shared" si="290"/>
        <v>290</v>
      </c>
      <c r="BG60" s="154">
        <f t="shared" si="291"/>
        <v>1681</v>
      </c>
      <c r="BH60" s="154">
        <v>349.0</v>
      </c>
      <c r="BI60" s="154">
        <v>84.0</v>
      </c>
      <c r="BJ60" s="154">
        <v>89.0</v>
      </c>
      <c r="BK60" s="154">
        <f t="shared" si="292"/>
        <v>522</v>
      </c>
      <c r="BL60" s="154">
        <v>16.0</v>
      </c>
      <c r="BM60" s="154">
        <v>139.0</v>
      </c>
      <c r="BN60" s="154">
        <v>6.0</v>
      </c>
      <c r="BO60" s="154">
        <f t="shared" si="293"/>
        <v>161</v>
      </c>
      <c r="BP60" s="154">
        <v>272.0</v>
      </c>
      <c r="BQ60" s="154">
        <v>136.0</v>
      </c>
      <c r="BR60" s="154">
        <v>202.0</v>
      </c>
      <c r="BS60" s="154">
        <f t="shared" si="294"/>
        <v>610</v>
      </c>
      <c r="BT60" s="154">
        <v>9.0</v>
      </c>
      <c r="BU60" s="154">
        <v>13.0</v>
      </c>
      <c r="BV60" s="154">
        <v>4.0</v>
      </c>
      <c r="BW60" s="154">
        <f t="shared" si="295"/>
        <v>26</v>
      </c>
      <c r="BX60" s="154">
        <f t="shared" si="296"/>
        <v>1319</v>
      </c>
      <c r="BY60" s="154">
        <v>46.0</v>
      </c>
      <c r="BZ60" s="154">
        <v>46.0</v>
      </c>
      <c r="CA60" s="154">
        <f t="shared" si="297"/>
        <v>0</v>
      </c>
      <c r="CB60" s="154">
        <v>308.0</v>
      </c>
      <c r="CC60" s="154">
        <v>308.0</v>
      </c>
      <c r="CD60" s="154">
        <f t="shared" si="298"/>
        <v>0</v>
      </c>
      <c r="CE60" s="154">
        <v>188.0</v>
      </c>
      <c r="CF60" s="154">
        <v>1065.0</v>
      </c>
      <c r="CG60" s="154">
        <f t="shared" si="299"/>
        <v>877</v>
      </c>
      <c r="CH60" s="154">
        <f t="shared" si="300"/>
        <v>1961</v>
      </c>
      <c r="CI60" s="154">
        <v>49.0</v>
      </c>
      <c r="CJ60" s="154">
        <v>49.0</v>
      </c>
      <c r="CK60" s="154">
        <f t="shared" si="301"/>
        <v>0</v>
      </c>
      <c r="CL60" s="154">
        <v>136.0</v>
      </c>
      <c r="CM60" s="154">
        <v>136.0</v>
      </c>
      <c r="CN60" s="154">
        <f t="shared" si="302"/>
        <v>0</v>
      </c>
      <c r="CO60" s="155">
        <v>40.0</v>
      </c>
      <c r="CP60" s="155">
        <v>40.0</v>
      </c>
      <c r="CQ60" s="154">
        <f t="shared" si="303"/>
        <v>0</v>
      </c>
      <c r="CR60" s="154">
        <f t="shared" si="304"/>
        <v>410</v>
      </c>
      <c r="CS60" s="154">
        <v>82.0</v>
      </c>
      <c r="CT60" s="154">
        <f t="shared" si="305"/>
        <v>877</v>
      </c>
      <c r="CU60" s="154">
        <f t="shared" si="306"/>
        <v>959</v>
      </c>
      <c r="CV60" s="154"/>
      <c r="CW60" s="155"/>
      <c r="CX60" s="154">
        <f t="shared" si="307"/>
        <v>1918</v>
      </c>
      <c r="CY60" s="154"/>
      <c r="CZ60" s="154"/>
      <c r="DA60" s="155"/>
      <c r="DB60" s="154">
        <f t="shared" si="308"/>
        <v>0</v>
      </c>
      <c r="DC60" s="154">
        <f t="shared" si="309"/>
        <v>4289</v>
      </c>
      <c r="DD60" s="154">
        <f t="shared" si="310"/>
        <v>12988</v>
      </c>
      <c r="DE60" s="6"/>
      <c r="DF60" s="6"/>
      <c r="DG60" s="6"/>
      <c r="DH60" s="6"/>
      <c r="DI60" s="6"/>
      <c r="DJ60" s="6"/>
      <c r="DK60" s="6"/>
      <c r="DL60" s="6"/>
    </row>
    <row r="61" ht="15.75" customHeight="1">
      <c r="A61" s="169" t="s">
        <v>131</v>
      </c>
      <c r="B61" s="154">
        <v>36280.0</v>
      </c>
      <c r="C61" s="154">
        <v>0.0</v>
      </c>
      <c r="D61" s="154">
        <v>0.0</v>
      </c>
      <c r="E61" s="154">
        <v>1.0</v>
      </c>
      <c r="F61" s="154">
        <v>572.0</v>
      </c>
      <c r="G61" s="154">
        <v>406.0</v>
      </c>
      <c r="H61" s="154">
        <f t="shared" si="276"/>
        <v>979</v>
      </c>
      <c r="I61" s="154">
        <v>764.0</v>
      </c>
      <c r="J61" s="154">
        <v>204.0</v>
      </c>
      <c r="K61" s="154">
        <v>306.0</v>
      </c>
      <c r="L61" s="156">
        <f t="shared" si="277"/>
        <v>1274</v>
      </c>
      <c r="M61" s="154">
        <v>603.0</v>
      </c>
      <c r="N61" s="154">
        <v>304.0</v>
      </c>
      <c r="O61" s="154">
        <v>0.0</v>
      </c>
      <c r="P61" s="156">
        <f t="shared" si="278"/>
        <v>907</v>
      </c>
      <c r="Q61" s="154">
        <v>111.0</v>
      </c>
      <c r="R61" s="154">
        <v>410.0</v>
      </c>
      <c r="S61" s="154">
        <v>424.0</v>
      </c>
      <c r="T61" s="156">
        <f t="shared" si="279"/>
        <v>945</v>
      </c>
      <c r="U61" s="154">
        <v>380.0</v>
      </c>
      <c r="V61" s="154">
        <v>333.0</v>
      </c>
      <c r="W61" s="154">
        <v>366.0</v>
      </c>
      <c r="X61" s="156">
        <f t="shared" si="280"/>
        <v>1079</v>
      </c>
      <c r="Y61" s="156">
        <f t="shared" si="281"/>
        <v>4205</v>
      </c>
      <c r="Z61" s="154">
        <v>467.0</v>
      </c>
      <c r="AA61" s="154">
        <v>879.0</v>
      </c>
      <c r="AB61" s="154">
        <v>128.0</v>
      </c>
      <c r="AC61" s="156">
        <f t="shared" si="282"/>
        <v>1474</v>
      </c>
      <c r="AD61" s="154">
        <v>218.0</v>
      </c>
      <c r="AE61" s="154">
        <v>278.0</v>
      </c>
      <c r="AF61" s="154">
        <v>1748.0</v>
      </c>
      <c r="AG61" s="156">
        <f t="shared" si="283"/>
        <v>2244</v>
      </c>
      <c r="AH61" s="154">
        <v>1704.0</v>
      </c>
      <c r="AI61" s="154">
        <v>5280.0</v>
      </c>
      <c r="AJ61" s="154">
        <v>4372.0</v>
      </c>
      <c r="AK61" s="156">
        <f t="shared" si="284"/>
        <v>11356</v>
      </c>
      <c r="AL61" s="154">
        <v>619.0</v>
      </c>
      <c r="AM61" s="154">
        <v>638.0</v>
      </c>
      <c r="AN61" s="154">
        <v>1401.0</v>
      </c>
      <c r="AO61" s="156">
        <f t="shared" si="285"/>
        <v>2658</v>
      </c>
      <c r="AP61" s="156">
        <f t="shared" si="286"/>
        <v>17732</v>
      </c>
      <c r="AQ61" s="154">
        <v>126.0</v>
      </c>
      <c r="AR61" s="154">
        <v>149.0</v>
      </c>
      <c r="AS61" s="154">
        <v>3830.0</v>
      </c>
      <c r="AT61" s="154">
        <f t="shared" si="287"/>
        <v>4105</v>
      </c>
      <c r="AU61" s="154">
        <v>558.0</v>
      </c>
      <c r="AV61" s="154">
        <v>564.0</v>
      </c>
      <c r="AW61" s="154">
        <v>12079.0</v>
      </c>
      <c r="AX61" s="154">
        <f t="shared" si="288"/>
        <v>13201</v>
      </c>
      <c r="AY61" s="154">
        <v>2279.0</v>
      </c>
      <c r="AZ61" s="154">
        <v>196.0</v>
      </c>
      <c r="BA61" s="154">
        <v>611.0</v>
      </c>
      <c r="BB61" s="154">
        <f t="shared" si="289"/>
        <v>3086</v>
      </c>
      <c r="BC61" s="154">
        <v>608.0</v>
      </c>
      <c r="BD61" s="154">
        <v>2042.0</v>
      </c>
      <c r="BE61" s="154">
        <v>8540.0</v>
      </c>
      <c r="BF61" s="154">
        <f t="shared" si="290"/>
        <v>11190</v>
      </c>
      <c r="BG61" s="154">
        <f t="shared" si="291"/>
        <v>31582</v>
      </c>
      <c r="BH61" s="154">
        <v>805.0</v>
      </c>
      <c r="BI61" s="154">
        <v>772.0</v>
      </c>
      <c r="BJ61" s="154">
        <v>1671.0</v>
      </c>
      <c r="BK61" s="154">
        <f t="shared" si="292"/>
        <v>3248</v>
      </c>
      <c r="BL61" s="154">
        <v>1332.0</v>
      </c>
      <c r="BM61" s="154">
        <v>1656.0</v>
      </c>
      <c r="BN61" s="154">
        <v>663.0</v>
      </c>
      <c r="BO61" s="154">
        <f t="shared" si="293"/>
        <v>3651</v>
      </c>
      <c r="BP61" s="154">
        <v>557.0</v>
      </c>
      <c r="BQ61" s="154">
        <v>642.0</v>
      </c>
      <c r="BR61" s="154">
        <v>860.0</v>
      </c>
      <c r="BS61" s="154">
        <f t="shared" si="294"/>
        <v>2059</v>
      </c>
      <c r="BT61" s="154">
        <v>1029.0</v>
      </c>
      <c r="BU61" s="154">
        <v>643.0</v>
      </c>
      <c r="BV61" s="154">
        <v>2851.0</v>
      </c>
      <c r="BW61" s="154">
        <f t="shared" si="295"/>
        <v>4523</v>
      </c>
      <c r="BX61" s="154">
        <f t="shared" si="296"/>
        <v>13481</v>
      </c>
      <c r="BY61" s="154">
        <v>1884.0</v>
      </c>
      <c r="BZ61" s="154">
        <v>1884.0</v>
      </c>
      <c r="CA61" s="154">
        <f t="shared" si="297"/>
        <v>0</v>
      </c>
      <c r="CB61" s="154">
        <v>3029.0</v>
      </c>
      <c r="CC61" s="154">
        <v>3029.0</v>
      </c>
      <c r="CD61" s="154">
        <f t="shared" si="298"/>
        <v>0</v>
      </c>
      <c r="CE61" s="154">
        <v>418.0</v>
      </c>
      <c r="CF61" s="154">
        <f>2993+22</f>
        <v>3015</v>
      </c>
      <c r="CG61" s="154">
        <f t="shared" si="299"/>
        <v>2597</v>
      </c>
      <c r="CH61" s="154">
        <f t="shared" ref="CH61:CH62" si="312">SUM(BY61:CE61)</f>
        <v>10244</v>
      </c>
      <c r="CI61" s="154">
        <v>3533.0</v>
      </c>
      <c r="CJ61" s="154">
        <f>3505+43</f>
        <v>3548</v>
      </c>
      <c r="CK61" s="154">
        <f t="shared" si="301"/>
        <v>15</v>
      </c>
      <c r="CL61" s="154">
        <f t="shared" ref="CL61:CM61" si="311">3239+12</f>
        <v>3251</v>
      </c>
      <c r="CM61" s="154">
        <f t="shared" si="311"/>
        <v>3251</v>
      </c>
      <c r="CN61" s="154">
        <f t="shared" si="302"/>
        <v>0</v>
      </c>
      <c r="CO61" s="154">
        <f>2815+4</f>
        <v>2819</v>
      </c>
      <c r="CP61" s="154">
        <f>2856+4</f>
        <v>2860</v>
      </c>
      <c r="CQ61" s="154">
        <f t="shared" si="303"/>
        <v>41</v>
      </c>
      <c r="CR61" s="154">
        <f t="shared" si="304"/>
        <v>16417</v>
      </c>
      <c r="CS61" s="154">
        <f>2463+9</f>
        <v>2472</v>
      </c>
      <c r="CT61" s="154">
        <f t="shared" si="305"/>
        <v>2653</v>
      </c>
      <c r="CU61" s="154">
        <f t="shared" si="306"/>
        <v>5125</v>
      </c>
      <c r="CV61" s="154"/>
      <c r="CW61" s="154"/>
      <c r="CX61" s="154">
        <f t="shared" si="307"/>
        <v>10250</v>
      </c>
      <c r="CY61" s="154"/>
      <c r="CZ61" s="154"/>
      <c r="DA61" s="154"/>
      <c r="DB61" s="154">
        <f t="shared" si="308"/>
        <v>0</v>
      </c>
      <c r="DC61" s="154">
        <f t="shared" si="309"/>
        <v>36911</v>
      </c>
      <c r="DD61" s="154">
        <f t="shared" si="310"/>
        <v>141170</v>
      </c>
      <c r="DE61" s="6"/>
      <c r="DF61" s="6"/>
      <c r="DG61" s="6"/>
      <c r="DH61" s="6"/>
      <c r="DI61" s="6"/>
      <c r="DJ61" s="6"/>
      <c r="DK61" s="6"/>
      <c r="DL61" s="6"/>
    </row>
    <row r="62" ht="15.75" customHeight="1">
      <c r="A62" s="169" t="s">
        <v>132</v>
      </c>
      <c r="B62" s="154">
        <v>1282.0</v>
      </c>
      <c r="C62" s="154">
        <v>0.0</v>
      </c>
      <c r="D62" s="154">
        <v>0.0</v>
      </c>
      <c r="E62" s="154">
        <v>0.0</v>
      </c>
      <c r="F62" s="154">
        <v>5.0</v>
      </c>
      <c r="G62" s="154">
        <v>289.0</v>
      </c>
      <c r="H62" s="154">
        <f t="shared" si="276"/>
        <v>294</v>
      </c>
      <c r="I62" s="154">
        <v>256.0</v>
      </c>
      <c r="J62" s="154">
        <v>226.0</v>
      </c>
      <c r="K62" s="154">
        <v>198.0</v>
      </c>
      <c r="L62" s="156">
        <f t="shared" si="277"/>
        <v>680</v>
      </c>
      <c r="M62" s="154">
        <v>164.0</v>
      </c>
      <c r="N62" s="154">
        <v>29.0</v>
      </c>
      <c r="O62" s="154">
        <v>0.0</v>
      </c>
      <c r="P62" s="156">
        <f t="shared" si="278"/>
        <v>193</v>
      </c>
      <c r="Q62" s="154">
        <v>33.0</v>
      </c>
      <c r="R62" s="154">
        <v>171.0</v>
      </c>
      <c r="S62" s="154">
        <v>130.0</v>
      </c>
      <c r="T62" s="156">
        <f t="shared" si="279"/>
        <v>334</v>
      </c>
      <c r="U62" s="154">
        <v>68.0</v>
      </c>
      <c r="V62" s="154">
        <v>132.0</v>
      </c>
      <c r="W62" s="154">
        <v>110.0</v>
      </c>
      <c r="X62" s="156">
        <f t="shared" si="280"/>
        <v>310</v>
      </c>
      <c r="Y62" s="156">
        <f t="shared" si="281"/>
        <v>1517</v>
      </c>
      <c r="Z62" s="154">
        <v>66.0</v>
      </c>
      <c r="AA62" s="154">
        <v>38.0</v>
      </c>
      <c r="AB62" s="154">
        <v>29.0</v>
      </c>
      <c r="AC62" s="156">
        <f t="shared" si="282"/>
        <v>133</v>
      </c>
      <c r="AD62" s="154">
        <v>80.0</v>
      </c>
      <c r="AE62" s="154">
        <v>30.0</v>
      </c>
      <c r="AF62" s="154">
        <v>51.0</v>
      </c>
      <c r="AG62" s="156">
        <f t="shared" si="283"/>
        <v>161</v>
      </c>
      <c r="AH62" s="154">
        <v>1181.0</v>
      </c>
      <c r="AI62" s="154">
        <v>454.0</v>
      </c>
      <c r="AJ62" s="154">
        <v>2323.0</v>
      </c>
      <c r="AK62" s="156">
        <f t="shared" si="284"/>
        <v>3958</v>
      </c>
      <c r="AL62" s="154">
        <v>428.0</v>
      </c>
      <c r="AM62" s="154">
        <v>1406.0</v>
      </c>
      <c r="AN62" s="154">
        <v>411.0</v>
      </c>
      <c r="AO62" s="156">
        <f t="shared" si="285"/>
        <v>2245</v>
      </c>
      <c r="AP62" s="156">
        <f t="shared" si="286"/>
        <v>6497</v>
      </c>
      <c r="AQ62" s="154">
        <v>161.0</v>
      </c>
      <c r="AR62" s="154">
        <v>69.0</v>
      </c>
      <c r="AS62" s="154">
        <v>34.0</v>
      </c>
      <c r="AT62" s="154">
        <f t="shared" si="287"/>
        <v>264</v>
      </c>
      <c r="AU62" s="154">
        <v>732.0</v>
      </c>
      <c r="AV62" s="154">
        <v>74.0</v>
      </c>
      <c r="AW62" s="154">
        <v>2391.0</v>
      </c>
      <c r="AX62" s="154">
        <f t="shared" si="288"/>
        <v>3197</v>
      </c>
      <c r="AY62" s="154">
        <v>49.0</v>
      </c>
      <c r="AZ62" s="154">
        <v>77.0</v>
      </c>
      <c r="BA62" s="154">
        <v>2806.0</v>
      </c>
      <c r="BB62" s="154">
        <f t="shared" si="289"/>
        <v>2932</v>
      </c>
      <c r="BC62" s="154">
        <v>498.0</v>
      </c>
      <c r="BD62" s="154">
        <v>466.0</v>
      </c>
      <c r="BE62" s="154">
        <v>665.0</v>
      </c>
      <c r="BF62" s="154">
        <f t="shared" si="290"/>
        <v>1629</v>
      </c>
      <c r="BG62" s="154">
        <f t="shared" si="291"/>
        <v>8022</v>
      </c>
      <c r="BH62" s="154">
        <v>820.0</v>
      </c>
      <c r="BI62" s="154">
        <v>1619.0</v>
      </c>
      <c r="BJ62" s="154">
        <v>1882.0</v>
      </c>
      <c r="BK62" s="154">
        <f t="shared" si="292"/>
        <v>4321</v>
      </c>
      <c r="BL62" s="154">
        <v>1688.0</v>
      </c>
      <c r="BM62" s="154">
        <v>1329.0</v>
      </c>
      <c r="BN62" s="154">
        <v>756.0</v>
      </c>
      <c r="BO62" s="154">
        <f t="shared" si="293"/>
        <v>3773</v>
      </c>
      <c r="BP62" s="154">
        <v>343.0</v>
      </c>
      <c r="BQ62" s="154">
        <v>100.0</v>
      </c>
      <c r="BR62" s="154">
        <v>345.0</v>
      </c>
      <c r="BS62" s="154">
        <f t="shared" si="294"/>
        <v>788</v>
      </c>
      <c r="BT62" s="154">
        <v>1293.0</v>
      </c>
      <c r="BU62" s="154">
        <v>424.0</v>
      </c>
      <c r="BV62" s="154">
        <v>477.0</v>
      </c>
      <c r="BW62" s="154">
        <f t="shared" si="295"/>
        <v>2194</v>
      </c>
      <c r="BX62" s="154">
        <f t="shared" si="296"/>
        <v>11076</v>
      </c>
      <c r="BY62" s="154">
        <v>690.0</v>
      </c>
      <c r="BZ62" s="154">
        <v>690.0</v>
      </c>
      <c r="CA62" s="154">
        <f t="shared" si="297"/>
        <v>0</v>
      </c>
      <c r="CB62" s="154">
        <v>1969.0</v>
      </c>
      <c r="CC62" s="154">
        <v>1969.0</v>
      </c>
      <c r="CD62" s="154">
        <f t="shared" si="298"/>
        <v>0</v>
      </c>
      <c r="CE62" s="154">
        <v>180.0</v>
      </c>
      <c r="CF62" s="154">
        <f>36+2157</f>
        <v>2193</v>
      </c>
      <c r="CG62" s="154">
        <f t="shared" si="299"/>
        <v>2013</v>
      </c>
      <c r="CH62" s="154">
        <f t="shared" si="312"/>
        <v>5498</v>
      </c>
      <c r="CI62" s="154">
        <v>2181.0</v>
      </c>
      <c r="CJ62" s="154">
        <f>44+2148</f>
        <v>2192</v>
      </c>
      <c r="CK62" s="154">
        <f t="shared" si="301"/>
        <v>11</v>
      </c>
      <c r="CL62" s="154">
        <f t="shared" ref="CL62:CM62" si="313">2036+28</f>
        <v>2064</v>
      </c>
      <c r="CM62" s="154">
        <f t="shared" si="313"/>
        <v>2064</v>
      </c>
      <c r="CN62" s="154">
        <f t="shared" si="302"/>
        <v>0</v>
      </c>
      <c r="CO62" s="154">
        <f>2277+26</f>
        <v>2303</v>
      </c>
      <c r="CP62" s="154">
        <f>2325+26</f>
        <v>2351</v>
      </c>
      <c r="CQ62" s="154">
        <f t="shared" si="303"/>
        <v>48</v>
      </c>
      <c r="CR62" s="154">
        <f t="shared" si="304"/>
        <v>10815</v>
      </c>
      <c r="CS62" s="154">
        <f>1646+6</f>
        <v>1652</v>
      </c>
      <c r="CT62" s="154">
        <f t="shared" si="305"/>
        <v>2072</v>
      </c>
      <c r="CU62" s="154">
        <f t="shared" si="306"/>
        <v>3724</v>
      </c>
      <c r="CV62" s="154"/>
      <c r="CW62" s="154"/>
      <c r="CX62" s="154">
        <f t="shared" si="307"/>
        <v>7448</v>
      </c>
      <c r="CY62" s="154"/>
      <c r="CZ62" s="154"/>
      <c r="DA62" s="154"/>
      <c r="DB62" s="154">
        <f t="shared" si="308"/>
        <v>0</v>
      </c>
      <c r="DC62" s="154">
        <f t="shared" si="309"/>
        <v>23761</v>
      </c>
      <c r="DD62" s="154">
        <f t="shared" si="310"/>
        <v>52449</v>
      </c>
      <c r="DE62" s="6"/>
      <c r="DF62" s="6"/>
      <c r="DG62" s="6"/>
      <c r="DH62" s="6"/>
      <c r="DI62" s="6"/>
      <c r="DJ62" s="6"/>
      <c r="DK62" s="6"/>
      <c r="DL62" s="6"/>
    </row>
    <row r="63" ht="15.75" customHeight="1">
      <c r="A63" s="137" t="s">
        <v>133</v>
      </c>
      <c r="B63" s="141">
        <f t="shared" ref="B63:DD63" si="314">SUM(B64:B67)</f>
        <v>8337</v>
      </c>
      <c r="C63" s="141">
        <f t="shared" si="314"/>
        <v>0</v>
      </c>
      <c r="D63" s="141">
        <f t="shared" si="314"/>
        <v>0</v>
      </c>
      <c r="E63" s="141">
        <f t="shared" si="314"/>
        <v>74</v>
      </c>
      <c r="F63" s="141">
        <f t="shared" si="314"/>
        <v>170</v>
      </c>
      <c r="G63" s="141">
        <f t="shared" si="314"/>
        <v>494</v>
      </c>
      <c r="H63" s="141">
        <f t="shared" si="314"/>
        <v>738</v>
      </c>
      <c r="I63" s="141">
        <f t="shared" si="314"/>
        <v>212</v>
      </c>
      <c r="J63" s="141">
        <f t="shared" si="314"/>
        <v>679</v>
      </c>
      <c r="K63" s="141">
        <f t="shared" si="314"/>
        <v>780</v>
      </c>
      <c r="L63" s="141">
        <f t="shared" si="314"/>
        <v>1671</v>
      </c>
      <c r="M63" s="141">
        <f t="shared" si="314"/>
        <v>764</v>
      </c>
      <c r="N63" s="141">
        <f t="shared" si="314"/>
        <v>25</v>
      </c>
      <c r="O63" s="141">
        <f t="shared" si="314"/>
        <v>0</v>
      </c>
      <c r="P63" s="141">
        <f t="shared" si="314"/>
        <v>789</v>
      </c>
      <c r="Q63" s="141">
        <f t="shared" si="314"/>
        <v>79</v>
      </c>
      <c r="R63" s="141">
        <f t="shared" si="314"/>
        <v>527</v>
      </c>
      <c r="S63" s="141">
        <f t="shared" si="314"/>
        <v>1807</v>
      </c>
      <c r="T63" s="141">
        <f t="shared" si="314"/>
        <v>2413</v>
      </c>
      <c r="U63" s="141">
        <f t="shared" si="314"/>
        <v>888</v>
      </c>
      <c r="V63" s="141">
        <f t="shared" si="314"/>
        <v>3273</v>
      </c>
      <c r="W63" s="141">
        <f t="shared" si="314"/>
        <v>2998</v>
      </c>
      <c r="X63" s="141">
        <f t="shared" si="314"/>
        <v>7159</v>
      </c>
      <c r="Y63" s="141">
        <f t="shared" si="314"/>
        <v>12032</v>
      </c>
      <c r="Z63" s="141">
        <f t="shared" si="314"/>
        <v>469</v>
      </c>
      <c r="AA63" s="141">
        <f t="shared" si="314"/>
        <v>563</v>
      </c>
      <c r="AB63" s="141">
        <f t="shared" si="314"/>
        <v>1110</v>
      </c>
      <c r="AC63" s="141">
        <f t="shared" si="314"/>
        <v>2142</v>
      </c>
      <c r="AD63" s="141">
        <f t="shared" si="314"/>
        <v>2911</v>
      </c>
      <c r="AE63" s="141">
        <f t="shared" si="314"/>
        <v>1802</v>
      </c>
      <c r="AF63" s="141">
        <f t="shared" si="314"/>
        <v>2062</v>
      </c>
      <c r="AG63" s="141">
        <f t="shared" si="314"/>
        <v>6775</v>
      </c>
      <c r="AH63" s="141">
        <f t="shared" si="314"/>
        <v>2336</v>
      </c>
      <c r="AI63" s="141">
        <f t="shared" si="314"/>
        <v>19727</v>
      </c>
      <c r="AJ63" s="141">
        <f t="shared" si="314"/>
        <v>11003</v>
      </c>
      <c r="AK63" s="141">
        <f t="shared" si="314"/>
        <v>33066</v>
      </c>
      <c r="AL63" s="141">
        <f t="shared" si="314"/>
        <v>15339</v>
      </c>
      <c r="AM63" s="141">
        <f t="shared" si="314"/>
        <v>6255</v>
      </c>
      <c r="AN63" s="141">
        <f t="shared" si="314"/>
        <v>3536</v>
      </c>
      <c r="AO63" s="141">
        <f t="shared" si="314"/>
        <v>25130</v>
      </c>
      <c r="AP63" s="141">
        <f t="shared" si="314"/>
        <v>67113</v>
      </c>
      <c r="AQ63" s="141">
        <f t="shared" si="314"/>
        <v>5841</v>
      </c>
      <c r="AR63" s="141">
        <f t="shared" si="314"/>
        <v>9744</v>
      </c>
      <c r="AS63" s="141">
        <f t="shared" si="314"/>
        <v>3262</v>
      </c>
      <c r="AT63" s="141">
        <f t="shared" si="314"/>
        <v>18847</v>
      </c>
      <c r="AU63" s="141">
        <f t="shared" si="314"/>
        <v>1132</v>
      </c>
      <c r="AV63" s="141">
        <f t="shared" si="314"/>
        <v>3204</v>
      </c>
      <c r="AW63" s="141">
        <f t="shared" si="314"/>
        <v>1051</v>
      </c>
      <c r="AX63" s="141">
        <f t="shared" si="314"/>
        <v>5387</v>
      </c>
      <c r="AY63" s="141">
        <f t="shared" si="314"/>
        <v>900</v>
      </c>
      <c r="AZ63" s="141">
        <f t="shared" si="314"/>
        <v>1851</v>
      </c>
      <c r="BA63" s="141">
        <f t="shared" si="314"/>
        <v>1841</v>
      </c>
      <c r="BB63" s="141">
        <f t="shared" si="314"/>
        <v>4592</v>
      </c>
      <c r="BC63" s="141">
        <f t="shared" si="314"/>
        <v>233</v>
      </c>
      <c r="BD63" s="141">
        <f t="shared" si="314"/>
        <v>1252</v>
      </c>
      <c r="BE63" s="141">
        <f t="shared" si="314"/>
        <v>2869</v>
      </c>
      <c r="BF63" s="141">
        <f t="shared" si="314"/>
        <v>4354</v>
      </c>
      <c r="BG63" s="141">
        <f t="shared" si="314"/>
        <v>33180</v>
      </c>
      <c r="BH63" s="141">
        <f t="shared" si="314"/>
        <v>1343</v>
      </c>
      <c r="BI63" s="141">
        <f t="shared" si="314"/>
        <v>2709</v>
      </c>
      <c r="BJ63" s="141">
        <f t="shared" si="314"/>
        <v>914</v>
      </c>
      <c r="BK63" s="141">
        <f t="shared" si="314"/>
        <v>4966</v>
      </c>
      <c r="BL63" s="141">
        <f t="shared" si="314"/>
        <v>2432</v>
      </c>
      <c r="BM63" s="141">
        <f t="shared" si="314"/>
        <v>694</v>
      </c>
      <c r="BN63" s="141">
        <f t="shared" si="314"/>
        <v>1689</v>
      </c>
      <c r="BO63" s="141">
        <f t="shared" si="314"/>
        <v>4815</v>
      </c>
      <c r="BP63" s="141">
        <f t="shared" si="314"/>
        <v>751</v>
      </c>
      <c r="BQ63" s="141">
        <f t="shared" si="314"/>
        <v>1275</v>
      </c>
      <c r="BR63" s="141">
        <f t="shared" si="314"/>
        <v>2280</v>
      </c>
      <c r="BS63" s="141">
        <f t="shared" si="314"/>
        <v>4306</v>
      </c>
      <c r="BT63" s="141">
        <f t="shared" si="314"/>
        <v>174</v>
      </c>
      <c r="BU63" s="141">
        <f t="shared" si="314"/>
        <v>303</v>
      </c>
      <c r="BV63" s="141">
        <f t="shared" si="314"/>
        <v>1690</v>
      </c>
      <c r="BW63" s="141">
        <f t="shared" si="314"/>
        <v>2167</v>
      </c>
      <c r="BX63" s="141">
        <f t="shared" si="314"/>
        <v>16254</v>
      </c>
      <c r="BY63" s="141">
        <f t="shared" si="314"/>
        <v>342</v>
      </c>
      <c r="BZ63" s="141">
        <f t="shared" si="314"/>
        <v>342</v>
      </c>
      <c r="CA63" s="141">
        <f t="shared" si="314"/>
        <v>0</v>
      </c>
      <c r="CB63" s="141">
        <f t="shared" si="314"/>
        <v>74</v>
      </c>
      <c r="CC63" s="141">
        <f t="shared" si="314"/>
        <v>74</v>
      </c>
      <c r="CD63" s="141">
        <f t="shared" si="314"/>
        <v>0</v>
      </c>
      <c r="CE63" s="141">
        <f t="shared" si="314"/>
        <v>0</v>
      </c>
      <c r="CF63" s="141">
        <f t="shared" si="314"/>
        <v>195</v>
      </c>
      <c r="CG63" s="141">
        <f t="shared" si="314"/>
        <v>195</v>
      </c>
      <c r="CH63" s="141">
        <f t="shared" si="314"/>
        <v>1027</v>
      </c>
      <c r="CI63" s="141">
        <f t="shared" si="314"/>
        <v>1273</v>
      </c>
      <c r="CJ63" s="141">
        <f t="shared" si="314"/>
        <v>898</v>
      </c>
      <c r="CK63" s="141">
        <f t="shared" si="314"/>
        <v>-375</v>
      </c>
      <c r="CL63" s="141">
        <f t="shared" si="314"/>
        <v>1534</v>
      </c>
      <c r="CM63" s="141">
        <f t="shared" si="314"/>
        <v>1534</v>
      </c>
      <c r="CN63" s="141">
        <f t="shared" si="314"/>
        <v>0</v>
      </c>
      <c r="CO63" s="141">
        <f t="shared" si="314"/>
        <v>984</v>
      </c>
      <c r="CP63" s="141">
        <f t="shared" si="314"/>
        <v>986</v>
      </c>
      <c r="CQ63" s="141">
        <f t="shared" si="314"/>
        <v>2</v>
      </c>
      <c r="CR63" s="141">
        <f t="shared" si="314"/>
        <v>5848</v>
      </c>
      <c r="CS63" s="141">
        <f t="shared" si="314"/>
        <v>1333</v>
      </c>
      <c r="CT63" s="141">
        <f t="shared" si="314"/>
        <v>-178</v>
      </c>
      <c r="CU63" s="141">
        <f t="shared" si="314"/>
        <v>1155</v>
      </c>
      <c r="CV63" s="141">
        <f t="shared" si="314"/>
        <v>0</v>
      </c>
      <c r="CW63" s="141">
        <f t="shared" si="314"/>
        <v>0</v>
      </c>
      <c r="CX63" s="141">
        <f t="shared" si="314"/>
        <v>2310</v>
      </c>
      <c r="CY63" s="141">
        <f t="shared" si="314"/>
        <v>0</v>
      </c>
      <c r="CZ63" s="141">
        <f t="shared" si="314"/>
        <v>0</v>
      </c>
      <c r="DA63" s="141">
        <f t="shared" si="314"/>
        <v>0</v>
      </c>
      <c r="DB63" s="141">
        <f t="shared" si="314"/>
        <v>0</v>
      </c>
      <c r="DC63" s="141">
        <f t="shared" si="314"/>
        <v>9185</v>
      </c>
      <c r="DD63" s="141">
        <f t="shared" si="314"/>
        <v>146839</v>
      </c>
      <c r="DE63" s="6"/>
      <c r="DF63" s="24">
        <f>SUM(AK63,AO63,BG63,BX63,DC63)</f>
        <v>116815</v>
      </c>
      <c r="DG63" s="6"/>
      <c r="DH63" s="6"/>
      <c r="DI63" s="6"/>
      <c r="DJ63" s="6"/>
      <c r="DK63" s="6"/>
      <c r="DL63" s="6"/>
    </row>
    <row r="64" ht="15.75" customHeight="1">
      <c r="A64" s="167" t="s">
        <v>134</v>
      </c>
      <c r="B64" s="179">
        <v>1025.0</v>
      </c>
      <c r="C64" s="154">
        <v>0.0</v>
      </c>
      <c r="D64" s="154">
        <v>0.0</v>
      </c>
      <c r="E64" s="154">
        <v>0.0</v>
      </c>
      <c r="F64" s="154">
        <v>14.0</v>
      </c>
      <c r="G64" s="154">
        <v>188.0</v>
      </c>
      <c r="H64" s="154">
        <f t="shared" ref="H64:H67" si="315">SUM(C64:G64)</f>
        <v>202</v>
      </c>
      <c r="I64" s="154">
        <v>71.0</v>
      </c>
      <c r="J64" s="154">
        <v>172.0</v>
      </c>
      <c r="K64" s="154">
        <v>520.0</v>
      </c>
      <c r="L64" s="156">
        <f t="shared" ref="L64:L67" si="316">SUM(I64:K64)</f>
        <v>763</v>
      </c>
      <c r="M64" s="154">
        <v>368.0</v>
      </c>
      <c r="N64" s="154">
        <v>7.0</v>
      </c>
      <c r="O64" s="154">
        <v>0.0</v>
      </c>
      <c r="P64" s="156">
        <f t="shared" ref="P64:P67" si="317">SUM(M64:O64)</f>
        <v>375</v>
      </c>
      <c r="Q64" s="154">
        <v>13.0</v>
      </c>
      <c r="R64" s="154">
        <v>163.0</v>
      </c>
      <c r="S64" s="154">
        <v>465.0</v>
      </c>
      <c r="T64" s="156">
        <f t="shared" ref="T64:T67" si="318">SUM(Q64:S64)</f>
        <v>641</v>
      </c>
      <c r="U64" s="154">
        <v>244.0</v>
      </c>
      <c r="V64" s="154">
        <v>744.0</v>
      </c>
      <c r="W64" s="154">
        <v>971.0</v>
      </c>
      <c r="X64" s="156">
        <f t="shared" ref="X64:X67" si="319">SUM(U64:W64)</f>
        <v>1959</v>
      </c>
      <c r="Y64" s="156">
        <f t="shared" ref="Y64:Y67" si="320">SUM(X64,T64,P64,L64)</f>
        <v>3738</v>
      </c>
      <c r="Z64" s="154">
        <v>452.0</v>
      </c>
      <c r="AA64" s="154">
        <v>477.0</v>
      </c>
      <c r="AB64" s="154">
        <v>473.0</v>
      </c>
      <c r="AC64" s="156">
        <f t="shared" ref="AC64:AC67" si="321">SUM(Z64:AB64)</f>
        <v>1402</v>
      </c>
      <c r="AD64" s="154">
        <v>878.0</v>
      </c>
      <c r="AE64" s="154">
        <v>868.0</v>
      </c>
      <c r="AF64" s="154">
        <v>1519.0</v>
      </c>
      <c r="AG64" s="156">
        <f t="shared" ref="AG64:AG67" si="322">SUM(AD64:AF64)</f>
        <v>3265</v>
      </c>
      <c r="AH64" s="154">
        <v>803.0</v>
      </c>
      <c r="AI64" s="154">
        <v>5613.0</v>
      </c>
      <c r="AJ64" s="154">
        <v>6050.0</v>
      </c>
      <c r="AK64" s="156">
        <f t="shared" ref="AK64:AK67" si="323">SUM(AH64:AJ64)</f>
        <v>12466</v>
      </c>
      <c r="AL64" s="154">
        <v>7590.0</v>
      </c>
      <c r="AM64" s="154">
        <v>3008.0</v>
      </c>
      <c r="AN64" s="154">
        <v>817.0</v>
      </c>
      <c r="AO64" s="156">
        <f t="shared" ref="AO64:AO67" si="324">SUM(AL64:AN64)</f>
        <v>11415</v>
      </c>
      <c r="AP64" s="156">
        <f t="shared" ref="AP64:AP67" si="325">SUM(AO64,AK64,AG64,AC64)</f>
        <v>28548</v>
      </c>
      <c r="AQ64" s="154">
        <v>2327.0</v>
      </c>
      <c r="AR64" s="154">
        <v>1865.0</v>
      </c>
      <c r="AS64" s="154">
        <v>762.0</v>
      </c>
      <c r="AT64" s="154">
        <f t="shared" ref="AT64:AT67" si="326">SUM(AQ64:AS64)</f>
        <v>4954</v>
      </c>
      <c r="AU64" s="154">
        <v>576.0</v>
      </c>
      <c r="AV64" s="154">
        <v>775.0</v>
      </c>
      <c r="AW64" s="154">
        <v>611.0</v>
      </c>
      <c r="AX64" s="154">
        <f t="shared" ref="AX64:AX67" si="327">SUM(AU64:AW64)</f>
        <v>1962</v>
      </c>
      <c r="AY64" s="154">
        <v>645.0</v>
      </c>
      <c r="AZ64" s="154">
        <v>539.0</v>
      </c>
      <c r="BA64" s="154">
        <v>426.0</v>
      </c>
      <c r="BB64" s="154">
        <f t="shared" ref="BB64:BB67" si="328">SUM(AY64:BA64)</f>
        <v>1610</v>
      </c>
      <c r="BC64" s="154">
        <v>32.0</v>
      </c>
      <c r="BD64" s="154">
        <v>353.0</v>
      </c>
      <c r="BE64" s="154">
        <v>1264.0</v>
      </c>
      <c r="BF64" s="154">
        <f t="shared" ref="BF64:BF67" si="329">SUM(BC64:BE64)</f>
        <v>1649</v>
      </c>
      <c r="BG64" s="154">
        <f t="shared" ref="BG64:BG67" si="330">SUM(AT64,AX64,BB64,BF64)</f>
        <v>10175</v>
      </c>
      <c r="BH64" s="154">
        <v>65.0</v>
      </c>
      <c r="BI64" s="154">
        <v>2253.0</v>
      </c>
      <c r="BJ64" s="154">
        <v>244.0</v>
      </c>
      <c r="BK64" s="154">
        <f t="shared" ref="BK64:BK67" si="331">SUM(BH64:BJ64)</f>
        <v>2562</v>
      </c>
      <c r="BL64" s="154">
        <v>786.0</v>
      </c>
      <c r="BM64" s="154">
        <v>224.0</v>
      </c>
      <c r="BN64" s="154">
        <v>581.0</v>
      </c>
      <c r="BO64" s="154">
        <f t="shared" ref="BO64:BO67" si="332">SUM(BL64:BN64)</f>
        <v>1591</v>
      </c>
      <c r="BP64" s="154">
        <v>0.0</v>
      </c>
      <c r="BQ64" s="154">
        <v>820.0</v>
      </c>
      <c r="BR64" s="154">
        <v>1498.0</v>
      </c>
      <c r="BS64" s="154">
        <f t="shared" ref="BS64:BS67" si="333">SUM(BP64:BR64)</f>
        <v>2318</v>
      </c>
      <c r="BT64" s="154">
        <v>85.0</v>
      </c>
      <c r="BU64" s="154">
        <v>153.0</v>
      </c>
      <c r="BV64" s="154">
        <v>1243.0</v>
      </c>
      <c r="BW64" s="154">
        <f t="shared" ref="BW64:BW67" si="334">SUM(BT64:BV64)</f>
        <v>1481</v>
      </c>
      <c r="BX64" s="154">
        <f t="shared" ref="BX64:BX67" si="335">SUM(BK64,BO64,BS64,BW64)</f>
        <v>7952</v>
      </c>
      <c r="BY64" s="154">
        <v>261.0</v>
      </c>
      <c r="BZ64" s="154">
        <v>261.0</v>
      </c>
      <c r="CA64" s="154">
        <f t="shared" ref="CA64:CA67" si="336">BZ64-BY64</f>
        <v>0</v>
      </c>
      <c r="CB64" s="154">
        <v>28.0</v>
      </c>
      <c r="CC64" s="154">
        <v>28.0</v>
      </c>
      <c r="CD64" s="154">
        <f t="shared" ref="CD64:CD67" si="337">CC64-CB64</f>
        <v>0</v>
      </c>
      <c r="CE64" s="154">
        <v>0.0</v>
      </c>
      <c r="CF64" s="154">
        <v>50.0</v>
      </c>
      <c r="CG64" s="154">
        <f t="shared" ref="CG64:CG67" si="338">CF64-CE64</f>
        <v>50</v>
      </c>
      <c r="CH64" s="154">
        <f t="shared" ref="CH64:CH67" si="339">SUM(BY64:CF64)</f>
        <v>628</v>
      </c>
      <c r="CI64" s="154">
        <v>480.0</v>
      </c>
      <c r="CJ64" s="154">
        <v>471.0</v>
      </c>
      <c r="CK64" s="154">
        <f t="shared" ref="CK64:CK67" si="340">CJ64-CI64</f>
        <v>-9</v>
      </c>
      <c r="CL64" s="154">
        <v>1014.0</v>
      </c>
      <c r="CM64" s="154">
        <v>1014.0</v>
      </c>
      <c r="CN64" s="154">
        <f t="shared" ref="CN64:CN67" si="342">CM64-CL64</f>
        <v>0</v>
      </c>
      <c r="CO64" s="154">
        <v>694.0</v>
      </c>
      <c r="CP64" s="154">
        <v>694.0</v>
      </c>
      <c r="CQ64" s="154">
        <f t="shared" ref="CQ64:CQ67" si="343">CP64-CO64</f>
        <v>0</v>
      </c>
      <c r="CR64" s="154">
        <f t="shared" ref="CR64:CR67" si="344">SUM(CI64:CO64)</f>
        <v>3664</v>
      </c>
      <c r="CS64" s="154">
        <v>781.0</v>
      </c>
      <c r="CT64" s="154">
        <f t="shared" ref="CT64:CT67" si="345">SUM(CA64,CD64,CG64,CK64,CN64,CQ64)</f>
        <v>41</v>
      </c>
      <c r="CU64" s="154">
        <f>CS64+CT64</f>
        <v>822</v>
      </c>
      <c r="CV64" s="154"/>
      <c r="CW64" s="154"/>
      <c r="CX64" s="154">
        <f t="shared" ref="CX64:CX67" si="346">SUM(CS64:CW64)</f>
        <v>1644</v>
      </c>
      <c r="CY64" s="154"/>
      <c r="CZ64" s="154"/>
      <c r="DA64" s="154"/>
      <c r="DB64" s="154">
        <f t="shared" ref="DB64:DB67" si="347">SUM(CY64:DA64)</f>
        <v>0</v>
      </c>
      <c r="DC64" s="154">
        <f t="shared" ref="DC64:DC67" si="348">SUM(CH64,CR64,CX64,DB64)</f>
        <v>5936</v>
      </c>
      <c r="DD64" s="154">
        <f t="shared" ref="DD64:DD67" si="349">SUM(B64,H64,Y64,AP64,BG64,BX64,DC64)</f>
        <v>57576</v>
      </c>
      <c r="DE64" s="6"/>
      <c r="DF64" s="6"/>
      <c r="DG64" s="6"/>
      <c r="DH64" s="6"/>
      <c r="DI64" s="6"/>
      <c r="DJ64" s="6"/>
      <c r="DK64" s="6"/>
      <c r="DL64" s="6"/>
    </row>
    <row r="65" ht="15.75" customHeight="1">
      <c r="A65" s="169" t="s">
        <v>135</v>
      </c>
      <c r="B65" s="154">
        <v>5840.0</v>
      </c>
      <c r="C65" s="154">
        <v>0.0</v>
      </c>
      <c r="D65" s="154">
        <v>0.0</v>
      </c>
      <c r="E65" s="154">
        <v>70.0</v>
      </c>
      <c r="F65" s="154">
        <v>106.0</v>
      </c>
      <c r="G65" s="154">
        <v>160.0</v>
      </c>
      <c r="H65" s="154">
        <f t="shared" si="315"/>
        <v>336</v>
      </c>
      <c r="I65" s="154">
        <v>70.0</v>
      </c>
      <c r="J65" s="154">
        <v>408.0</v>
      </c>
      <c r="K65" s="154">
        <v>213.0</v>
      </c>
      <c r="L65" s="156">
        <f t="shared" si="316"/>
        <v>691</v>
      </c>
      <c r="M65" s="154">
        <v>264.0</v>
      </c>
      <c r="N65" s="154">
        <v>18.0</v>
      </c>
      <c r="O65" s="154">
        <v>0.0</v>
      </c>
      <c r="P65" s="156">
        <f t="shared" si="317"/>
        <v>282</v>
      </c>
      <c r="Q65" s="154">
        <v>26.0</v>
      </c>
      <c r="R65" s="154">
        <v>159.0</v>
      </c>
      <c r="S65" s="154">
        <v>663.0</v>
      </c>
      <c r="T65" s="156">
        <f t="shared" si="318"/>
        <v>848</v>
      </c>
      <c r="U65" s="154">
        <v>465.0</v>
      </c>
      <c r="V65" s="154">
        <v>1575.0</v>
      </c>
      <c r="W65" s="154">
        <v>1016.0</v>
      </c>
      <c r="X65" s="156">
        <f t="shared" si="319"/>
        <v>3056</v>
      </c>
      <c r="Y65" s="156">
        <f t="shared" si="320"/>
        <v>4877</v>
      </c>
      <c r="Z65" s="154">
        <v>0.0</v>
      </c>
      <c r="AA65" s="154">
        <v>32.0</v>
      </c>
      <c r="AB65" s="154">
        <v>452.0</v>
      </c>
      <c r="AC65" s="156">
        <f t="shared" si="321"/>
        <v>484</v>
      </c>
      <c r="AD65" s="154">
        <v>1312.0</v>
      </c>
      <c r="AE65" s="154">
        <v>612.0</v>
      </c>
      <c r="AF65" s="154">
        <v>352.0</v>
      </c>
      <c r="AG65" s="156">
        <f t="shared" si="322"/>
        <v>2276</v>
      </c>
      <c r="AH65" s="154">
        <v>689.0</v>
      </c>
      <c r="AI65" s="154">
        <v>8486.0</v>
      </c>
      <c r="AJ65" s="154">
        <v>2981.0</v>
      </c>
      <c r="AK65" s="156">
        <f t="shared" si="323"/>
        <v>12156</v>
      </c>
      <c r="AL65" s="154">
        <v>2546.0</v>
      </c>
      <c r="AM65" s="154">
        <v>804.0</v>
      </c>
      <c r="AN65" s="154">
        <v>1180.0</v>
      </c>
      <c r="AO65" s="156">
        <f t="shared" si="324"/>
        <v>4530</v>
      </c>
      <c r="AP65" s="156">
        <f t="shared" si="325"/>
        <v>19446</v>
      </c>
      <c r="AQ65" s="154">
        <v>1885.0</v>
      </c>
      <c r="AR65" s="154">
        <v>3406.0</v>
      </c>
      <c r="AS65" s="154">
        <v>1072.0</v>
      </c>
      <c r="AT65" s="154">
        <f t="shared" si="326"/>
        <v>6363</v>
      </c>
      <c r="AU65" s="154">
        <v>324.0</v>
      </c>
      <c r="AV65" s="154">
        <v>1626.0</v>
      </c>
      <c r="AW65" s="154">
        <v>319.0</v>
      </c>
      <c r="AX65" s="154">
        <f t="shared" si="327"/>
        <v>2269</v>
      </c>
      <c r="AY65" s="154">
        <v>194.0</v>
      </c>
      <c r="AZ65" s="154">
        <v>536.0</v>
      </c>
      <c r="BA65" s="154">
        <v>455.0</v>
      </c>
      <c r="BB65" s="154">
        <f t="shared" si="328"/>
        <v>1185</v>
      </c>
      <c r="BC65" s="154">
        <v>86.0</v>
      </c>
      <c r="BD65" s="154">
        <v>391.0</v>
      </c>
      <c r="BE65" s="154">
        <v>569.0</v>
      </c>
      <c r="BF65" s="154">
        <f t="shared" si="329"/>
        <v>1046</v>
      </c>
      <c r="BG65" s="154">
        <f t="shared" si="330"/>
        <v>10863</v>
      </c>
      <c r="BH65" s="154">
        <v>97.0</v>
      </c>
      <c r="BI65" s="154">
        <v>141.0</v>
      </c>
      <c r="BJ65" s="154">
        <v>206.0</v>
      </c>
      <c r="BK65" s="154">
        <f t="shared" si="331"/>
        <v>444</v>
      </c>
      <c r="BL65" s="154">
        <v>959.0</v>
      </c>
      <c r="BM65" s="154">
        <v>354.0</v>
      </c>
      <c r="BN65" s="154">
        <v>699.0</v>
      </c>
      <c r="BO65" s="154">
        <f t="shared" si="332"/>
        <v>2012</v>
      </c>
      <c r="BP65" s="154">
        <v>743.0</v>
      </c>
      <c r="BQ65" s="154">
        <v>142.0</v>
      </c>
      <c r="BR65" s="154">
        <v>547.0</v>
      </c>
      <c r="BS65" s="154">
        <f t="shared" si="333"/>
        <v>1432</v>
      </c>
      <c r="BT65" s="154">
        <v>49.0</v>
      </c>
      <c r="BU65" s="154">
        <v>57.0</v>
      </c>
      <c r="BV65" s="154">
        <v>121.0</v>
      </c>
      <c r="BW65" s="154">
        <f t="shared" si="334"/>
        <v>227</v>
      </c>
      <c r="BX65" s="154">
        <f t="shared" si="335"/>
        <v>4115</v>
      </c>
      <c r="BY65" s="154">
        <v>15.0</v>
      </c>
      <c r="BZ65" s="154">
        <v>15.0</v>
      </c>
      <c r="CA65" s="154">
        <f t="shared" si="336"/>
        <v>0</v>
      </c>
      <c r="CB65" s="154">
        <v>6.0</v>
      </c>
      <c r="CC65" s="154">
        <v>6.0</v>
      </c>
      <c r="CD65" s="154">
        <f t="shared" si="337"/>
        <v>0</v>
      </c>
      <c r="CE65" s="154">
        <v>0.0</v>
      </c>
      <c r="CF65" s="154">
        <v>126.0</v>
      </c>
      <c r="CG65" s="154">
        <f t="shared" si="338"/>
        <v>126</v>
      </c>
      <c r="CH65" s="154">
        <f t="shared" si="339"/>
        <v>168</v>
      </c>
      <c r="CI65" s="154">
        <v>523.0</v>
      </c>
      <c r="CJ65" s="154">
        <v>148.0</v>
      </c>
      <c r="CK65" s="154">
        <f t="shared" si="340"/>
        <v>-375</v>
      </c>
      <c r="CL65" s="154">
        <f t="shared" ref="CL65:CM65" si="341">66+2</f>
        <v>68</v>
      </c>
      <c r="CM65" s="154">
        <f t="shared" si="341"/>
        <v>68</v>
      </c>
      <c r="CN65" s="154">
        <f t="shared" si="342"/>
        <v>0</v>
      </c>
      <c r="CO65" s="154">
        <v>76.0</v>
      </c>
      <c r="CP65" s="154">
        <v>78.0</v>
      </c>
      <c r="CQ65" s="154">
        <f t="shared" si="343"/>
        <v>2</v>
      </c>
      <c r="CR65" s="154">
        <f t="shared" si="344"/>
        <v>508</v>
      </c>
      <c r="CS65" s="154">
        <v>155.0</v>
      </c>
      <c r="CT65" s="154">
        <f t="shared" si="345"/>
        <v>-247</v>
      </c>
      <c r="CU65" s="154">
        <v>92.0</v>
      </c>
      <c r="CV65" s="154"/>
      <c r="CW65" s="154"/>
      <c r="CX65" s="154">
        <f t="shared" si="346"/>
        <v>0</v>
      </c>
      <c r="CY65" s="154"/>
      <c r="CZ65" s="154"/>
      <c r="DA65" s="154"/>
      <c r="DB65" s="154">
        <f t="shared" si="347"/>
        <v>0</v>
      </c>
      <c r="DC65" s="154">
        <f t="shared" si="348"/>
        <v>676</v>
      </c>
      <c r="DD65" s="154">
        <f t="shared" si="349"/>
        <v>46153</v>
      </c>
      <c r="DE65" s="6"/>
      <c r="DF65" s="6"/>
      <c r="DG65" s="6"/>
      <c r="DH65" s="6"/>
      <c r="DI65" s="6"/>
      <c r="DJ65" s="6"/>
      <c r="DK65" s="6"/>
      <c r="DL65" s="6"/>
    </row>
    <row r="66" ht="15.75" customHeight="1">
      <c r="A66" s="167" t="s">
        <v>136</v>
      </c>
      <c r="B66" s="154">
        <v>523.0</v>
      </c>
      <c r="C66" s="154">
        <v>0.0</v>
      </c>
      <c r="D66" s="154">
        <v>0.0</v>
      </c>
      <c r="E66" s="154">
        <v>4.0</v>
      </c>
      <c r="F66" s="154">
        <v>50.0</v>
      </c>
      <c r="G66" s="154">
        <v>146.0</v>
      </c>
      <c r="H66" s="154">
        <f t="shared" si="315"/>
        <v>200</v>
      </c>
      <c r="I66" s="154">
        <v>47.0</v>
      </c>
      <c r="J66" s="154">
        <v>87.0</v>
      </c>
      <c r="K66" s="154">
        <v>24.0</v>
      </c>
      <c r="L66" s="156">
        <f t="shared" si="316"/>
        <v>158</v>
      </c>
      <c r="M66" s="154">
        <v>87.0</v>
      </c>
      <c r="N66" s="154">
        <v>0.0</v>
      </c>
      <c r="O66" s="154">
        <v>0.0</v>
      </c>
      <c r="P66" s="156">
        <f t="shared" si="317"/>
        <v>87</v>
      </c>
      <c r="Q66" s="154">
        <v>38.0</v>
      </c>
      <c r="R66" s="154">
        <v>199.0</v>
      </c>
      <c r="S66" s="154">
        <v>590.0</v>
      </c>
      <c r="T66" s="156">
        <f t="shared" si="318"/>
        <v>827</v>
      </c>
      <c r="U66" s="154">
        <v>175.0</v>
      </c>
      <c r="V66" s="154">
        <v>914.0</v>
      </c>
      <c r="W66" s="154">
        <v>990.0</v>
      </c>
      <c r="X66" s="156">
        <f t="shared" si="319"/>
        <v>2079</v>
      </c>
      <c r="Y66" s="156">
        <f t="shared" si="320"/>
        <v>3151</v>
      </c>
      <c r="Z66" s="154">
        <v>17.0</v>
      </c>
      <c r="AA66" s="154">
        <v>14.0</v>
      </c>
      <c r="AB66" s="154">
        <v>137.0</v>
      </c>
      <c r="AC66" s="156">
        <f t="shared" si="321"/>
        <v>168</v>
      </c>
      <c r="AD66" s="154">
        <v>606.0</v>
      </c>
      <c r="AE66" s="154">
        <v>315.0</v>
      </c>
      <c r="AF66" s="154">
        <v>182.0</v>
      </c>
      <c r="AG66" s="156">
        <f t="shared" si="322"/>
        <v>1103</v>
      </c>
      <c r="AH66" s="154">
        <v>825.0</v>
      </c>
      <c r="AI66" s="154">
        <v>5355.0</v>
      </c>
      <c r="AJ66" s="154">
        <v>1888.0</v>
      </c>
      <c r="AK66" s="156">
        <f t="shared" si="323"/>
        <v>8068</v>
      </c>
      <c r="AL66" s="154">
        <v>4986.0</v>
      </c>
      <c r="AM66" s="154">
        <v>2380.0</v>
      </c>
      <c r="AN66" s="154">
        <v>1391.0</v>
      </c>
      <c r="AO66" s="156">
        <f t="shared" si="324"/>
        <v>8757</v>
      </c>
      <c r="AP66" s="156">
        <f t="shared" si="325"/>
        <v>18096</v>
      </c>
      <c r="AQ66" s="154">
        <v>1466.0</v>
      </c>
      <c r="AR66" s="154">
        <v>4241.0</v>
      </c>
      <c r="AS66" s="154">
        <v>1347.0</v>
      </c>
      <c r="AT66" s="154">
        <f t="shared" si="326"/>
        <v>7054</v>
      </c>
      <c r="AU66" s="154">
        <v>231.0</v>
      </c>
      <c r="AV66" s="154">
        <v>759.0</v>
      </c>
      <c r="AW66" s="154">
        <v>119.0</v>
      </c>
      <c r="AX66" s="154">
        <f t="shared" si="327"/>
        <v>1109</v>
      </c>
      <c r="AY66" s="154">
        <v>60.0</v>
      </c>
      <c r="AZ66" s="154">
        <v>765.0</v>
      </c>
      <c r="BA66" s="154">
        <v>959.0</v>
      </c>
      <c r="BB66" s="154">
        <f t="shared" si="328"/>
        <v>1784</v>
      </c>
      <c r="BC66" s="154">
        <v>104.0</v>
      </c>
      <c r="BD66" s="154">
        <v>458.0</v>
      </c>
      <c r="BE66" s="154">
        <v>992.0</v>
      </c>
      <c r="BF66" s="154">
        <f t="shared" si="329"/>
        <v>1554</v>
      </c>
      <c r="BG66" s="154">
        <f t="shared" si="330"/>
        <v>11501</v>
      </c>
      <c r="BH66" s="154">
        <v>1169.0</v>
      </c>
      <c r="BI66" s="154">
        <v>300.0</v>
      </c>
      <c r="BJ66" s="154">
        <v>453.0</v>
      </c>
      <c r="BK66" s="154">
        <f t="shared" si="331"/>
        <v>1922</v>
      </c>
      <c r="BL66" s="154">
        <v>602.0</v>
      </c>
      <c r="BM66" s="154">
        <v>96.0</v>
      </c>
      <c r="BN66" s="154">
        <v>388.0</v>
      </c>
      <c r="BO66" s="154">
        <f t="shared" si="332"/>
        <v>1086</v>
      </c>
      <c r="BP66" s="154">
        <v>0.0</v>
      </c>
      <c r="BQ66" s="154">
        <v>248.0</v>
      </c>
      <c r="BR66" s="154">
        <v>182.0</v>
      </c>
      <c r="BS66" s="154">
        <f t="shared" si="333"/>
        <v>430</v>
      </c>
      <c r="BT66" s="154">
        <v>38.0</v>
      </c>
      <c r="BU66" s="154">
        <v>73.0</v>
      </c>
      <c r="BV66" s="154">
        <v>316.0</v>
      </c>
      <c r="BW66" s="154">
        <f t="shared" si="334"/>
        <v>427</v>
      </c>
      <c r="BX66" s="154">
        <f t="shared" si="335"/>
        <v>3865</v>
      </c>
      <c r="BY66" s="154">
        <v>63.0</v>
      </c>
      <c r="BZ66" s="154">
        <v>63.0</v>
      </c>
      <c r="CA66" s="154">
        <f t="shared" si="336"/>
        <v>0</v>
      </c>
      <c r="CB66" s="154">
        <v>22.0</v>
      </c>
      <c r="CC66" s="154">
        <v>22.0</v>
      </c>
      <c r="CD66" s="154">
        <f t="shared" si="337"/>
        <v>0</v>
      </c>
      <c r="CE66" s="154">
        <v>0.0</v>
      </c>
      <c r="CF66" s="154">
        <v>18.0</v>
      </c>
      <c r="CG66" s="154">
        <f t="shared" si="338"/>
        <v>18</v>
      </c>
      <c r="CH66" s="154">
        <f t="shared" si="339"/>
        <v>188</v>
      </c>
      <c r="CI66" s="154">
        <v>222.0</v>
      </c>
      <c r="CJ66" s="154">
        <v>232.0</v>
      </c>
      <c r="CK66" s="154">
        <f t="shared" si="340"/>
        <v>10</v>
      </c>
      <c r="CL66" s="154">
        <v>427.0</v>
      </c>
      <c r="CM66" s="154">
        <v>427.0</v>
      </c>
      <c r="CN66" s="154">
        <f t="shared" si="342"/>
        <v>0</v>
      </c>
      <c r="CO66" s="154">
        <v>204.0</v>
      </c>
      <c r="CP66" s="154">
        <v>204.0</v>
      </c>
      <c r="CQ66" s="154">
        <f t="shared" si="343"/>
        <v>0</v>
      </c>
      <c r="CR66" s="154">
        <f t="shared" si="344"/>
        <v>1522</v>
      </c>
      <c r="CS66" s="154">
        <v>379.0</v>
      </c>
      <c r="CT66" s="154">
        <f t="shared" si="345"/>
        <v>28</v>
      </c>
      <c r="CU66" s="154">
        <f>CS66+CT66-92-92</f>
        <v>223</v>
      </c>
      <c r="CV66" s="154"/>
      <c r="CW66" s="154"/>
      <c r="CX66" s="154">
        <f t="shared" si="346"/>
        <v>630</v>
      </c>
      <c r="CY66" s="154"/>
      <c r="CZ66" s="154"/>
      <c r="DA66" s="154"/>
      <c r="DB66" s="154">
        <f t="shared" si="347"/>
        <v>0</v>
      </c>
      <c r="DC66" s="154">
        <f t="shared" si="348"/>
        <v>2340</v>
      </c>
      <c r="DD66" s="154">
        <f t="shared" si="349"/>
        <v>39676</v>
      </c>
      <c r="DE66" s="6"/>
      <c r="DF66" s="6"/>
      <c r="DG66" s="6"/>
      <c r="DH66" s="6"/>
      <c r="DI66" s="6"/>
      <c r="DJ66" s="6"/>
      <c r="DK66" s="6"/>
      <c r="DL66" s="6"/>
    </row>
    <row r="67" ht="15.75" customHeight="1">
      <c r="A67" s="167" t="s">
        <v>137</v>
      </c>
      <c r="B67" s="154">
        <v>949.0</v>
      </c>
      <c r="C67" s="154">
        <v>0.0</v>
      </c>
      <c r="D67" s="154">
        <v>0.0</v>
      </c>
      <c r="E67" s="154">
        <v>0.0</v>
      </c>
      <c r="F67" s="154">
        <v>0.0</v>
      </c>
      <c r="G67" s="154">
        <v>0.0</v>
      </c>
      <c r="H67" s="154">
        <f t="shared" si="315"/>
        <v>0</v>
      </c>
      <c r="I67" s="154">
        <v>24.0</v>
      </c>
      <c r="J67" s="154">
        <v>12.0</v>
      </c>
      <c r="K67" s="154">
        <v>23.0</v>
      </c>
      <c r="L67" s="156">
        <f t="shared" si="316"/>
        <v>59</v>
      </c>
      <c r="M67" s="154">
        <v>45.0</v>
      </c>
      <c r="N67" s="154">
        <v>0.0</v>
      </c>
      <c r="O67" s="154">
        <v>0.0</v>
      </c>
      <c r="P67" s="156">
        <f t="shared" si="317"/>
        <v>45</v>
      </c>
      <c r="Q67" s="154">
        <v>2.0</v>
      </c>
      <c r="R67" s="154">
        <v>6.0</v>
      </c>
      <c r="S67" s="154">
        <v>89.0</v>
      </c>
      <c r="T67" s="156">
        <f t="shared" si="318"/>
        <v>97</v>
      </c>
      <c r="U67" s="154">
        <v>4.0</v>
      </c>
      <c r="V67" s="154">
        <v>40.0</v>
      </c>
      <c r="W67" s="154">
        <v>21.0</v>
      </c>
      <c r="X67" s="156">
        <f t="shared" si="319"/>
        <v>65</v>
      </c>
      <c r="Y67" s="156">
        <f t="shared" si="320"/>
        <v>266</v>
      </c>
      <c r="Z67" s="154">
        <v>0.0</v>
      </c>
      <c r="AA67" s="154">
        <v>40.0</v>
      </c>
      <c r="AB67" s="154">
        <v>48.0</v>
      </c>
      <c r="AC67" s="156">
        <f t="shared" si="321"/>
        <v>88</v>
      </c>
      <c r="AD67" s="154">
        <v>115.0</v>
      </c>
      <c r="AE67" s="154">
        <v>7.0</v>
      </c>
      <c r="AF67" s="154">
        <v>9.0</v>
      </c>
      <c r="AG67" s="156">
        <f t="shared" si="322"/>
        <v>131</v>
      </c>
      <c r="AH67" s="154">
        <v>19.0</v>
      </c>
      <c r="AI67" s="154">
        <v>273.0</v>
      </c>
      <c r="AJ67" s="154">
        <v>84.0</v>
      </c>
      <c r="AK67" s="156">
        <f t="shared" si="323"/>
        <v>376</v>
      </c>
      <c r="AL67" s="154">
        <v>217.0</v>
      </c>
      <c r="AM67" s="154">
        <v>63.0</v>
      </c>
      <c r="AN67" s="154">
        <v>148.0</v>
      </c>
      <c r="AO67" s="156">
        <f t="shared" si="324"/>
        <v>428</v>
      </c>
      <c r="AP67" s="156">
        <f t="shared" si="325"/>
        <v>1023</v>
      </c>
      <c r="AQ67" s="154">
        <v>163.0</v>
      </c>
      <c r="AR67" s="154">
        <v>232.0</v>
      </c>
      <c r="AS67" s="154">
        <v>81.0</v>
      </c>
      <c r="AT67" s="154">
        <f t="shared" si="326"/>
        <v>476</v>
      </c>
      <c r="AU67" s="154">
        <v>1.0</v>
      </c>
      <c r="AV67" s="154">
        <v>44.0</v>
      </c>
      <c r="AW67" s="154">
        <v>2.0</v>
      </c>
      <c r="AX67" s="154">
        <f t="shared" si="327"/>
        <v>47</v>
      </c>
      <c r="AY67" s="154">
        <v>1.0</v>
      </c>
      <c r="AZ67" s="154">
        <v>11.0</v>
      </c>
      <c r="BA67" s="154">
        <v>1.0</v>
      </c>
      <c r="BB67" s="154">
        <f t="shared" si="328"/>
        <v>13</v>
      </c>
      <c r="BC67" s="154">
        <v>11.0</v>
      </c>
      <c r="BD67" s="154">
        <v>50.0</v>
      </c>
      <c r="BE67" s="154">
        <v>44.0</v>
      </c>
      <c r="BF67" s="154">
        <f t="shared" si="329"/>
        <v>105</v>
      </c>
      <c r="BG67" s="154">
        <f t="shared" si="330"/>
        <v>641</v>
      </c>
      <c r="BH67" s="154">
        <v>12.0</v>
      </c>
      <c r="BI67" s="154">
        <v>15.0</v>
      </c>
      <c r="BJ67" s="154">
        <v>11.0</v>
      </c>
      <c r="BK67" s="154">
        <f t="shared" si="331"/>
        <v>38</v>
      </c>
      <c r="BL67" s="154">
        <v>85.0</v>
      </c>
      <c r="BM67" s="154">
        <v>20.0</v>
      </c>
      <c r="BN67" s="154">
        <v>21.0</v>
      </c>
      <c r="BO67" s="154">
        <f t="shared" si="332"/>
        <v>126</v>
      </c>
      <c r="BP67" s="154">
        <v>8.0</v>
      </c>
      <c r="BQ67" s="154">
        <v>65.0</v>
      </c>
      <c r="BR67" s="154">
        <v>53.0</v>
      </c>
      <c r="BS67" s="154">
        <f t="shared" si="333"/>
        <v>126</v>
      </c>
      <c r="BT67" s="154">
        <v>2.0</v>
      </c>
      <c r="BU67" s="154">
        <v>20.0</v>
      </c>
      <c r="BV67" s="154">
        <v>10.0</v>
      </c>
      <c r="BW67" s="154">
        <f t="shared" si="334"/>
        <v>32</v>
      </c>
      <c r="BX67" s="154">
        <f t="shared" si="335"/>
        <v>322</v>
      </c>
      <c r="BY67" s="154">
        <v>3.0</v>
      </c>
      <c r="BZ67" s="154">
        <v>3.0</v>
      </c>
      <c r="CA67" s="154">
        <f t="shared" si="336"/>
        <v>0</v>
      </c>
      <c r="CB67" s="154">
        <v>18.0</v>
      </c>
      <c r="CC67" s="154">
        <v>18.0</v>
      </c>
      <c r="CD67" s="154">
        <f t="shared" si="337"/>
        <v>0</v>
      </c>
      <c r="CE67" s="154">
        <v>0.0</v>
      </c>
      <c r="CF67" s="154">
        <v>1.0</v>
      </c>
      <c r="CG67" s="154">
        <f t="shared" si="338"/>
        <v>1</v>
      </c>
      <c r="CH67" s="154">
        <f t="shared" si="339"/>
        <v>43</v>
      </c>
      <c r="CI67" s="154">
        <v>48.0</v>
      </c>
      <c r="CJ67" s="154">
        <v>47.0</v>
      </c>
      <c r="CK67" s="154">
        <f t="shared" si="340"/>
        <v>-1</v>
      </c>
      <c r="CL67" s="154">
        <v>25.0</v>
      </c>
      <c r="CM67" s="154">
        <v>25.0</v>
      </c>
      <c r="CN67" s="154">
        <f t="shared" si="342"/>
        <v>0</v>
      </c>
      <c r="CO67" s="154">
        <v>10.0</v>
      </c>
      <c r="CP67" s="154">
        <v>10.0</v>
      </c>
      <c r="CQ67" s="154">
        <f t="shared" si="343"/>
        <v>0</v>
      </c>
      <c r="CR67" s="154">
        <f t="shared" si="344"/>
        <v>154</v>
      </c>
      <c r="CS67" s="154">
        <v>18.0</v>
      </c>
      <c r="CT67" s="154">
        <f t="shared" si="345"/>
        <v>0</v>
      </c>
      <c r="CU67" s="154">
        <f>CS67+CT67</f>
        <v>18</v>
      </c>
      <c r="CV67" s="154"/>
      <c r="CW67" s="154"/>
      <c r="CX67" s="154">
        <f t="shared" si="346"/>
        <v>36</v>
      </c>
      <c r="CY67" s="154"/>
      <c r="CZ67" s="154"/>
      <c r="DA67" s="154"/>
      <c r="DB67" s="154">
        <f t="shared" si="347"/>
        <v>0</v>
      </c>
      <c r="DC67" s="154">
        <f t="shared" si="348"/>
        <v>233</v>
      </c>
      <c r="DD67" s="154">
        <f t="shared" si="349"/>
        <v>3434</v>
      </c>
      <c r="DE67" s="6"/>
      <c r="DF67" s="6"/>
      <c r="DG67" s="6"/>
      <c r="DH67" s="6"/>
      <c r="DI67" s="6"/>
      <c r="DJ67" s="6"/>
      <c r="DK67" s="6"/>
      <c r="DL67" s="6"/>
    </row>
    <row r="68" ht="15.75" customHeight="1">
      <c r="A68" s="137" t="s">
        <v>138</v>
      </c>
      <c r="B68" s="141">
        <f t="shared" ref="B68:DD68" si="350">SUM(B69:B74)</f>
        <v>47375</v>
      </c>
      <c r="C68" s="141">
        <f t="shared" si="350"/>
        <v>0</v>
      </c>
      <c r="D68" s="141">
        <f t="shared" si="350"/>
        <v>0</v>
      </c>
      <c r="E68" s="141">
        <f t="shared" si="350"/>
        <v>0</v>
      </c>
      <c r="F68" s="141">
        <f t="shared" si="350"/>
        <v>341</v>
      </c>
      <c r="G68" s="141">
        <f t="shared" si="350"/>
        <v>577</v>
      </c>
      <c r="H68" s="141">
        <f t="shared" si="350"/>
        <v>918</v>
      </c>
      <c r="I68" s="141">
        <f t="shared" si="350"/>
        <v>199</v>
      </c>
      <c r="J68" s="141">
        <f t="shared" si="350"/>
        <v>234</v>
      </c>
      <c r="K68" s="141">
        <f t="shared" si="350"/>
        <v>489</v>
      </c>
      <c r="L68" s="141">
        <f t="shared" si="350"/>
        <v>922</v>
      </c>
      <c r="M68" s="141">
        <f t="shared" si="350"/>
        <v>19</v>
      </c>
      <c r="N68" s="141">
        <f t="shared" si="350"/>
        <v>12</v>
      </c>
      <c r="O68" s="141">
        <f t="shared" si="350"/>
        <v>0</v>
      </c>
      <c r="P68" s="141">
        <f t="shared" si="350"/>
        <v>31</v>
      </c>
      <c r="Q68" s="141">
        <f t="shared" si="350"/>
        <v>25</v>
      </c>
      <c r="R68" s="141">
        <f t="shared" si="350"/>
        <v>187</v>
      </c>
      <c r="S68" s="141">
        <f t="shared" si="350"/>
        <v>2095</v>
      </c>
      <c r="T68" s="141">
        <f t="shared" si="350"/>
        <v>2307</v>
      </c>
      <c r="U68" s="141">
        <f t="shared" si="350"/>
        <v>9720</v>
      </c>
      <c r="V68" s="141">
        <f t="shared" si="350"/>
        <v>5392</v>
      </c>
      <c r="W68" s="141">
        <f t="shared" si="350"/>
        <v>1285</v>
      </c>
      <c r="X68" s="141">
        <f t="shared" si="350"/>
        <v>16397</v>
      </c>
      <c r="Y68" s="141">
        <f t="shared" si="350"/>
        <v>19657</v>
      </c>
      <c r="Z68" s="141">
        <f t="shared" si="350"/>
        <v>1250</v>
      </c>
      <c r="AA68" s="141">
        <f t="shared" si="350"/>
        <v>1008</v>
      </c>
      <c r="AB68" s="141">
        <f t="shared" si="350"/>
        <v>124</v>
      </c>
      <c r="AC68" s="142">
        <f t="shared" si="350"/>
        <v>2382</v>
      </c>
      <c r="AD68" s="141">
        <f t="shared" si="350"/>
        <v>8</v>
      </c>
      <c r="AE68" s="141">
        <f t="shared" si="350"/>
        <v>137</v>
      </c>
      <c r="AF68" s="141">
        <f t="shared" si="350"/>
        <v>597</v>
      </c>
      <c r="AG68" s="142">
        <f t="shared" si="350"/>
        <v>742</v>
      </c>
      <c r="AH68" s="141">
        <f t="shared" si="350"/>
        <v>334</v>
      </c>
      <c r="AI68" s="141">
        <f t="shared" si="350"/>
        <v>553</v>
      </c>
      <c r="AJ68" s="141">
        <f t="shared" si="350"/>
        <v>1199</v>
      </c>
      <c r="AK68" s="142">
        <f t="shared" si="350"/>
        <v>2086</v>
      </c>
      <c r="AL68" s="141">
        <f t="shared" si="350"/>
        <v>2391</v>
      </c>
      <c r="AM68" s="141">
        <f t="shared" si="350"/>
        <v>923</v>
      </c>
      <c r="AN68" s="141">
        <f t="shared" si="350"/>
        <v>176</v>
      </c>
      <c r="AO68" s="142">
        <f t="shared" si="350"/>
        <v>3490</v>
      </c>
      <c r="AP68" s="142">
        <f t="shared" si="350"/>
        <v>8700</v>
      </c>
      <c r="AQ68" s="142">
        <f t="shared" si="350"/>
        <v>411</v>
      </c>
      <c r="AR68" s="142">
        <f t="shared" si="350"/>
        <v>296</v>
      </c>
      <c r="AS68" s="142">
        <f t="shared" si="350"/>
        <v>1247</v>
      </c>
      <c r="AT68" s="142">
        <f t="shared" si="350"/>
        <v>1954</v>
      </c>
      <c r="AU68" s="142">
        <f t="shared" si="350"/>
        <v>1731</v>
      </c>
      <c r="AV68" s="142">
        <f t="shared" si="350"/>
        <v>2403</v>
      </c>
      <c r="AW68" s="142">
        <f t="shared" si="350"/>
        <v>616</v>
      </c>
      <c r="AX68" s="142">
        <f t="shared" si="350"/>
        <v>4750</v>
      </c>
      <c r="AY68" s="142">
        <f t="shared" si="350"/>
        <v>5334</v>
      </c>
      <c r="AZ68" s="142">
        <f t="shared" si="350"/>
        <v>11044</v>
      </c>
      <c r="BA68" s="142">
        <f t="shared" si="350"/>
        <v>10862</v>
      </c>
      <c r="BB68" s="142">
        <f t="shared" si="350"/>
        <v>27240</v>
      </c>
      <c r="BC68" s="142">
        <f t="shared" si="350"/>
        <v>1181</v>
      </c>
      <c r="BD68" s="142">
        <f t="shared" si="350"/>
        <v>1656</v>
      </c>
      <c r="BE68" s="142">
        <f t="shared" si="350"/>
        <v>1942</v>
      </c>
      <c r="BF68" s="142">
        <f t="shared" si="350"/>
        <v>4779</v>
      </c>
      <c r="BG68" s="142">
        <f t="shared" si="350"/>
        <v>38723</v>
      </c>
      <c r="BH68" s="142">
        <f t="shared" si="350"/>
        <v>2245</v>
      </c>
      <c r="BI68" s="142">
        <f t="shared" si="350"/>
        <v>3272</v>
      </c>
      <c r="BJ68" s="142">
        <f t="shared" si="350"/>
        <v>2691</v>
      </c>
      <c r="BK68" s="142">
        <f t="shared" si="350"/>
        <v>8208</v>
      </c>
      <c r="BL68" s="142">
        <f t="shared" si="350"/>
        <v>3613</v>
      </c>
      <c r="BM68" s="142">
        <f t="shared" si="350"/>
        <v>2120</v>
      </c>
      <c r="BN68" s="142">
        <f t="shared" si="350"/>
        <v>2802</v>
      </c>
      <c r="BO68" s="142">
        <f t="shared" si="350"/>
        <v>8535</v>
      </c>
      <c r="BP68" s="142">
        <f t="shared" si="350"/>
        <v>570</v>
      </c>
      <c r="BQ68" s="142">
        <f t="shared" si="350"/>
        <v>1906</v>
      </c>
      <c r="BR68" s="142">
        <f t="shared" si="350"/>
        <v>5925</v>
      </c>
      <c r="BS68" s="142">
        <f t="shared" si="350"/>
        <v>8401</v>
      </c>
      <c r="BT68" s="142">
        <f t="shared" si="350"/>
        <v>5441</v>
      </c>
      <c r="BU68" s="142">
        <f t="shared" si="350"/>
        <v>4800</v>
      </c>
      <c r="BV68" s="142">
        <f t="shared" si="350"/>
        <v>9399</v>
      </c>
      <c r="BW68" s="142">
        <f t="shared" si="350"/>
        <v>19640</v>
      </c>
      <c r="BX68" s="142">
        <f t="shared" si="350"/>
        <v>44784</v>
      </c>
      <c r="BY68" s="141">
        <f t="shared" si="350"/>
        <v>1090</v>
      </c>
      <c r="BZ68" s="141">
        <f t="shared" si="350"/>
        <v>1090</v>
      </c>
      <c r="CA68" s="141">
        <f t="shared" si="350"/>
        <v>0</v>
      </c>
      <c r="CB68" s="141">
        <f t="shared" si="350"/>
        <v>6450</v>
      </c>
      <c r="CC68" s="141">
        <f t="shared" si="350"/>
        <v>6450</v>
      </c>
      <c r="CD68" s="141">
        <f t="shared" si="350"/>
        <v>0</v>
      </c>
      <c r="CE68" s="141">
        <f t="shared" si="350"/>
        <v>31</v>
      </c>
      <c r="CF68" s="141">
        <f t="shared" si="350"/>
        <v>4310</v>
      </c>
      <c r="CG68" s="141">
        <f t="shared" si="350"/>
        <v>4279</v>
      </c>
      <c r="CH68" s="141">
        <f t="shared" si="350"/>
        <v>17360</v>
      </c>
      <c r="CI68" s="141">
        <f t="shared" si="350"/>
        <v>4851</v>
      </c>
      <c r="CJ68" s="141">
        <f t="shared" si="350"/>
        <v>4863</v>
      </c>
      <c r="CK68" s="141">
        <f t="shared" si="350"/>
        <v>12</v>
      </c>
      <c r="CL68" s="141">
        <f t="shared" si="350"/>
        <v>6441</v>
      </c>
      <c r="CM68" s="141">
        <f t="shared" si="350"/>
        <v>6441</v>
      </c>
      <c r="CN68" s="141">
        <f t="shared" si="350"/>
        <v>0</v>
      </c>
      <c r="CO68" s="141">
        <f t="shared" si="350"/>
        <v>4587</v>
      </c>
      <c r="CP68" s="141">
        <f t="shared" si="350"/>
        <v>4835</v>
      </c>
      <c r="CQ68" s="141">
        <f t="shared" si="350"/>
        <v>248</v>
      </c>
      <c r="CR68" s="141">
        <f t="shared" si="350"/>
        <v>27195</v>
      </c>
      <c r="CS68" s="141">
        <f t="shared" si="350"/>
        <v>12792</v>
      </c>
      <c r="CT68" s="141">
        <f t="shared" si="350"/>
        <v>4539</v>
      </c>
      <c r="CU68" s="141">
        <f t="shared" si="350"/>
        <v>17331</v>
      </c>
      <c r="CV68" s="141">
        <f t="shared" si="350"/>
        <v>0</v>
      </c>
      <c r="CW68" s="141">
        <f t="shared" si="350"/>
        <v>0</v>
      </c>
      <c r="CX68" s="141">
        <f t="shared" si="350"/>
        <v>34662</v>
      </c>
      <c r="CY68" s="141">
        <f t="shared" si="350"/>
        <v>0</v>
      </c>
      <c r="CZ68" s="141">
        <f t="shared" si="350"/>
        <v>0</v>
      </c>
      <c r="DA68" s="141">
        <f t="shared" si="350"/>
        <v>0</v>
      </c>
      <c r="DB68" s="141">
        <f t="shared" si="350"/>
        <v>0</v>
      </c>
      <c r="DC68" s="141">
        <f t="shared" si="350"/>
        <v>79217</v>
      </c>
      <c r="DD68" s="141">
        <f t="shared" si="350"/>
        <v>239374</v>
      </c>
      <c r="DE68" s="6"/>
      <c r="DF68" s="24">
        <f>SUM(AK68,AO68,BG68,BX68,DC68)</f>
        <v>168300</v>
      </c>
      <c r="DG68" s="6"/>
      <c r="DH68" s="6"/>
      <c r="DI68" s="6"/>
      <c r="DJ68" s="6"/>
      <c r="DK68" s="6"/>
      <c r="DL68" s="6"/>
    </row>
    <row r="69" ht="15.75" customHeight="1">
      <c r="A69" s="167" t="s">
        <v>139</v>
      </c>
      <c r="B69" s="179">
        <v>2681.0</v>
      </c>
      <c r="C69" s="154">
        <v>0.0</v>
      </c>
      <c r="D69" s="154">
        <v>0.0</v>
      </c>
      <c r="E69" s="154">
        <v>0.0</v>
      </c>
      <c r="F69" s="154">
        <v>0.0</v>
      </c>
      <c r="G69" s="154">
        <v>2.0</v>
      </c>
      <c r="H69" s="154">
        <f t="shared" ref="H69:H74" si="351">SUM(C69:G69)</f>
        <v>2</v>
      </c>
      <c r="I69" s="154">
        <v>0.0</v>
      </c>
      <c r="J69" s="154">
        <v>0.0</v>
      </c>
      <c r="K69" s="155">
        <v>0.0</v>
      </c>
      <c r="L69" s="156">
        <f t="shared" ref="L69:L74" si="352">SUM(I69:K69)</f>
        <v>0</v>
      </c>
      <c r="M69" s="154">
        <v>0.0</v>
      </c>
      <c r="N69" s="154">
        <v>0.0</v>
      </c>
      <c r="O69" s="154">
        <v>0.0</v>
      </c>
      <c r="P69" s="156">
        <f t="shared" ref="P69:P74" si="353">SUM(M69:O69)</f>
        <v>0</v>
      </c>
      <c r="Q69" s="154">
        <v>0.0</v>
      </c>
      <c r="R69" s="154">
        <v>5.0</v>
      </c>
      <c r="S69" s="154">
        <v>84.0</v>
      </c>
      <c r="T69" s="156">
        <f t="shared" ref="T69:T74" si="354">SUM(Q69:S69)</f>
        <v>89</v>
      </c>
      <c r="U69" s="154">
        <v>153.0</v>
      </c>
      <c r="V69" s="154">
        <v>111.0</v>
      </c>
      <c r="W69" s="154">
        <v>18.0</v>
      </c>
      <c r="X69" s="156">
        <f t="shared" ref="X69:X74" si="355">SUM(U69:W69)</f>
        <v>282</v>
      </c>
      <c r="Y69" s="156">
        <f t="shared" ref="Y69:Y74" si="356">SUM(X69,T69,P69,L69)</f>
        <v>371</v>
      </c>
      <c r="Z69" s="154">
        <v>132.0</v>
      </c>
      <c r="AA69" s="154">
        <v>19.0</v>
      </c>
      <c r="AB69" s="155">
        <v>7.0</v>
      </c>
      <c r="AC69" s="156">
        <f t="shared" ref="AC69:AC74" si="357">SUM(Z69:AB69)</f>
        <v>158</v>
      </c>
      <c r="AD69" s="154">
        <v>0.0</v>
      </c>
      <c r="AE69" s="154">
        <v>2.0</v>
      </c>
      <c r="AF69" s="154">
        <v>23.0</v>
      </c>
      <c r="AG69" s="156">
        <f t="shared" ref="AG69:AG74" si="358">SUM(AD69:AF69)</f>
        <v>25</v>
      </c>
      <c r="AH69" s="154">
        <v>0.0</v>
      </c>
      <c r="AI69" s="154">
        <v>2.0</v>
      </c>
      <c r="AJ69" s="154">
        <v>8.0</v>
      </c>
      <c r="AK69" s="156">
        <f t="shared" ref="AK69:AK74" si="359">SUM(AH69:AJ69)</f>
        <v>10</v>
      </c>
      <c r="AL69" s="154">
        <v>19.0</v>
      </c>
      <c r="AM69" s="154">
        <v>2.0</v>
      </c>
      <c r="AN69" s="154">
        <v>1.0</v>
      </c>
      <c r="AO69" s="156">
        <f t="shared" ref="AO69:AO74" si="360">SUM(AL69:AN69)</f>
        <v>22</v>
      </c>
      <c r="AP69" s="156">
        <f t="shared" ref="AP69:AP74" si="361">SUM(AO69,AK69,AG69,AC69)</f>
        <v>215</v>
      </c>
      <c r="AQ69" s="154">
        <v>28.0</v>
      </c>
      <c r="AR69" s="154">
        <v>109.0</v>
      </c>
      <c r="AS69" s="154">
        <v>49.0</v>
      </c>
      <c r="AT69" s="154">
        <f t="shared" ref="AT69:AT74" si="362">SUM(AQ69:AS69)</f>
        <v>186</v>
      </c>
      <c r="AU69" s="154">
        <v>98.0</v>
      </c>
      <c r="AV69" s="154">
        <v>0.0</v>
      </c>
      <c r="AW69" s="154">
        <v>35.0</v>
      </c>
      <c r="AX69" s="154">
        <f t="shared" ref="AX69:AX74" si="363">SUM(AU69:AW69)</f>
        <v>133</v>
      </c>
      <c r="AY69" s="154">
        <v>534.0</v>
      </c>
      <c r="AZ69" s="154">
        <v>1163.0</v>
      </c>
      <c r="BA69" s="154">
        <v>645.0</v>
      </c>
      <c r="BB69" s="154">
        <f t="shared" ref="BB69:BB74" si="364">SUM(AY69:BA69)</f>
        <v>2342</v>
      </c>
      <c r="BC69" s="154">
        <v>19.0</v>
      </c>
      <c r="BD69" s="154">
        <v>11.0</v>
      </c>
      <c r="BE69" s="154">
        <v>0.0</v>
      </c>
      <c r="BF69" s="154">
        <f t="shared" ref="BF69:BF74" si="365">SUM(BC69:BE69)</f>
        <v>30</v>
      </c>
      <c r="BG69" s="154">
        <f t="shared" ref="BG69:BG74" si="366">SUM(AT69,AX69,BB69,BF69)</f>
        <v>2691</v>
      </c>
      <c r="BH69" s="154">
        <v>13.0</v>
      </c>
      <c r="BI69" s="154">
        <v>53.0</v>
      </c>
      <c r="BJ69" s="154">
        <v>93.0</v>
      </c>
      <c r="BK69" s="154">
        <f t="shared" ref="BK69:BK74" si="367">SUM(BH69:BJ69)</f>
        <v>159</v>
      </c>
      <c r="BL69" s="154">
        <v>247.0</v>
      </c>
      <c r="BM69" s="154">
        <v>201.0</v>
      </c>
      <c r="BN69" s="154">
        <v>6.0</v>
      </c>
      <c r="BO69" s="154">
        <f t="shared" ref="BO69:BO74" si="368">SUM(BL69:BN69)</f>
        <v>454</v>
      </c>
      <c r="BP69" s="154">
        <v>91.0</v>
      </c>
      <c r="BQ69" s="154">
        <v>262.0</v>
      </c>
      <c r="BR69" s="154">
        <v>309.0</v>
      </c>
      <c r="BS69" s="154">
        <f t="shared" ref="BS69:BS74" si="369">SUM(BP69:BR69)</f>
        <v>662</v>
      </c>
      <c r="BT69" s="154">
        <v>123.0</v>
      </c>
      <c r="BU69" s="154">
        <v>177.0</v>
      </c>
      <c r="BV69" s="154">
        <v>318.0</v>
      </c>
      <c r="BW69" s="154">
        <f t="shared" ref="BW69:BW74" si="370">SUM(BT69:BV69)</f>
        <v>618</v>
      </c>
      <c r="BX69" s="154">
        <f t="shared" ref="BX69:BX74" si="371">SUM(BK69,BO69,BS69,BW69)</f>
        <v>1893</v>
      </c>
      <c r="BY69" s="154">
        <v>11.0</v>
      </c>
      <c r="BZ69" s="154">
        <v>11.0</v>
      </c>
      <c r="CA69" s="154">
        <f t="shared" ref="CA69:CA74" si="372">BZ69-BY69</f>
        <v>0</v>
      </c>
      <c r="CB69" s="154">
        <v>131.0</v>
      </c>
      <c r="CC69" s="154">
        <v>131.0</v>
      </c>
      <c r="CD69" s="154">
        <f t="shared" ref="CD69:CD74" si="373">CC69-CB69</f>
        <v>0</v>
      </c>
      <c r="CE69" s="154">
        <v>15.0</v>
      </c>
      <c r="CF69" s="154">
        <v>154.0</v>
      </c>
      <c r="CG69" s="154">
        <f t="shared" ref="CG69:CG74" si="374">CF69-CE69</f>
        <v>139</v>
      </c>
      <c r="CH69" s="154">
        <f t="shared" ref="CH69:CH70" si="375">SUM(BY69:CF69)</f>
        <v>453</v>
      </c>
      <c r="CI69" s="154">
        <v>51.0</v>
      </c>
      <c r="CJ69" s="154">
        <v>51.0</v>
      </c>
      <c r="CK69" s="154">
        <f t="shared" ref="CK69:CK74" si="376">CJ69-CI69</f>
        <v>0</v>
      </c>
      <c r="CL69" s="154">
        <v>100.0</v>
      </c>
      <c r="CM69" s="154">
        <v>100.0</v>
      </c>
      <c r="CN69" s="154">
        <f t="shared" ref="CN69:CN74" si="377">CM69-CL69</f>
        <v>0</v>
      </c>
      <c r="CO69" s="155">
        <v>35.0</v>
      </c>
      <c r="CP69" s="155">
        <v>35.0</v>
      </c>
      <c r="CQ69" s="154">
        <f t="shared" ref="CQ69:CQ74" si="378">CP69-CO69</f>
        <v>0</v>
      </c>
      <c r="CR69" s="154">
        <f t="shared" ref="CR69:CR74" si="379">SUM(CI69:CO69)</f>
        <v>337</v>
      </c>
      <c r="CS69" s="154">
        <v>22.0</v>
      </c>
      <c r="CT69" s="154">
        <f t="shared" ref="CT69:CT74" si="380">SUM(CA69,CD69,CG69,CK69,CN69,CQ69)</f>
        <v>139</v>
      </c>
      <c r="CU69" s="154">
        <f t="shared" ref="CU69:CU74" si="381">CS69+CT69</f>
        <v>161</v>
      </c>
      <c r="CV69" s="154"/>
      <c r="CW69" s="155"/>
      <c r="CX69" s="154">
        <f t="shared" ref="CX69:CX74" si="382">SUM(CS69:CW69)</f>
        <v>322</v>
      </c>
      <c r="CY69" s="154"/>
      <c r="CZ69" s="154"/>
      <c r="DA69" s="155"/>
      <c r="DB69" s="154">
        <f t="shared" ref="DB69:DB74" si="383">SUM(CY69:DA69)</f>
        <v>0</v>
      </c>
      <c r="DC69" s="154">
        <f t="shared" ref="DC69:DC74" si="384">SUM(CH69,CR69,CX69,DB69)</f>
        <v>1112</v>
      </c>
      <c r="DD69" s="154">
        <f t="shared" ref="DD69:DD74" si="385">SUM(B69,H69,Y69,AP69,BG69,BX69,DC69)</f>
        <v>8965</v>
      </c>
      <c r="DE69" s="6"/>
      <c r="DF69" s="6"/>
      <c r="DG69" s="6"/>
      <c r="DH69" s="6"/>
      <c r="DI69" s="6"/>
      <c r="DJ69" s="6"/>
      <c r="DK69" s="6"/>
      <c r="DL69" s="6"/>
    </row>
    <row r="70" ht="15.75" customHeight="1">
      <c r="A70" s="167" t="s">
        <v>140</v>
      </c>
      <c r="B70" s="154">
        <v>826.0</v>
      </c>
      <c r="C70" s="154">
        <v>0.0</v>
      </c>
      <c r="D70" s="154">
        <v>0.0</v>
      </c>
      <c r="E70" s="154">
        <v>0.0</v>
      </c>
      <c r="F70" s="154">
        <v>7.0</v>
      </c>
      <c r="G70" s="154">
        <v>33.0</v>
      </c>
      <c r="H70" s="154">
        <f t="shared" si="351"/>
        <v>40</v>
      </c>
      <c r="I70" s="154">
        <v>17.0</v>
      </c>
      <c r="J70" s="154">
        <v>187.0</v>
      </c>
      <c r="K70" s="155">
        <v>456.0</v>
      </c>
      <c r="L70" s="156">
        <f t="shared" si="352"/>
        <v>660</v>
      </c>
      <c r="M70" s="154">
        <v>1.0</v>
      </c>
      <c r="N70" s="154">
        <v>4.0</v>
      </c>
      <c r="O70" s="154">
        <v>0.0</v>
      </c>
      <c r="P70" s="156">
        <f t="shared" si="353"/>
        <v>5</v>
      </c>
      <c r="Q70" s="154">
        <v>2.0</v>
      </c>
      <c r="R70" s="154">
        <v>12.0</v>
      </c>
      <c r="S70" s="154">
        <v>50.0</v>
      </c>
      <c r="T70" s="156">
        <f t="shared" si="354"/>
        <v>64</v>
      </c>
      <c r="U70" s="154">
        <v>651.0</v>
      </c>
      <c r="V70" s="154">
        <v>54.0</v>
      </c>
      <c r="W70" s="154">
        <v>0.0</v>
      </c>
      <c r="X70" s="156">
        <f t="shared" si="355"/>
        <v>705</v>
      </c>
      <c r="Y70" s="156">
        <f t="shared" si="356"/>
        <v>1434</v>
      </c>
      <c r="Z70" s="154">
        <v>15.0</v>
      </c>
      <c r="AA70" s="154">
        <v>67.0</v>
      </c>
      <c r="AB70" s="155">
        <v>0.0</v>
      </c>
      <c r="AC70" s="156">
        <f t="shared" si="357"/>
        <v>82</v>
      </c>
      <c r="AD70" s="154">
        <v>1.0</v>
      </c>
      <c r="AE70" s="154">
        <v>4.0</v>
      </c>
      <c r="AF70" s="154">
        <v>67.0</v>
      </c>
      <c r="AG70" s="156">
        <f t="shared" si="358"/>
        <v>72</v>
      </c>
      <c r="AH70" s="154">
        <v>38.0</v>
      </c>
      <c r="AI70" s="154">
        <v>19.0</v>
      </c>
      <c r="AJ70" s="154">
        <v>117.0</v>
      </c>
      <c r="AK70" s="156">
        <f t="shared" si="359"/>
        <v>174</v>
      </c>
      <c r="AL70" s="154">
        <v>459.0</v>
      </c>
      <c r="AM70" s="154">
        <v>68.0</v>
      </c>
      <c r="AN70" s="154">
        <v>2.0</v>
      </c>
      <c r="AO70" s="156">
        <f t="shared" si="360"/>
        <v>529</v>
      </c>
      <c r="AP70" s="156">
        <f t="shared" si="361"/>
        <v>857</v>
      </c>
      <c r="AQ70" s="154">
        <v>10.0</v>
      </c>
      <c r="AR70" s="154">
        <v>3.0</v>
      </c>
      <c r="AS70" s="154">
        <v>1.0</v>
      </c>
      <c r="AT70" s="154">
        <f t="shared" si="362"/>
        <v>14</v>
      </c>
      <c r="AU70" s="154">
        <v>98.0</v>
      </c>
      <c r="AV70" s="154">
        <v>147.0</v>
      </c>
      <c r="AW70" s="154">
        <v>0.0</v>
      </c>
      <c r="AX70" s="154">
        <f t="shared" si="363"/>
        <v>245</v>
      </c>
      <c r="AY70" s="154">
        <v>1748.0</v>
      </c>
      <c r="AZ70" s="154">
        <v>1366.0</v>
      </c>
      <c r="BA70" s="154">
        <v>1908.0</v>
      </c>
      <c r="BB70" s="154">
        <f t="shared" si="364"/>
        <v>5022</v>
      </c>
      <c r="BC70" s="154">
        <v>61.0</v>
      </c>
      <c r="BD70" s="154">
        <v>716.0</v>
      </c>
      <c r="BE70" s="154">
        <v>856.0</v>
      </c>
      <c r="BF70" s="154">
        <f t="shared" si="365"/>
        <v>1633</v>
      </c>
      <c r="BG70" s="154">
        <f t="shared" si="366"/>
        <v>6914</v>
      </c>
      <c r="BH70" s="154">
        <v>454.0</v>
      </c>
      <c r="BI70" s="154">
        <v>728.0</v>
      </c>
      <c r="BJ70" s="154">
        <v>307.0</v>
      </c>
      <c r="BK70" s="154">
        <f t="shared" si="367"/>
        <v>1489</v>
      </c>
      <c r="BL70" s="154">
        <v>477.0</v>
      </c>
      <c r="BM70" s="154">
        <v>263.0</v>
      </c>
      <c r="BN70" s="154">
        <v>293.0</v>
      </c>
      <c r="BO70" s="154">
        <f t="shared" si="368"/>
        <v>1033</v>
      </c>
      <c r="BP70" s="154">
        <v>322.0</v>
      </c>
      <c r="BQ70" s="154">
        <v>471.0</v>
      </c>
      <c r="BR70" s="154">
        <v>545.0</v>
      </c>
      <c r="BS70" s="154">
        <f t="shared" si="369"/>
        <v>1338</v>
      </c>
      <c r="BT70" s="154">
        <v>1696.0</v>
      </c>
      <c r="BU70" s="154">
        <v>494.0</v>
      </c>
      <c r="BV70" s="154">
        <v>1686.0</v>
      </c>
      <c r="BW70" s="154">
        <f t="shared" si="370"/>
        <v>3876</v>
      </c>
      <c r="BX70" s="154">
        <f t="shared" si="371"/>
        <v>7736</v>
      </c>
      <c r="BY70" s="154">
        <v>198.0</v>
      </c>
      <c r="BZ70" s="154">
        <v>198.0</v>
      </c>
      <c r="CA70" s="154">
        <f t="shared" si="372"/>
        <v>0</v>
      </c>
      <c r="CB70" s="154">
        <v>816.0</v>
      </c>
      <c r="CC70" s="154">
        <v>816.0</v>
      </c>
      <c r="CD70" s="154">
        <f t="shared" si="373"/>
        <v>0</v>
      </c>
      <c r="CE70" s="154">
        <v>0.0</v>
      </c>
      <c r="CF70" s="154">
        <v>263.0</v>
      </c>
      <c r="CG70" s="154">
        <f t="shared" si="374"/>
        <v>263</v>
      </c>
      <c r="CH70" s="154">
        <f t="shared" si="375"/>
        <v>2291</v>
      </c>
      <c r="CI70" s="154">
        <v>181.0</v>
      </c>
      <c r="CJ70" s="154">
        <v>181.0</v>
      </c>
      <c r="CK70" s="154">
        <f t="shared" si="376"/>
        <v>0</v>
      </c>
      <c r="CL70" s="154">
        <v>492.0</v>
      </c>
      <c r="CM70" s="154">
        <v>492.0</v>
      </c>
      <c r="CN70" s="154">
        <f t="shared" si="377"/>
        <v>0</v>
      </c>
      <c r="CO70" s="155">
        <v>329.0</v>
      </c>
      <c r="CP70" s="155">
        <v>345.0</v>
      </c>
      <c r="CQ70" s="154">
        <f t="shared" si="378"/>
        <v>16</v>
      </c>
      <c r="CR70" s="154">
        <f t="shared" si="379"/>
        <v>1675</v>
      </c>
      <c r="CS70" s="154">
        <v>12014.0</v>
      </c>
      <c r="CT70" s="154">
        <f t="shared" si="380"/>
        <v>279</v>
      </c>
      <c r="CU70" s="154">
        <f t="shared" si="381"/>
        <v>12293</v>
      </c>
      <c r="CV70" s="154"/>
      <c r="CW70" s="155"/>
      <c r="CX70" s="154">
        <f t="shared" si="382"/>
        <v>24586</v>
      </c>
      <c r="CY70" s="154"/>
      <c r="CZ70" s="154"/>
      <c r="DA70" s="155"/>
      <c r="DB70" s="154">
        <f t="shared" si="383"/>
        <v>0</v>
      </c>
      <c r="DC70" s="154">
        <f t="shared" si="384"/>
        <v>28552</v>
      </c>
      <c r="DD70" s="154">
        <f t="shared" si="385"/>
        <v>46359</v>
      </c>
      <c r="DE70" s="6"/>
      <c r="DF70" s="6"/>
      <c r="DG70" s="6"/>
      <c r="DH70" s="6"/>
      <c r="DI70" s="6"/>
      <c r="DJ70" s="6"/>
      <c r="DK70" s="6"/>
      <c r="DL70" s="6"/>
    </row>
    <row r="71" ht="15.75" customHeight="1">
      <c r="A71" s="169" t="s">
        <v>141</v>
      </c>
      <c r="B71" s="154">
        <v>24541.0</v>
      </c>
      <c r="C71" s="154">
        <v>0.0</v>
      </c>
      <c r="D71" s="154">
        <v>0.0</v>
      </c>
      <c r="E71" s="154">
        <v>0.0</v>
      </c>
      <c r="F71" s="154">
        <v>155.0</v>
      </c>
      <c r="G71" s="154">
        <v>366.0</v>
      </c>
      <c r="H71" s="154">
        <f t="shared" si="351"/>
        <v>521</v>
      </c>
      <c r="I71" s="154">
        <v>117.0</v>
      </c>
      <c r="J71" s="154">
        <v>11.0</v>
      </c>
      <c r="K71" s="155">
        <v>2.0</v>
      </c>
      <c r="L71" s="156">
        <f t="shared" si="352"/>
        <v>130</v>
      </c>
      <c r="M71" s="154">
        <v>2.0</v>
      </c>
      <c r="N71" s="154">
        <v>4.0</v>
      </c>
      <c r="O71" s="154">
        <v>0.0</v>
      </c>
      <c r="P71" s="156">
        <f t="shared" si="353"/>
        <v>6</v>
      </c>
      <c r="Q71" s="154">
        <v>15.0</v>
      </c>
      <c r="R71" s="154">
        <v>25.0</v>
      </c>
      <c r="S71" s="154">
        <v>1055.0</v>
      </c>
      <c r="T71" s="156">
        <f t="shared" si="354"/>
        <v>1095</v>
      </c>
      <c r="U71" s="154">
        <v>6426.0</v>
      </c>
      <c r="V71" s="154">
        <v>2778.0</v>
      </c>
      <c r="W71" s="154">
        <v>544.0</v>
      </c>
      <c r="X71" s="156">
        <f t="shared" si="355"/>
        <v>9748</v>
      </c>
      <c r="Y71" s="156">
        <f t="shared" si="356"/>
        <v>10979</v>
      </c>
      <c r="Z71" s="154">
        <v>204.0</v>
      </c>
      <c r="AA71" s="154">
        <v>62.0</v>
      </c>
      <c r="AB71" s="155">
        <v>19.0</v>
      </c>
      <c r="AC71" s="156">
        <f t="shared" si="357"/>
        <v>285</v>
      </c>
      <c r="AD71" s="154">
        <v>3.0</v>
      </c>
      <c r="AE71" s="154">
        <v>97.0</v>
      </c>
      <c r="AF71" s="154">
        <v>235.0</v>
      </c>
      <c r="AG71" s="156">
        <f t="shared" si="358"/>
        <v>335</v>
      </c>
      <c r="AH71" s="154">
        <v>164.0</v>
      </c>
      <c r="AI71" s="154">
        <v>456.0</v>
      </c>
      <c r="AJ71" s="154">
        <v>533.0</v>
      </c>
      <c r="AK71" s="156">
        <f t="shared" si="359"/>
        <v>1153</v>
      </c>
      <c r="AL71" s="154">
        <v>711.0</v>
      </c>
      <c r="AM71" s="154">
        <v>612.0</v>
      </c>
      <c r="AN71" s="154">
        <v>151.0</v>
      </c>
      <c r="AO71" s="156">
        <f t="shared" si="360"/>
        <v>1474</v>
      </c>
      <c r="AP71" s="156">
        <f t="shared" si="361"/>
        <v>3247</v>
      </c>
      <c r="AQ71" s="154">
        <v>276.0</v>
      </c>
      <c r="AR71" s="154">
        <v>167.0</v>
      </c>
      <c r="AS71" s="154">
        <v>1139.0</v>
      </c>
      <c r="AT71" s="154">
        <f t="shared" si="362"/>
        <v>1582</v>
      </c>
      <c r="AU71" s="154">
        <v>1373.0</v>
      </c>
      <c r="AV71" s="154">
        <v>2211.0</v>
      </c>
      <c r="AW71" s="154">
        <v>534.0</v>
      </c>
      <c r="AX71" s="154">
        <f t="shared" si="363"/>
        <v>4118</v>
      </c>
      <c r="AY71" s="154">
        <v>1483.0</v>
      </c>
      <c r="AZ71" s="154">
        <v>2091.0</v>
      </c>
      <c r="BA71" s="154">
        <v>2704.0</v>
      </c>
      <c r="BB71" s="154">
        <f t="shared" si="364"/>
        <v>6278</v>
      </c>
      <c r="BC71" s="154">
        <v>396.0</v>
      </c>
      <c r="BD71" s="154">
        <v>445.0</v>
      </c>
      <c r="BE71" s="154">
        <v>351.0</v>
      </c>
      <c r="BF71" s="154">
        <f t="shared" si="365"/>
        <v>1192</v>
      </c>
      <c r="BG71" s="154">
        <f t="shared" si="366"/>
        <v>13170</v>
      </c>
      <c r="BH71" s="154">
        <v>1436.0</v>
      </c>
      <c r="BI71" s="154">
        <v>1732.0</v>
      </c>
      <c r="BJ71" s="154">
        <v>1358.0</v>
      </c>
      <c r="BK71" s="154">
        <f t="shared" si="367"/>
        <v>4526</v>
      </c>
      <c r="BL71" s="154">
        <v>1564.0</v>
      </c>
      <c r="BM71" s="154">
        <v>973.0</v>
      </c>
      <c r="BN71" s="154">
        <v>1589.0</v>
      </c>
      <c r="BO71" s="154">
        <f t="shared" si="368"/>
        <v>4126</v>
      </c>
      <c r="BP71" s="154">
        <v>104.0</v>
      </c>
      <c r="BQ71" s="154">
        <v>796.0</v>
      </c>
      <c r="BR71" s="154">
        <v>2700.0</v>
      </c>
      <c r="BS71" s="154">
        <f t="shared" si="369"/>
        <v>3600</v>
      </c>
      <c r="BT71" s="154">
        <v>2641.0</v>
      </c>
      <c r="BU71" s="154">
        <v>2073.0</v>
      </c>
      <c r="BV71" s="154">
        <v>3151.0</v>
      </c>
      <c r="BW71" s="154">
        <f t="shared" si="370"/>
        <v>7865</v>
      </c>
      <c r="BX71" s="154">
        <f t="shared" si="371"/>
        <v>20117</v>
      </c>
      <c r="BY71" s="154">
        <v>653.0</v>
      </c>
      <c r="BZ71" s="154">
        <v>653.0</v>
      </c>
      <c r="CA71" s="154">
        <f t="shared" si="372"/>
        <v>0</v>
      </c>
      <c r="CB71" s="154">
        <v>2382.0</v>
      </c>
      <c r="CC71" s="154">
        <v>2382.0</v>
      </c>
      <c r="CD71" s="154">
        <f t="shared" si="373"/>
        <v>0</v>
      </c>
      <c r="CE71" s="154">
        <v>2.0</v>
      </c>
      <c r="CF71" s="154">
        <f>2008+53</f>
        <v>2061</v>
      </c>
      <c r="CG71" s="154">
        <f t="shared" si="374"/>
        <v>2059</v>
      </c>
      <c r="CH71" s="154">
        <f>SUM(BY71:CE71)</f>
        <v>6072</v>
      </c>
      <c r="CI71" s="154">
        <v>2682.0</v>
      </c>
      <c r="CJ71" s="154">
        <f>2681+3</f>
        <v>2684</v>
      </c>
      <c r="CK71" s="154">
        <f t="shared" si="376"/>
        <v>2</v>
      </c>
      <c r="CL71" s="154">
        <f t="shared" ref="CL71:CM71" si="386">4204+11</f>
        <v>4215</v>
      </c>
      <c r="CM71" s="154">
        <f t="shared" si="386"/>
        <v>4215</v>
      </c>
      <c r="CN71" s="154">
        <f t="shared" si="377"/>
        <v>0</v>
      </c>
      <c r="CO71" s="155">
        <f>3378+2</f>
        <v>3380</v>
      </c>
      <c r="CP71" s="155">
        <f>3534+2</f>
        <v>3536</v>
      </c>
      <c r="CQ71" s="154">
        <f t="shared" si="378"/>
        <v>156</v>
      </c>
      <c r="CR71" s="154">
        <f t="shared" si="379"/>
        <v>17178</v>
      </c>
      <c r="CS71" s="154">
        <f>323</f>
        <v>323</v>
      </c>
      <c r="CT71" s="154">
        <f t="shared" si="380"/>
        <v>2217</v>
      </c>
      <c r="CU71" s="154">
        <f t="shared" si="381"/>
        <v>2540</v>
      </c>
      <c r="CV71" s="154"/>
      <c r="CW71" s="155"/>
      <c r="CX71" s="154">
        <f t="shared" si="382"/>
        <v>5080</v>
      </c>
      <c r="CY71" s="154"/>
      <c r="CZ71" s="154"/>
      <c r="DA71" s="155"/>
      <c r="DB71" s="154">
        <f t="shared" si="383"/>
        <v>0</v>
      </c>
      <c r="DC71" s="154">
        <f t="shared" si="384"/>
        <v>28330</v>
      </c>
      <c r="DD71" s="154">
        <f t="shared" si="385"/>
        <v>100905</v>
      </c>
      <c r="DE71" s="6"/>
      <c r="DF71" s="6"/>
      <c r="DG71" s="6"/>
      <c r="DH71" s="6"/>
      <c r="DI71" s="6"/>
      <c r="DJ71" s="6"/>
      <c r="DK71" s="6"/>
      <c r="DL71" s="6"/>
    </row>
    <row r="72" ht="15.75" customHeight="1">
      <c r="A72" s="167" t="s">
        <v>142</v>
      </c>
      <c r="B72" s="154">
        <v>906.0</v>
      </c>
      <c r="C72" s="154">
        <v>0.0</v>
      </c>
      <c r="D72" s="154">
        <v>0.0</v>
      </c>
      <c r="E72" s="154">
        <v>0.0</v>
      </c>
      <c r="F72" s="154">
        <v>0.0</v>
      </c>
      <c r="G72" s="154">
        <v>120.0</v>
      </c>
      <c r="H72" s="154">
        <f t="shared" si="351"/>
        <v>120</v>
      </c>
      <c r="I72" s="154">
        <v>37.0</v>
      </c>
      <c r="J72" s="154">
        <v>30.0</v>
      </c>
      <c r="K72" s="154">
        <v>6.0</v>
      </c>
      <c r="L72" s="156">
        <f t="shared" si="352"/>
        <v>73</v>
      </c>
      <c r="M72" s="154">
        <v>14.0</v>
      </c>
      <c r="N72" s="154">
        <v>4.0</v>
      </c>
      <c r="O72" s="154">
        <v>0.0</v>
      </c>
      <c r="P72" s="156">
        <f t="shared" si="353"/>
        <v>18</v>
      </c>
      <c r="Q72" s="154">
        <v>0.0</v>
      </c>
      <c r="R72" s="154">
        <v>114.0</v>
      </c>
      <c r="S72" s="154">
        <v>246.0</v>
      </c>
      <c r="T72" s="156">
        <f t="shared" si="354"/>
        <v>360</v>
      </c>
      <c r="U72" s="154">
        <v>47.0</v>
      </c>
      <c r="V72" s="154">
        <v>16.0</v>
      </c>
      <c r="W72" s="154">
        <v>24.0</v>
      </c>
      <c r="X72" s="156">
        <f t="shared" si="355"/>
        <v>87</v>
      </c>
      <c r="Y72" s="156">
        <f t="shared" si="356"/>
        <v>538</v>
      </c>
      <c r="Z72" s="154">
        <v>7.0</v>
      </c>
      <c r="AA72" s="154">
        <v>41.0</v>
      </c>
      <c r="AB72" s="154">
        <v>3.0</v>
      </c>
      <c r="AC72" s="156">
        <f t="shared" si="357"/>
        <v>51</v>
      </c>
      <c r="AD72" s="154">
        <v>1.0</v>
      </c>
      <c r="AE72" s="154">
        <v>1.0</v>
      </c>
      <c r="AF72" s="154">
        <v>17.0</v>
      </c>
      <c r="AG72" s="156">
        <f t="shared" si="358"/>
        <v>19</v>
      </c>
      <c r="AH72" s="154">
        <v>45.0</v>
      </c>
      <c r="AI72" s="154">
        <v>12.0</v>
      </c>
      <c r="AJ72" s="154">
        <v>189.0</v>
      </c>
      <c r="AK72" s="156">
        <f t="shared" si="359"/>
        <v>246</v>
      </c>
      <c r="AL72" s="154">
        <v>346.0</v>
      </c>
      <c r="AM72" s="154">
        <v>87.0</v>
      </c>
      <c r="AN72" s="154">
        <v>6.0</v>
      </c>
      <c r="AO72" s="156">
        <f t="shared" si="360"/>
        <v>439</v>
      </c>
      <c r="AP72" s="156">
        <f t="shared" si="361"/>
        <v>755</v>
      </c>
      <c r="AQ72" s="154">
        <v>19.0</v>
      </c>
      <c r="AR72" s="154">
        <v>1.0</v>
      </c>
      <c r="AS72" s="154">
        <v>51.0</v>
      </c>
      <c r="AT72" s="154">
        <f t="shared" si="362"/>
        <v>71</v>
      </c>
      <c r="AU72" s="154">
        <v>148.0</v>
      </c>
      <c r="AV72" s="154">
        <v>0.0</v>
      </c>
      <c r="AW72" s="154">
        <v>23.0</v>
      </c>
      <c r="AX72" s="154">
        <f t="shared" si="363"/>
        <v>171</v>
      </c>
      <c r="AY72" s="154">
        <v>59.0</v>
      </c>
      <c r="AZ72" s="154">
        <v>1319.0</v>
      </c>
      <c r="BA72" s="154">
        <v>960.0</v>
      </c>
      <c r="BB72" s="154">
        <f t="shared" si="364"/>
        <v>2338</v>
      </c>
      <c r="BC72" s="154">
        <v>108.0</v>
      </c>
      <c r="BD72" s="154">
        <v>56.0</v>
      </c>
      <c r="BE72" s="154">
        <v>85.0</v>
      </c>
      <c r="BF72" s="154">
        <f t="shared" si="365"/>
        <v>249</v>
      </c>
      <c r="BG72" s="154">
        <f t="shared" si="366"/>
        <v>2829</v>
      </c>
      <c r="BH72" s="154">
        <v>21.0</v>
      </c>
      <c r="BI72" s="154">
        <v>156.0</v>
      </c>
      <c r="BJ72" s="154">
        <v>50.0</v>
      </c>
      <c r="BK72" s="154">
        <f t="shared" si="367"/>
        <v>227</v>
      </c>
      <c r="BL72" s="154">
        <v>560.0</v>
      </c>
      <c r="BM72" s="154">
        <v>67.0</v>
      </c>
      <c r="BN72" s="154">
        <v>45.0</v>
      </c>
      <c r="BO72" s="154">
        <f t="shared" si="368"/>
        <v>672</v>
      </c>
      <c r="BP72" s="154">
        <v>48.0</v>
      </c>
      <c r="BQ72" s="154">
        <v>84.0</v>
      </c>
      <c r="BR72" s="154">
        <v>10.0</v>
      </c>
      <c r="BS72" s="154">
        <f t="shared" si="369"/>
        <v>142</v>
      </c>
      <c r="BT72" s="154">
        <v>140.0</v>
      </c>
      <c r="BU72" s="154">
        <v>451.0</v>
      </c>
      <c r="BV72" s="154">
        <v>1068.0</v>
      </c>
      <c r="BW72" s="154">
        <f t="shared" si="370"/>
        <v>1659</v>
      </c>
      <c r="BX72" s="154">
        <f t="shared" si="371"/>
        <v>2700</v>
      </c>
      <c r="BY72" s="154">
        <v>48.0</v>
      </c>
      <c r="BZ72" s="154">
        <v>48.0</v>
      </c>
      <c r="CA72" s="154">
        <f t="shared" si="372"/>
        <v>0</v>
      </c>
      <c r="CB72" s="154">
        <v>940.0</v>
      </c>
      <c r="CC72" s="154">
        <v>940.0</v>
      </c>
      <c r="CD72" s="154">
        <f t="shared" si="373"/>
        <v>0</v>
      </c>
      <c r="CE72" s="154">
        <v>4.0</v>
      </c>
      <c r="CF72" s="154">
        <v>419.0</v>
      </c>
      <c r="CG72" s="154">
        <f t="shared" si="374"/>
        <v>415</v>
      </c>
      <c r="CH72" s="154">
        <f t="shared" ref="CH72:CH74" si="387">SUM(BY72:CF72)</f>
        <v>2399</v>
      </c>
      <c r="CI72" s="154">
        <v>251.0</v>
      </c>
      <c r="CJ72" s="154">
        <v>252.0</v>
      </c>
      <c r="CK72" s="154">
        <f t="shared" si="376"/>
        <v>1</v>
      </c>
      <c r="CL72" s="154">
        <v>415.0</v>
      </c>
      <c r="CM72" s="154">
        <v>415.0</v>
      </c>
      <c r="CN72" s="154">
        <f t="shared" si="377"/>
        <v>0</v>
      </c>
      <c r="CO72" s="154">
        <v>352.0</v>
      </c>
      <c r="CP72" s="154">
        <v>352.0</v>
      </c>
      <c r="CQ72" s="154">
        <f t="shared" si="378"/>
        <v>0</v>
      </c>
      <c r="CR72" s="154">
        <f t="shared" si="379"/>
        <v>1686</v>
      </c>
      <c r="CS72" s="154">
        <v>176.0</v>
      </c>
      <c r="CT72" s="154">
        <f t="shared" si="380"/>
        <v>416</v>
      </c>
      <c r="CU72" s="154">
        <f t="shared" si="381"/>
        <v>592</v>
      </c>
      <c r="CV72" s="154"/>
      <c r="CW72" s="154"/>
      <c r="CX72" s="154">
        <f t="shared" si="382"/>
        <v>1184</v>
      </c>
      <c r="CY72" s="154"/>
      <c r="CZ72" s="154"/>
      <c r="DA72" s="154"/>
      <c r="DB72" s="154">
        <f t="shared" si="383"/>
        <v>0</v>
      </c>
      <c r="DC72" s="154">
        <f t="shared" si="384"/>
        <v>5269</v>
      </c>
      <c r="DD72" s="154">
        <f t="shared" si="385"/>
        <v>13117</v>
      </c>
      <c r="DE72" s="6"/>
      <c r="DF72" s="6"/>
      <c r="DG72" s="6"/>
      <c r="DH72" s="6"/>
      <c r="DI72" s="6"/>
      <c r="DJ72" s="6"/>
      <c r="DK72" s="6"/>
      <c r="DL72" s="6"/>
    </row>
    <row r="73" ht="15.75" customHeight="1">
      <c r="A73" s="167" t="s">
        <v>143</v>
      </c>
      <c r="B73" s="154">
        <v>14495.0</v>
      </c>
      <c r="C73" s="154">
        <v>0.0</v>
      </c>
      <c r="D73" s="154">
        <v>0.0</v>
      </c>
      <c r="E73" s="154">
        <v>0.0</v>
      </c>
      <c r="F73" s="154">
        <v>179.0</v>
      </c>
      <c r="G73" s="154">
        <v>48.0</v>
      </c>
      <c r="H73" s="154">
        <f t="shared" si="351"/>
        <v>227</v>
      </c>
      <c r="I73" s="154">
        <v>25.0</v>
      </c>
      <c r="J73" s="154">
        <v>6.0</v>
      </c>
      <c r="K73" s="154">
        <v>25.0</v>
      </c>
      <c r="L73" s="156">
        <f t="shared" si="352"/>
        <v>56</v>
      </c>
      <c r="M73" s="154">
        <v>2.0</v>
      </c>
      <c r="N73" s="154">
        <v>0.0</v>
      </c>
      <c r="O73" s="154">
        <v>0.0</v>
      </c>
      <c r="P73" s="156">
        <f t="shared" si="353"/>
        <v>2</v>
      </c>
      <c r="Q73" s="154">
        <v>0.0</v>
      </c>
      <c r="R73" s="154">
        <v>19.0</v>
      </c>
      <c r="S73" s="154">
        <v>467.0</v>
      </c>
      <c r="T73" s="156">
        <f t="shared" si="354"/>
        <v>486</v>
      </c>
      <c r="U73" s="154">
        <v>2361.0</v>
      </c>
      <c r="V73" s="154">
        <v>2103.0</v>
      </c>
      <c r="W73" s="154">
        <v>447.0</v>
      </c>
      <c r="X73" s="156">
        <f t="shared" si="355"/>
        <v>4911</v>
      </c>
      <c r="Y73" s="156">
        <f t="shared" si="356"/>
        <v>5455</v>
      </c>
      <c r="Z73" s="154">
        <v>515.0</v>
      </c>
      <c r="AA73" s="154">
        <v>417.0</v>
      </c>
      <c r="AB73" s="154">
        <v>83.0</v>
      </c>
      <c r="AC73" s="156">
        <f t="shared" si="357"/>
        <v>1015</v>
      </c>
      <c r="AD73" s="154">
        <v>1.0</v>
      </c>
      <c r="AE73" s="154">
        <v>8.0</v>
      </c>
      <c r="AF73" s="154">
        <v>145.0</v>
      </c>
      <c r="AG73" s="156">
        <f t="shared" si="358"/>
        <v>154</v>
      </c>
      <c r="AH73" s="154">
        <v>66.0</v>
      </c>
      <c r="AI73" s="154">
        <v>14.0</v>
      </c>
      <c r="AJ73" s="154">
        <v>301.0</v>
      </c>
      <c r="AK73" s="156">
        <f t="shared" si="359"/>
        <v>381</v>
      </c>
      <c r="AL73" s="154">
        <v>712.0</v>
      </c>
      <c r="AM73" s="154">
        <v>153.0</v>
      </c>
      <c r="AN73" s="154">
        <v>4.0</v>
      </c>
      <c r="AO73" s="156">
        <f t="shared" si="360"/>
        <v>869</v>
      </c>
      <c r="AP73" s="156">
        <f t="shared" si="361"/>
        <v>2419</v>
      </c>
      <c r="AQ73" s="154">
        <v>49.0</v>
      </c>
      <c r="AR73" s="154">
        <v>9.0</v>
      </c>
      <c r="AS73" s="154">
        <v>6.0</v>
      </c>
      <c r="AT73" s="154">
        <f t="shared" si="362"/>
        <v>64</v>
      </c>
      <c r="AU73" s="154">
        <v>14.0</v>
      </c>
      <c r="AV73" s="154">
        <v>44.0</v>
      </c>
      <c r="AW73" s="154">
        <v>14.0</v>
      </c>
      <c r="AX73" s="154">
        <f t="shared" si="363"/>
        <v>72</v>
      </c>
      <c r="AY73" s="154">
        <v>865.0</v>
      </c>
      <c r="AZ73" s="154">
        <v>2731.0</v>
      </c>
      <c r="BA73" s="154">
        <v>3746.0</v>
      </c>
      <c r="BB73" s="154">
        <f t="shared" si="364"/>
        <v>7342</v>
      </c>
      <c r="BC73" s="154">
        <v>426.0</v>
      </c>
      <c r="BD73" s="154">
        <v>349.0</v>
      </c>
      <c r="BE73" s="154">
        <v>492.0</v>
      </c>
      <c r="BF73" s="154">
        <f t="shared" si="365"/>
        <v>1267</v>
      </c>
      <c r="BG73" s="154">
        <f t="shared" si="366"/>
        <v>8745</v>
      </c>
      <c r="BH73" s="154">
        <v>299.0</v>
      </c>
      <c r="BI73" s="154">
        <v>463.0</v>
      </c>
      <c r="BJ73" s="154">
        <v>709.0</v>
      </c>
      <c r="BK73" s="154">
        <f t="shared" si="367"/>
        <v>1471</v>
      </c>
      <c r="BL73" s="154">
        <v>274.0</v>
      </c>
      <c r="BM73" s="154">
        <v>341.0</v>
      </c>
      <c r="BN73" s="154">
        <v>723.0</v>
      </c>
      <c r="BO73" s="154">
        <f t="shared" si="368"/>
        <v>1338</v>
      </c>
      <c r="BP73" s="154">
        <v>0.0</v>
      </c>
      <c r="BQ73" s="154">
        <v>119.0</v>
      </c>
      <c r="BR73" s="154">
        <v>1664.0</v>
      </c>
      <c r="BS73" s="154">
        <f t="shared" si="369"/>
        <v>1783</v>
      </c>
      <c r="BT73" s="154">
        <v>539.0</v>
      </c>
      <c r="BU73" s="154">
        <v>1416.0</v>
      </c>
      <c r="BV73" s="154">
        <v>2025.0</v>
      </c>
      <c r="BW73" s="154">
        <f t="shared" si="370"/>
        <v>3980</v>
      </c>
      <c r="BX73" s="154">
        <f t="shared" si="371"/>
        <v>8572</v>
      </c>
      <c r="BY73" s="154">
        <v>118.0</v>
      </c>
      <c r="BZ73" s="154">
        <v>118.0</v>
      </c>
      <c r="CA73" s="154">
        <f t="shared" si="372"/>
        <v>0</v>
      </c>
      <c r="CB73" s="154">
        <v>1226.0</v>
      </c>
      <c r="CC73" s="154">
        <v>1226.0</v>
      </c>
      <c r="CD73" s="154">
        <f t="shared" si="373"/>
        <v>0</v>
      </c>
      <c r="CE73" s="154">
        <v>9.0</v>
      </c>
      <c r="CF73" s="154">
        <v>1103.0</v>
      </c>
      <c r="CG73" s="154">
        <f t="shared" si="374"/>
        <v>1094</v>
      </c>
      <c r="CH73" s="154">
        <f t="shared" si="387"/>
        <v>3800</v>
      </c>
      <c r="CI73" s="154">
        <v>1541.0</v>
      </c>
      <c r="CJ73" s="154">
        <v>1547.0</v>
      </c>
      <c r="CK73" s="154">
        <f t="shared" si="376"/>
        <v>6</v>
      </c>
      <c r="CL73" s="154">
        <v>813.0</v>
      </c>
      <c r="CM73" s="154">
        <v>813.0</v>
      </c>
      <c r="CN73" s="154">
        <f t="shared" si="377"/>
        <v>0</v>
      </c>
      <c r="CO73" s="154">
        <v>86.0</v>
      </c>
      <c r="CP73" s="154">
        <v>132.0</v>
      </c>
      <c r="CQ73" s="154">
        <f t="shared" si="378"/>
        <v>46</v>
      </c>
      <c r="CR73" s="154">
        <f t="shared" si="379"/>
        <v>4806</v>
      </c>
      <c r="CS73" s="154">
        <v>169.0</v>
      </c>
      <c r="CT73" s="154">
        <f t="shared" si="380"/>
        <v>1146</v>
      </c>
      <c r="CU73" s="154">
        <f t="shared" si="381"/>
        <v>1315</v>
      </c>
      <c r="CV73" s="154"/>
      <c r="CW73" s="154"/>
      <c r="CX73" s="154">
        <f t="shared" si="382"/>
        <v>2630</v>
      </c>
      <c r="CY73" s="154"/>
      <c r="CZ73" s="154"/>
      <c r="DA73" s="154"/>
      <c r="DB73" s="154">
        <f t="shared" si="383"/>
        <v>0</v>
      </c>
      <c r="DC73" s="154">
        <f t="shared" si="384"/>
        <v>11236</v>
      </c>
      <c r="DD73" s="154">
        <f t="shared" si="385"/>
        <v>51149</v>
      </c>
      <c r="DE73" s="6"/>
      <c r="DF73" s="6"/>
      <c r="DG73" s="6"/>
      <c r="DH73" s="6"/>
      <c r="DI73" s="6"/>
      <c r="DJ73" s="6"/>
      <c r="DK73" s="6"/>
      <c r="DL73" s="6"/>
    </row>
    <row r="74" ht="15.75" customHeight="1">
      <c r="A74" s="167" t="s">
        <v>144</v>
      </c>
      <c r="B74" s="154">
        <v>3926.0</v>
      </c>
      <c r="C74" s="154">
        <v>0.0</v>
      </c>
      <c r="D74" s="154">
        <v>0.0</v>
      </c>
      <c r="E74" s="154">
        <v>0.0</v>
      </c>
      <c r="F74" s="154">
        <v>0.0</v>
      </c>
      <c r="G74" s="154">
        <v>8.0</v>
      </c>
      <c r="H74" s="154">
        <f t="shared" si="351"/>
        <v>8</v>
      </c>
      <c r="I74" s="154">
        <v>3.0</v>
      </c>
      <c r="J74" s="154">
        <v>0.0</v>
      </c>
      <c r="K74" s="154">
        <v>0.0</v>
      </c>
      <c r="L74" s="156">
        <f t="shared" si="352"/>
        <v>3</v>
      </c>
      <c r="M74" s="154">
        <v>0.0</v>
      </c>
      <c r="N74" s="154">
        <v>0.0</v>
      </c>
      <c r="O74" s="154">
        <v>0.0</v>
      </c>
      <c r="P74" s="156">
        <f t="shared" si="353"/>
        <v>0</v>
      </c>
      <c r="Q74" s="154">
        <v>8.0</v>
      </c>
      <c r="R74" s="154">
        <v>12.0</v>
      </c>
      <c r="S74" s="154">
        <v>193.0</v>
      </c>
      <c r="T74" s="156">
        <f t="shared" si="354"/>
        <v>213</v>
      </c>
      <c r="U74" s="154">
        <v>82.0</v>
      </c>
      <c r="V74" s="154">
        <v>330.0</v>
      </c>
      <c r="W74" s="154">
        <v>252.0</v>
      </c>
      <c r="X74" s="156">
        <f t="shared" si="355"/>
        <v>664</v>
      </c>
      <c r="Y74" s="156">
        <f t="shared" si="356"/>
        <v>880</v>
      </c>
      <c r="Z74" s="154">
        <v>377.0</v>
      </c>
      <c r="AA74" s="154">
        <v>402.0</v>
      </c>
      <c r="AB74" s="154">
        <v>12.0</v>
      </c>
      <c r="AC74" s="156">
        <f t="shared" si="357"/>
        <v>791</v>
      </c>
      <c r="AD74" s="154">
        <v>2.0</v>
      </c>
      <c r="AE74" s="154">
        <v>25.0</v>
      </c>
      <c r="AF74" s="154">
        <v>110.0</v>
      </c>
      <c r="AG74" s="156">
        <f t="shared" si="358"/>
        <v>137</v>
      </c>
      <c r="AH74" s="154">
        <v>21.0</v>
      </c>
      <c r="AI74" s="154">
        <v>50.0</v>
      </c>
      <c r="AJ74" s="154">
        <v>51.0</v>
      </c>
      <c r="AK74" s="156">
        <f t="shared" si="359"/>
        <v>122</v>
      </c>
      <c r="AL74" s="154">
        <v>144.0</v>
      </c>
      <c r="AM74" s="154">
        <v>1.0</v>
      </c>
      <c r="AN74" s="154">
        <v>12.0</v>
      </c>
      <c r="AO74" s="156">
        <f t="shared" si="360"/>
        <v>157</v>
      </c>
      <c r="AP74" s="156">
        <f t="shared" si="361"/>
        <v>1207</v>
      </c>
      <c r="AQ74" s="154">
        <v>29.0</v>
      </c>
      <c r="AR74" s="154">
        <v>7.0</v>
      </c>
      <c r="AS74" s="154">
        <v>1.0</v>
      </c>
      <c r="AT74" s="154">
        <f t="shared" si="362"/>
        <v>37</v>
      </c>
      <c r="AU74" s="154">
        <v>0.0</v>
      </c>
      <c r="AV74" s="154">
        <v>1.0</v>
      </c>
      <c r="AW74" s="154">
        <v>10.0</v>
      </c>
      <c r="AX74" s="154">
        <f t="shared" si="363"/>
        <v>11</v>
      </c>
      <c r="AY74" s="154">
        <v>645.0</v>
      </c>
      <c r="AZ74" s="154">
        <v>2374.0</v>
      </c>
      <c r="BA74" s="154">
        <v>899.0</v>
      </c>
      <c r="BB74" s="154">
        <f t="shared" si="364"/>
        <v>3918</v>
      </c>
      <c r="BC74" s="154">
        <v>171.0</v>
      </c>
      <c r="BD74" s="154">
        <v>79.0</v>
      </c>
      <c r="BE74" s="154">
        <v>158.0</v>
      </c>
      <c r="BF74" s="154">
        <f t="shared" si="365"/>
        <v>408</v>
      </c>
      <c r="BG74" s="154">
        <f t="shared" si="366"/>
        <v>4374</v>
      </c>
      <c r="BH74" s="154">
        <v>22.0</v>
      </c>
      <c r="BI74" s="154">
        <v>140.0</v>
      </c>
      <c r="BJ74" s="154">
        <v>174.0</v>
      </c>
      <c r="BK74" s="154">
        <f t="shared" si="367"/>
        <v>336</v>
      </c>
      <c r="BL74" s="154">
        <v>491.0</v>
      </c>
      <c r="BM74" s="154">
        <v>275.0</v>
      </c>
      <c r="BN74" s="154">
        <v>146.0</v>
      </c>
      <c r="BO74" s="154">
        <f t="shared" si="368"/>
        <v>912</v>
      </c>
      <c r="BP74" s="154">
        <v>5.0</v>
      </c>
      <c r="BQ74" s="154">
        <v>174.0</v>
      </c>
      <c r="BR74" s="154">
        <v>697.0</v>
      </c>
      <c r="BS74" s="154">
        <f t="shared" si="369"/>
        <v>876</v>
      </c>
      <c r="BT74" s="154">
        <v>302.0</v>
      </c>
      <c r="BU74" s="154">
        <v>189.0</v>
      </c>
      <c r="BV74" s="154">
        <v>1151.0</v>
      </c>
      <c r="BW74" s="154">
        <f t="shared" si="370"/>
        <v>1642</v>
      </c>
      <c r="BX74" s="154">
        <f t="shared" si="371"/>
        <v>3766</v>
      </c>
      <c r="BY74" s="154">
        <v>62.0</v>
      </c>
      <c r="BZ74" s="154">
        <v>62.0</v>
      </c>
      <c r="CA74" s="154">
        <f t="shared" si="372"/>
        <v>0</v>
      </c>
      <c r="CB74" s="154">
        <v>955.0</v>
      </c>
      <c r="CC74" s="154">
        <v>955.0</v>
      </c>
      <c r="CD74" s="154">
        <f t="shared" si="373"/>
        <v>0</v>
      </c>
      <c r="CE74" s="154">
        <v>1.0</v>
      </c>
      <c r="CF74" s="154">
        <v>310.0</v>
      </c>
      <c r="CG74" s="154">
        <f t="shared" si="374"/>
        <v>309</v>
      </c>
      <c r="CH74" s="154">
        <f t="shared" si="387"/>
        <v>2345</v>
      </c>
      <c r="CI74" s="154">
        <v>145.0</v>
      </c>
      <c r="CJ74" s="154">
        <v>148.0</v>
      </c>
      <c r="CK74" s="154">
        <f t="shared" si="376"/>
        <v>3</v>
      </c>
      <c r="CL74" s="154">
        <v>406.0</v>
      </c>
      <c r="CM74" s="154">
        <v>406.0</v>
      </c>
      <c r="CN74" s="154">
        <f t="shared" si="377"/>
        <v>0</v>
      </c>
      <c r="CO74" s="154">
        <v>405.0</v>
      </c>
      <c r="CP74" s="154">
        <v>435.0</v>
      </c>
      <c r="CQ74" s="154">
        <f t="shared" si="378"/>
        <v>30</v>
      </c>
      <c r="CR74" s="154">
        <f t="shared" si="379"/>
        <v>1513</v>
      </c>
      <c r="CS74" s="154">
        <v>88.0</v>
      </c>
      <c r="CT74" s="154">
        <f t="shared" si="380"/>
        <v>342</v>
      </c>
      <c r="CU74" s="154">
        <f t="shared" si="381"/>
        <v>430</v>
      </c>
      <c r="CV74" s="154"/>
      <c r="CW74" s="154"/>
      <c r="CX74" s="154">
        <f t="shared" si="382"/>
        <v>860</v>
      </c>
      <c r="CY74" s="154"/>
      <c r="CZ74" s="154"/>
      <c r="DA74" s="154"/>
      <c r="DB74" s="154">
        <f t="shared" si="383"/>
        <v>0</v>
      </c>
      <c r="DC74" s="154">
        <f t="shared" si="384"/>
        <v>4718</v>
      </c>
      <c r="DD74" s="154">
        <f t="shared" si="385"/>
        <v>18879</v>
      </c>
      <c r="DE74" s="6"/>
      <c r="DF74" s="6"/>
      <c r="DG74" s="6"/>
      <c r="DH74" s="6"/>
      <c r="DI74" s="6"/>
      <c r="DJ74" s="6"/>
      <c r="DK74" s="6"/>
      <c r="DL74" s="6"/>
    </row>
    <row r="75" ht="15.75" customHeight="1">
      <c r="A75" s="137" t="s">
        <v>145</v>
      </c>
      <c r="B75" s="141">
        <f t="shared" ref="B75:DD75" si="388">SUM(B76:B80)</f>
        <v>1270</v>
      </c>
      <c r="C75" s="141">
        <f t="shared" si="388"/>
        <v>0</v>
      </c>
      <c r="D75" s="141">
        <f t="shared" si="388"/>
        <v>0</v>
      </c>
      <c r="E75" s="141">
        <f t="shared" si="388"/>
        <v>1</v>
      </c>
      <c r="F75" s="141">
        <f t="shared" si="388"/>
        <v>0</v>
      </c>
      <c r="G75" s="141">
        <f t="shared" si="388"/>
        <v>31</v>
      </c>
      <c r="H75" s="141">
        <f t="shared" si="388"/>
        <v>32</v>
      </c>
      <c r="I75" s="141">
        <f t="shared" si="388"/>
        <v>24</v>
      </c>
      <c r="J75" s="141">
        <f t="shared" si="388"/>
        <v>19</v>
      </c>
      <c r="K75" s="141">
        <f t="shared" si="388"/>
        <v>10</v>
      </c>
      <c r="L75" s="141">
        <f t="shared" si="388"/>
        <v>53</v>
      </c>
      <c r="M75" s="141">
        <f t="shared" si="388"/>
        <v>10</v>
      </c>
      <c r="N75" s="141">
        <f t="shared" si="388"/>
        <v>5</v>
      </c>
      <c r="O75" s="141">
        <f t="shared" si="388"/>
        <v>0</v>
      </c>
      <c r="P75" s="141">
        <f t="shared" si="388"/>
        <v>15</v>
      </c>
      <c r="Q75" s="141">
        <f t="shared" si="388"/>
        <v>1</v>
      </c>
      <c r="R75" s="141">
        <f t="shared" si="388"/>
        <v>10</v>
      </c>
      <c r="S75" s="141">
        <f t="shared" si="388"/>
        <v>15</v>
      </c>
      <c r="T75" s="141">
        <f t="shared" si="388"/>
        <v>26</v>
      </c>
      <c r="U75" s="141">
        <f t="shared" si="388"/>
        <v>36</v>
      </c>
      <c r="V75" s="141">
        <f t="shared" si="388"/>
        <v>67</v>
      </c>
      <c r="W75" s="141">
        <f t="shared" si="388"/>
        <v>85</v>
      </c>
      <c r="X75" s="141">
        <f t="shared" si="388"/>
        <v>188</v>
      </c>
      <c r="Y75" s="141">
        <f t="shared" si="388"/>
        <v>282</v>
      </c>
      <c r="Z75" s="141">
        <f t="shared" si="388"/>
        <v>4</v>
      </c>
      <c r="AA75" s="141">
        <f t="shared" si="388"/>
        <v>249</v>
      </c>
      <c r="AB75" s="141">
        <f t="shared" si="388"/>
        <v>2687</v>
      </c>
      <c r="AC75" s="142">
        <f t="shared" si="388"/>
        <v>2940</v>
      </c>
      <c r="AD75" s="141">
        <f t="shared" si="388"/>
        <v>321</v>
      </c>
      <c r="AE75" s="141">
        <f t="shared" si="388"/>
        <v>215</v>
      </c>
      <c r="AF75" s="141">
        <f t="shared" si="388"/>
        <v>143</v>
      </c>
      <c r="AG75" s="142">
        <f t="shared" si="388"/>
        <v>679</v>
      </c>
      <c r="AH75" s="141">
        <f t="shared" si="388"/>
        <v>3295</v>
      </c>
      <c r="AI75" s="141">
        <f t="shared" si="388"/>
        <v>1217</v>
      </c>
      <c r="AJ75" s="141">
        <f t="shared" si="388"/>
        <v>34</v>
      </c>
      <c r="AK75" s="142">
        <f t="shared" si="388"/>
        <v>4546</v>
      </c>
      <c r="AL75" s="141">
        <f t="shared" si="388"/>
        <v>166</v>
      </c>
      <c r="AM75" s="141">
        <f t="shared" si="388"/>
        <v>339</v>
      </c>
      <c r="AN75" s="141">
        <f t="shared" si="388"/>
        <v>66</v>
      </c>
      <c r="AO75" s="142">
        <f t="shared" si="388"/>
        <v>571</v>
      </c>
      <c r="AP75" s="142">
        <f t="shared" si="388"/>
        <v>8736</v>
      </c>
      <c r="AQ75" s="142">
        <f t="shared" si="388"/>
        <v>672</v>
      </c>
      <c r="AR75" s="142">
        <f t="shared" si="388"/>
        <v>1243</v>
      </c>
      <c r="AS75" s="142">
        <f t="shared" si="388"/>
        <v>3650</v>
      </c>
      <c r="AT75" s="142">
        <f t="shared" si="388"/>
        <v>5565</v>
      </c>
      <c r="AU75" s="142">
        <f t="shared" si="388"/>
        <v>487</v>
      </c>
      <c r="AV75" s="142">
        <f t="shared" si="388"/>
        <v>1712</v>
      </c>
      <c r="AW75" s="142">
        <f t="shared" si="388"/>
        <v>401</v>
      </c>
      <c r="AX75" s="142">
        <f t="shared" si="388"/>
        <v>2600</v>
      </c>
      <c r="AY75" s="142">
        <f t="shared" si="388"/>
        <v>1061</v>
      </c>
      <c r="AZ75" s="142">
        <f t="shared" si="388"/>
        <v>1503</v>
      </c>
      <c r="BA75" s="142">
        <f t="shared" si="388"/>
        <v>1352</v>
      </c>
      <c r="BB75" s="142">
        <f t="shared" si="388"/>
        <v>3916</v>
      </c>
      <c r="BC75" s="142">
        <f t="shared" si="388"/>
        <v>2500</v>
      </c>
      <c r="BD75" s="142">
        <f t="shared" si="388"/>
        <v>1767</v>
      </c>
      <c r="BE75" s="142">
        <f t="shared" si="388"/>
        <v>1753</v>
      </c>
      <c r="BF75" s="142">
        <f t="shared" si="388"/>
        <v>6020</v>
      </c>
      <c r="BG75" s="142">
        <f t="shared" si="388"/>
        <v>18101</v>
      </c>
      <c r="BH75" s="142">
        <f t="shared" si="388"/>
        <v>1835</v>
      </c>
      <c r="BI75" s="142">
        <f t="shared" si="388"/>
        <v>1090</v>
      </c>
      <c r="BJ75" s="142">
        <f t="shared" si="388"/>
        <v>1160</v>
      </c>
      <c r="BK75" s="142">
        <f t="shared" si="388"/>
        <v>4085</v>
      </c>
      <c r="BL75" s="142">
        <f t="shared" si="388"/>
        <v>580</v>
      </c>
      <c r="BM75" s="142">
        <f t="shared" si="388"/>
        <v>507</v>
      </c>
      <c r="BN75" s="142">
        <f t="shared" si="388"/>
        <v>927</v>
      </c>
      <c r="BO75" s="142">
        <f t="shared" si="388"/>
        <v>2014</v>
      </c>
      <c r="BP75" s="142">
        <f t="shared" si="388"/>
        <v>2108</v>
      </c>
      <c r="BQ75" s="142">
        <f t="shared" si="388"/>
        <v>803</v>
      </c>
      <c r="BR75" s="142">
        <f t="shared" si="388"/>
        <v>1274</v>
      </c>
      <c r="BS75" s="142">
        <f t="shared" si="388"/>
        <v>4185</v>
      </c>
      <c r="BT75" s="142">
        <f t="shared" si="388"/>
        <v>1844</v>
      </c>
      <c r="BU75" s="142">
        <f t="shared" si="388"/>
        <v>2022</v>
      </c>
      <c r="BV75" s="142">
        <f t="shared" si="388"/>
        <v>444</v>
      </c>
      <c r="BW75" s="142">
        <f t="shared" si="388"/>
        <v>4310</v>
      </c>
      <c r="BX75" s="142">
        <f t="shared" si="388"/>
        <v>14594</v>
      </c>
      <c r="BY75" s="141">
        <f t="shared" si="388"/>
        <v>2443</v>
      </c>
      <c r="BZ75" s="141">
        <f t="shared" si="388"/>
        <v>2443</v>
      </c>
      <c r="CA75" s="141">
        <f t="shared" si="388"/>
        <v>0</v>
      </c>
      <c r="CB75" s="141">
        <f t="shared" si="388"/>
        <v>2124</v>
      </c>
      <c r="CC75" s="141">
        <f t="shared" si="388"/>
        <v>2124</v>
      </c>
      <c r="CD75" s="141">
        <f t="shared" si="388"/>
        <v>0</v>
      </c>
      <c r="CE75" s="141">
        <f t="shared" si="388"/>
        <v>85</v>
      </c>
      <c r="CF75" s="141">
        <f t="shared" si="388"/>
        <v>2508</v>
      </c>
      <c r="CG75" s="141">
        <f t="shared" si="388"/>
        <v>2423</v>
      </c>
      <c r="CH75" s="141">
        <f t="shared" si="388"/>
        <v>10786</v>
      </c>
      <c r="CI75" s="141">
        <f t="shared" si="388"/>
        <v>1907</v>
      </c>
      <c r="CJ75" s="141">
        <f t="shared" si="388"/>
        <v>1919</v>
      </c>
      <c r="CK75" s="141">
        <f t="shared" si="388"/>
        <v>12</v>
      </c>
      <c r="CL75" s="141">
        <f t="shared" si="388"/>
        <v>2308</v>
      </c>
      <c r="CM75" s="141">
        <f t="shared" si="388"/>
        <v>2308</v>
      </c>
      <c r="CN75" s="141">
        <f t="shared" si="388"/>
        <v>0</v>
      </c>
      <c r="CO75" s="141">
        <f t="shared" si="388"/>
        <v>1212</v>
      </c>
      <c r="CP75" s="141">
        <f t="shared" si="388"/>
        <v>1215</v>
      </c>
      <c r="CQ75" s="141">
        <f t="shared" si="388"/>
        <v>3</v>
      </c>
      <c r="CR75" s="141">
        <f t="shared" si="388"/>
        <v>9666</v>
      </c>
      <c r="CS75" s="141">
        <f t="shared" si="388"/>
        <v>1089</v>
      </c>
      <c r="CT75" s="141">
        <f t="shared" si="388"/>
        <v>2438</v>
      </c>
      <c r="CU75" s="141">
        <f t="shared" si="388"/>
        <v>3527</v>
      </c>
      <c r="CV75" s="141">
        <f t="shared" si="388"/>
        <v>0</v>
      </c>
      <c r="CW75" s="141">
        <f t="shared" si="388"/>
        <v>0</v>
      </c>
      <c r="CX75" s="141">
        <f t="shared" si="388"/>
        <v>7054</v>
      </c>
      <c r="CY75" s="141">
        <f t="shared" si="388"/>
        <v>0</v>
      </c>
      <c r="CZ75" s="141">
        <f t="shared" si="388"/>
        <v>0</v>
      </c>
      <c r="DA75" s="141">
        <f t="shared" si="388"/>
        <v>0</v>
      </c>
      <c r="DB75" s="141">
        <f t="shared" si="388"/>
        <v>0</v>
      </c>
      <c r="DC75" s="141">
        <f t="shared" si="388"/>
        <v>27506</v>
      </c>
      <c r="DD75" s="141">
        <f t="shared" si="388"/>
        <v>70521</v>
      </c>
      <c r="DE75" s="6"/>
      <c r="DF75" s="24">
        <f>SUM(AK75,AO75,BG75,BX75,DC75)</f>
        <v>65318</v>
      </c>
      <c r="DG75" s="6"/>
      <c r="DH75" s="6"/>
      <c r="DI75" s="6"/>
      <c r="DJ75" s="6"/>
      <c r="DK75" s="6"/>
      <c r="DL75" s="6"/>
    </row>
    <row r="76" ht="15.75" customHeight="1">
      <c r="A76" s="167" t="s">
        <v>146</v>
      </c>
      <c r="B76" s="20">
        <v>0.0</v>
      </c>
      <c r="C76" s="125"/>
      <c r="D76" s="125"/>
      <c r="E76" s="154">
        <v>0.0</v>
      </c>
      <c r="F76" s="154">
        <v>0.0</v>
      </c>
      <c r="G76" s="154">
        <v>0.0</v>
      </c>
      <c r="H76" s="154">
        <f t="shared" ref="H76:H80" si="389">SUM(C76:G76)</f>
        <v>0</v>
      </c>
      <c r="I76" s="154">
        <v>0.0</v>
      </c>
      <c r="J76" s="154">
        <v>0.0</v>
      </c>
      <c r="K76" s="154">
        <v>0.0</v>
      </c>
      <c r="L76" s="156">
        <f t="shared" ref="L76:L80" si="390">SUM(I76:K76)</f>
        <v>0</v>
      </c>
      <c r="M76" s="154">
        <v>0.0</v>
      </c>
      <c r="N76" s="154">
        <v>0.0</v>
      </c>
      <c r="O76" s="154">
        <v>0.0</v>
      </c>
      <c r="P76" s="156">
        <f t="shared" ref="P76:P80" si="391">SUM(M76:O76)</f>
        <v>0</v>
      </c>
      <c r="Q76" s="154">
        <v>0.0</v>
      </c>
      <c r="R76" s="154">
        <v>0.0</v>
      </c>
      <c r="S76" s="154">
        <v>0.0</v>
      </c>
      <c r="T76" s="156">
        <f t="shared" ref="T76:T80" si="392">SUM(Q76:S76)</f>
        <v>0</v>
      </c>
      <c r="U76" s="154">
        <v>0.0</v>
      </c>
      <c r="V76" s="154">
        <v>0.0</v>
      </c>
      <c r="W76" s="154">
        <v>0.0</v>
      </c>
      <c r="X76" s="156">
        <f t="shared" ref="X76:X80" si="393">SUM(U76:W76)</f>
        <v>0</v>
      </c>
      <c r="Y76" s="156">
        <f t="shared" ref="Y76:Y80" si="394">SUM(X76,T76,P76,L76)</f>
        <v>0</v>
      </c>
      <c r="Z76" s="154">
        <v>0.0</v>
      </c>
      <c r="AA76" s="154">
        <v>0.0</v>
      </c>
      <c r="AB76" s="154">
        <v>0.0</v>
      </c>
      <c r="AC76" s="156">
        <f t="shared" ref="AC76:AC80" si="395">SUM(Z76:AB76)</f>
        <v>0</v>
      </c>
      <c r="AD76" s="154">
        <v>0.0</v>
      </c>
      <c r="AE76" s="154">
        <v>0.0</v>
      </c>
      <c r="AF76" s="154">
        <v>0.0</v>
      </c>
      <c r="AG76" s="156">
        <f t="shared" ref="AG76:AG80" si="396">SUM(AD76:AF76)</f>
        <v>0</v>
      </c>
      <c r="AH76" s="154">
        <v>0.0</v>
      </c>
      <c r="AI76" s="154">
        <v>0.0</v>
      </c>
      <c r="AJ76" s="154">
        <v>0.0</v>
      </c>
      <c r="AK76" s="156">
        <f t="shared" ref="AK76:AK80" si="397">SUM(AH76:AJ76)</f>
        <v>0</v>
      </c>
      <c r="AL76" s="154">
        <v>0.0</v>
      </c>
      <c r="AM76" s="154">
        <v>0.0</v>
      </c>
      <c r="AN76" s="154">
        <v>0.0</v>
      </c>
      <c r="AO76" s="156">
        <f t="shared" ref="AO76:AO80" si="398">SUM(AL76:AN76)</f>
        <v>0</v>
      </c>
      <c r="AP76" s="156">
        <f t="shared" ref="AP76:AP80" si="399">SUM(AO76,AK76,AG76,AC76)</f>
        <v>0</v>
      </c>
      <c r="AQ76" s="154">
        <v>0.0</v>
      </c>
      <c r="AR76" s="154">
        <v>0.0</v>
      </c>
      <c r="AS76" s="154">
        <v>0.0</v>
      </c>
      <c r="AT76" s="154">
        <f t="shared" ref="AT76:AT80" si="400">SUM(AQ76:AS76)</f>
        <v>0</v>
      </c>
      <c r="AU76" s="154">
        <v>0.0</v>
      </c>
      <c r="AV76" s="154">
        <v>0.0</v>
      </c>
      <c r="AW76" s="154">
        <v>0.0</v>
      </c>
      <c r="AX76" s="154">
        <f t="shared" ref="AX76:AX80" si="401">SUM(AU76:AW76)</f>
        <v>0</v>
      </c>
      <c r="AY76" s="154">
        <v>0.0</v>
      </c>
      <c r="AZ76" s="154">
        <v>0.0</v>
      </c>
      <c r="BA76" s="154">
        <v>0.0</v>
      </c>
      <c r="BB76" s="154">
        <f t="shared" ref="BB76:BB80" si="402">SUM(AY76:BA76)</f>
        <v>0</v>
      </c>
      <c r="BC76" s="154">
        <v>0.0</v>
      </c>
      <c r="BD76" s="154">
        <v>0.0</v>
      </c>
      <c r="BE76" s="154">
        <v>0.0</v>
      </c>
      <c r="BF76" s="154">
        <f t="shared" ref="BF76:BF80" si="403">SUM(BC76:BE76)</f>
        <v>0</v>
      </c>
      <c r="BG76" s="154">
        <f t="shared" ref="BG76:BG80" si="404">SUM(AT76,AX76,BB76,BF76)</f>
        <v>0</v>
      </c>
      <c r="BH76" s="154">
        <v>0.0</v>
      </c>
      <c r="BI76" s="154">
        <v>0.0</v>
      </c>
      <c r="BJ76" s="154">
        <v>0.0</v>
      </c>
      <c r="BK76" s="154">
        <f t="shared" ref="BK76:BK80" si="405">SUM(BH76:BJ76)</f>
        <v>0</v>
      </c>
      <c r="BL76" s="154">
        <v>0.0</v>
      </c>
      <c r="BM76" s="154">
        <v>0.0</v>
      </c>
      <c r="BN76" s="154">
        <v>0.0</v>
      </c>
      <c r="BO76" s="154">
        <f t="shared" ref="BO76:BO80" si="406">SUM(BL76:BN76)</f>
        <v>0</v>
      </c>
      <c r="BP76" s="154">
        <v>0.0</v>
      </c>
      <c r="BQ76" s="154">
        <v>0.0</v>
      </c>
      <c r="BR76" s="154">
        <v>0.0</v>
      </c>
      <c r="BS76" s="154">
        <f t="shared" ref="BS76:BS80" si="407">SUM(BP76:BR76)</f>
        <v>0</v>
      </c>
      <c r="BT76" s="154">
        <v>0.0</v>
      </c>
      <c r="BU76" s="154">
        <v>0.0</v>
      </c>
      <c r="BV76" s="154">
        <v>0.0</v>
      </c>
      <c r="BW76" s="154">
        <f t="shared" ref="BW76:BW80" si="408">SUM(BT76:BV76)</f>
        <v>0</v>
      </c>
      <c r="BX76" s="154">
        <f t="shared" ref="BX76:BX80" si="409">SUM(BK76,BO76,BS76,BW76)</f>
        <v>0</v>
      </c>
      <c r="BY76" s="154">
        <v>0.0</v>
      </c>
      <c r="BZ76" s="154">
        <v>0.0</v>
      </c>
      <c r="CA76" s="154">
        <f t="shared" ref="CA76:CA80" si="410">BZ76-BY76</f>
        <v>0</v>
      </c>
      <c r="CB76" s="154">
        <v>0.0</v>
      </c>
      <c r="CC76" s="154">
        <v>0.0</v>
      </c>
      <c r="CD76" s="154">
        <f t="shared" ref="CD76:CD80" si="411">CC76-CB76</f>
        <v>0</v>
      </c>
      <c r="CE76" s="154">
        <v>0.0</v>
      </c>
      <c r="CF76" s="154">
        <v>0.0</v>
      </c>
      <c r="CG76" s="154">
        <f t="shared" ref="CG76:CG80" si="412">CF76-CE76</f>
        <v>0</v>
      </c>
      <c r="CH76" s="154">
        <f t="shared" ref="CH76:CH77" si="413">SUM(BY76:CF76)</f>
        <v>0</v>
      </c>
      <c r="CI76" s="125">
        <v>0.0</v>
      </c>
      <c r="CJ76" s="125">
        <v>0.0</v>
      </c>
      <c r="CK76" s="154">
        <f t="shared" ref="CK76:CK80" si="414">CJ76-CI76</f>
        <v>0</v>
      </c>
      <c r="CL76" s="125">
        <v>0.0</v>
      </c>
      <c r="CM76" s="125">
        <v>0.0</v>
      </c>
      <c r="CN76" s="154">
        <f t="shared" ref="CN76:CN80" si="415">CM76-CL76</f>
        <v>0</v>
      </c>
      <c r="CO76" s="125">
        <v>16.0</v>
      </c>
      <c r="CP76" s="125">
        <v>0.0</v>
      </c>
      <c r="CQ76" s="154">
        <f t="shared" ref="CQ76:CQ80" si="416">CP76-CO76</f>
        <v>-16</v>
      </c>
      <c r="CR76" s="154">
        <f t="shared" ref="CR76:CR80" si="417">SUM(CI76:CO76)</f>
        <v>16</v>
      </c>
      <c r="CS76" s="125">
        <v>0.0</v>
      </c>
      <c r="CT76" s="154">
        <f t="shared" ref="CT76:CT80" si="418">SUM(CA76,CD76,CG76,CK76,CN76,CQ76)</f>
        <v>-16</v>
      </c>
      <c r="CU76" s="154">
        <v>16.0</v>
      </c>
      <c r="CV76" s="125"/>
      <c r="CW76" s="125"/>
      <c r="CX76" s="154">
        <f t="shared" ref="CX76:CX80" si="419">SUM(CS76:CW76)</f>
        <v>0</v>
      </c>
      <c r="CY76" s="125"/>
      <c r="CZ76" s="125"/>
      <c r="DA76" s="125"/>
      <c r="DB76" s="154">
        <f t="shared" ref="DB76:DB80" si="420">SUM(CY76:DA76)</f>
        <v>0</v>
      </c>
      <c r="DC76" s="154">
        <f t="shared" ref="DC76:DC80" si="421">SUM(CH76,CR76,CX76,DB76)</f>
        <v>16</v>
      </c>
      <c r="DD76" s="154">
        <f t="shared" ref="DD76:DD80" si="422">SUM(B76,H76,Y76,AP76,BG76,BX76,DC76)</f>
        <v>16</v>
      </c>
      <c r="DE76" s="6"/>
      <c r="DF76" s="6"/>
      <c r="DG76" s="6"/>
      <c r="DH76" s="6"/>
      <c r="DI76" s="6"/>
      <c r="DJ76" s="6"/>
      <c r="DK76" s="6"/>
      <c r="DL76" s="6"/>
    </row>
    <row r="77" ht="15.75" customHeight="1">
      <c r="A77" s="167" t="s">
        <v>147</v>
      </c>
      <c r="B77" s="154">
        <v>297.0</v>
      </c>
      <c r="C77" s="154">
        <v>0.0</v>
      </c>
      <c r="D77" s="154">
        <v>0.0</v>
      </c>
      <c r="E77" s="154">
        <v>0.0</v>
      </c>
      <c r="F77" s="154">
        <v>0.0</v>
      </c>
      <c r="G77" s="154">
        <v>22.0</v>
      </c>
      <c r="H77" s="154">
        <f t="shared" si="389"/>
        <v>22</v>
      </c>
      <c r="I77" s="154">
        <v>20.0</v>
      </c>
      <c r="J77" s="154">
        <v>9.0</v>
      </c>
      <c r="K77" s="154">
        <v>7.0</v>
      </c>
      <c r="L77" s="156">
        <f t="shared" si="390"/>
        <v>36</v>
      </c>
      <c r="M77" s="154">
        <v>6.0</v>
      </c>
      <c r="N77" s="154">
        <v>5.0</v>
      </c>
      <c r="O77" s="154">
        <v>0.0</v>
      </c>
      <c r="P77" s="156">
        <f t="shared" si="391"/>
        <v>11</v>
      </c>
      <c r="Q77" s="154">
        <v>1.0</v>
      </c>
      <c r="R77" s="154">
        <v>7.0</v>
      </c>
      <c r="S77" s="154">
        <v>14.0</v>
      </c>
      <c r="T77" s="156">
        <f t="shared" si="392"/>
        <v>22</v>
      </c>
      <c r="U77" s="154">
        <v>14.0</v>
      </c>
      <c r="V77" s="154">
        <v>11.0</v>
      </c>
      <c r="W77" s="154">
        <v>3.0</v>
      </c>
      <c r="X77" s="156">
        <f t="shared" si="393"/>
        <v>28</v>
      </c>
      <c r="Y77" s="156">
        <f t="shared" si="394"/>
        <v>97</v>
      </c>
      <c r="Z77" s="154">
        <v>2.0</v>
      </c>
      <c r="AA77" s="154">
        <v>10.0</v>
      </c>
      <c r="AB77" s="154">
        <v>29.0</v>
      </c>
      <c r="AC77" s="156">
        <f t="shared" si="395"/>
        <v>41</v>
      </c>
      <c r="AD77" s="154">
        <v>7.0</v>
      </c>
      <c r="AE77" s="154">
        <v>61.0</v>
      </c>
      <c r="AF77" s="154">
        <v>13.0</v>
      </c>
      <c r="AG77" s="156">
        <f t="shared" si="396"/>
        <v>81</v>
      </c>
      <c r="AH77" s="154">
        <v>559.0</v>
      </c>
      <c r="AI77" s="154">
        <v>365.0</v>
      </c>
      <c r="AJ77" s="154">
        <v>20.0</v>
      </c>
      <c r="AK77" s="156">
        <f t="shared" si="397"/>
        <v>944</v>
      </c>
      <c r="AL77" s="154">
        <v>95.0</v>
      </c>
      <c r="AM77" s="154">
        <v>67.0</v>
      </c>
      <c r="AN77" s="154">
        <v>41.0</v>
      </c>
      <c r="AO77" s="156">
        <f t="shared" si="398"/>
        <v>203</v>
      </c>
      <c r="AP77" s="156">
        <f t="shared" si="399"/>
        <v>1269</v>
      </c>
      <c r="AQ77" s="154">
        <v>174.0</v>
      </c>
      <c r="AR77" s="154">
        <v>234.0</v>
      </c>
      <c r="AS77" s="154">
        <v>885.0</v>
      </c>
      <c r="AT77" s="154">
        <f t="shared" si="400"/>
        <v>1293</v>
      </c>
      <c r="AU77" s="154">
        <v>31.0</v>
      </c>
      <c r="AV77" s="154">
        <v>38.0</v>
      </c>
      <c r="AW77" s="154">
        <v>94.0</v>
      </c>
      <c r="AX77" s="154">
        <f t="shared" si="401"/>
        <v>163</v>
      </c>
      <c r="AY77" s="154">
        <v>279.0</v>
      </c>
      <c r="AZ77" s="154">
        <v>491.0</v>
      </c>
      <c r="BA77" s="154">
        <v>333.0</v>
      </c>
      <c r="BB77" s="154">
        <f t="shared" si="402"/>
        <v>1103</v>
      </c>
      <c r="BC77" s="154">
        <v>910.0</v>
      </c>
      <c r="BD77" s="154">
        <v>394.0</v>
      </c>
      <c r="BE77" s="154">
        <v>458.0</v>
      </c>
      <c r="BF77" s="154">
        <f t="shared" si="403"/>
        <v>1762</v>
      </c>
      <c r="BG77" s="154">
        <f t="shared" si="404"/>
        <v>4321</v>
      </c>
      <c r="BH77" s="154">
        <v>629.0</v>
      </c>
      <c r="BI77" s="154">
        <v>264.0</v>
      </c>
      <c r="BJ77" s="154">
        <v>468.0</v>
      </c>
      <c r="BK77" s="154">
        <f t="shared" si="405"/>
        <v>1361</v>
      </c>
      <c r="BL77" s="154">
        <v>113.0</v>
      </c>
      <c r="BM77" s="154">
        <v>124.0</v>
      </c>
      <c r="BN77" s="154">
        <v>328.0</v>
      </c>
      <c r="BO77" s="154">
        <f t="shared" si="406"/>
        <v>565</v>
      </c>
      <c r="BP77" s="154">
        <v>636.0</v>
      </c>
      <c r="BQ77" s="154">
        <v>224.0</v>
      </c>
      <c r="BR77" s="154">
        <v>172.0</v>
      </c>
      <c r="BS77" s="154">
        <f t="shared" si="407"/>
        <v>1032</v>
      </c>
      <c r="BT77" s="154">
        <v>608.0</v>
      </c>
      <c r="BU77" s="154">
        <v>749.0</v>
      </c>
      <c r="BV77" s="154">
        <v>149.0</v>
      </c>
      <c r="BW77" s="154">
        <f t="shared" si="408"/>
        <v>1506</v>
      </c>
      <c r="BX77" s="154">
        <f t="shared" si="409"/>
        <v>4464</v>
      </c>
      <c r="BY77" s="154">
        <v>724.0</v>
      </c>
      <c r="BZ77" s="154">
        <v>724.0</v>
      </c>
      <c r="CA77" s="154">
        <f t="shared" si="410"/>
        <v>0</v>
      </c>
      <c r="CB77" s="154">
        <v>1056.0</v>
      </c>
      <c r="CC77" s="154">
        <v>1056.0</v>
      </c>
      <c r="CD77" s="154">
        <f t="shared" si="411"/>
        <v>0</v>
      </c>
      <c r="CE77" s="154">
        <v>81.0</v>
      </c>
      <c r="CF77" s="154">
        <v>632.0</v>
      </c>
      <c r="CG77" s="154">
        <f t="shared" si="412"/>
        <v>551</v>
      </c>
      <c r="CH77" s="154">
        <f t="shared" si="413"/>
        <v>4273</v>
      </c>
      <c r="CI77" s="154">
        <v>573.0</v>
      </c>
      <c r="CJ77" s="154">
        <v>574.0</v>
      </c>
      <c r="CK77" s="154">
        <f t="shared" si="414"/>
        <v>1</v>
      </c>
      <c r="CL77" s="154">
        <v>1165.0</v>
      </c>
      <c r="CM77" s="154">
        <v>1165.0</v>
      </c>
      <c r="CN77" s="154">
        <f t="shared" si="415"/>
        <v>0</v>
      </c>
      <c r="CO77" s="154">
        <v>548.0</v>
      </c>
      <c r="CP77" s="154">
        <v>549.0</v>
      </c>
      <c r="CQ77" s="154">
        <f t="shared" si="416"/>
        <v>1</v>
      </c>
      <c r="CR77" s="154">
        <f t="shared" si="417"/>
        <v>4026</v>
      </c>
      <c r="CS77" s="154">
        <v>239.0</v>
      </c>
      <c r="CT77" s="154">
        <f t="shared" si="418"/>
        <v>553</v>
      </c>
      <c r="CU77" s="154">
        <f>CS77+CT77-16-16</f>
        <v>760</v>
      </c>
      <c r="CV77" s="154"/>
      <c r="CW77" s="154"/>
      <c r="CX77" s="154">
        <f t="shared" si="419"/>
        <v>1552</v>
      </c>
      <c r="CY77" s="154"/>
      <c r="CZ77" s="154"/>
      <c r="DA77" s="154"/>
      <c r="DB77" s="154">
        <f t="shared" si="420"/>
        <v>0</v>
      </c>
      <c r="DC77" s="154">
        <f t="shared" si="421"/>
        <v>9851</v>
      </c>
      <c r="DD77" s="154">
        <f t="shared" si="422"/>
        <v>20321</v>
      </c>
      <c r="DE77" s="6"/>
      <c r="DF77" s="6"/>
      <c r="DG77" s="6"/>
      <c r="DH77" s="6"/>
      <c r="DI77" s="6"/>
      <c r="DJ77" s="6"/>
      <c r="DK77" s="6"/>
      <c r="DL77" s="6"/>
    </row>
    <row r="78" ht="15.75" customHeight="1">
      <c r="A78" s="169" t="s">
        <v>148</v>
      </c>
      <c r="B78" s="154">
        <v>748.0</v>
      </c>
      <c r="C78" s="154">
        <v>0.0</v>
      </c>
      <c r="D78" s="154">
        <v>0.0</v>
      </c>
      <c r="E78" s="154">
        <v>0.0</v>
      </c>
      <c r="F78" s="154">
        <v>0.0</v>
      </c>
      <c r="G78" s="154">
        <v>8.0</v>
      </c>
      <c r="H78" s="154">
        <f t="shared" si="389"/>
        <v>8</v>
      </c>
      <c r="I78" s="154">
        <v>4.0</v>
      </c>
      <c r="J78" s="154">
        <v>8.0</v>
      </c>
      <c r="K78" s="154">
        <v>2.0</v>
      </c>
      <c r="L78" s="156">
        <f t="shared" si="390"/>
        <v>14</v>
      </c>
      <c r="M78" s="154">
        <v>3.0</v>
      </c>
      <c r="N78" s="154">
        <v>0.0</v>
      </c>
      <c r="O78" s="154">
        <v>0.0</v>
      </c>
      <c r="P78" s="156">
        <f t="shared" si="391"/>
        <v>3</v>
      </c>
      <c r="Q78" s="154">
        <v>0.0</v>
      </c>
      <c r="R78" s="154">
        <v>2.0</v>
      </c>
      <c r="S78" s="154">
        <v>0.0</v>
      </c>
      <c r="T78" s="156">
        <f t="shared" si="392"/>
        <v>2</v>
      </c>
      <c r="U78" s="154">
        <v>17.0</v>
      </c>
      <c r="V78" s="154">
        <v>55.0</v>
      </c>
      <c r="W78" s="154">
        <v>0.0</v>
      </c>
      <c r="X78" s="156">
        <f t="shared" si="393"/>
        <v>72</v>
      </c>
      <c r="Y78" s="156">
        <f t="shared" si="394"/>
        <v>91</v>
      </c>
      <c r="Z78" s="154">
        <v>0.0</v>
      </c>
      <c r="AA78" s="154">
        <v>14.0</v>
      </c>
      <c r="AB78" s="154">
        <v>1665.0</v>
      </c>
      <c r="AC78" s="156">
        <f t="shared" si="395"/>
        <v>1679</v>
      </c>
      <c r="AD78" s="154">
        <v>279.0</v>
      </c>
      <c r="AE78" s="154">
        <v>121.0</v>
      </c>
      <c r="AF78" s="154">
        <v>110.0</v>
      </c>
      <c r="AG78" s="156">
        <f t="shared" si="396"/>
        <v>510</v>
      </c>
      <c r="AH78" s="154">
        <v>1797.0</v>
      </c>
      <c r="AI78" s="154">
        <v>701.0</v>
      </c>
      <c r="AJ78" s="154">
        <v>5.0</v>
      </c>
      <c r="AK78" s="156">
        <f t="shared" si="397"/>
        <v>2503</v>
      </c>
      <c r="AL78" s="154">
        <v>65.0</v>
      </c>
      <c r="AM78" s="154">
        <v>245.0</v>
      </c>
      <c r="AN78" s="154">
        <v>7.0</v>
      </c>
      <c r="AO78" s="156">
        <f t="shared" si="398"/>
        <v>317</v>
      </c>
      <c r="AP78" s="156">
        <f t="shared" si="399"/>
        <v>5009</v>
      </c>
      <c r="AQ78" s="154">
        <v>229.0</v>
      </c>
      <c r="AR78" s="154">
        <v>759.0</v>
      </c>
      <c r="AS78" s="154">
        <v>964.0</v>
      </c>
      <c r="AT78" s="154">
        <f t="shared" si="400"/>
        <v>1952</v>
      </c>
      <c r="AU78" s="154">
        <v>131.0</v>
      </c>
      <c r="AV78" s="154">
        <v>482.0</v>
      </c>
      <c r="AW78" s="154">
        <v>37.0</v>
      </c>
      <c r="AX78" s="154">
        <f t="shared" si="401"/>
        <v>650</v>
      </c>
      <c r="AY78" s="154">
        <v>462.0</v>
      </c>
      <c r="AZ78" s="154">
        <v>440.0</v>
      </c>
      <c r="BA78" s="154">
        <v>822.0</v>
      </c>
      <c r="BB78" s="154">
        <f t="shared" si="402"/>
        <v>1724</v>
      </c>
      <c r="BC78" s="154">
        <v>1224.0</v>
      </c>
      <c r="BD78" s="154">
        <v>858.0</v>
      </c>
      <c r="BE78" s="154">
        <v>796.0</v>
      </c>
      <c r="BF78" s="154">
        <f t="shared" si="403"/>
        <v>2878</v>
      </c>
      <c r="BG78" s="154">
        <f t="shared" si="404"/>
        <v>7204</v>
      </c>
      <c r="BH78" s="154">
        <v>884.0</v>
      </c>
      <c r="BI78" s="154">
        <v>716.0</v>
      </c>
      <c r="BJ78" s="154">
        <v>351.0</v>
      </c>
      <c r="BK78" s="154">
        <f t="shared" si="405"/>
        <v>1951</v>
      </c>
      <c r="BL78" s="154">
        <v>274.0</v>
      </c>
      <c r="BM78" s="154">
        <v>277.0</v>
      </c>
      <c r="BN78" s="154">
        <v>329.0</v>
      </c>
      <c r="BO78" s="154">
        <f t="shared" si="406"/>
        <v>880</v>
      </c>
      <c r="BP78" s="154">
        <v>1134.0</v>
      </c>
      <c r="BQ78" s="154">
        <v>371.0</v>
      </c>
      <c r="BR78" s="154">
        <v>428.0</v>
      </c>
      <c r="BS78" s="154">
        <f t="shared" si="407"/>
        <v>1933</v>
      </c>
      <c r="BT78" s="154">
        <v>895.0</v>
      </c>
      <c r="BU78" s="154">
        <v>886.0</v>
      </c>
      <c r="BV78" s="154">
        <v>212.0</v>
      </c>
      <c r="BW78" s="154">
        <f t="shared" si="408"/>
        <v>1993</v>
      </c>
      <c r="BX78" s="154">
        <f t="shared" si="409"/>
        <v>6757</v>
      </c>
      <c r="BY78" s="154">
        <v>1446.0</v>
      </c>
      <c r="BZ78" s="154">
        <v>1446.0</v>
      </c>
      <c r="CA78" s="154">
        <f t="shared" si="410"/>
        <v>0</v>
      </c>
      <c r="CB78" s="154">
        <v>906.0</v>
      </c>
      <c r="CC78" s="154">
        <v>906.0</v>
      </c>
      <c r="CD78" s="154">
        <f t="shared" si="411"/>
        <v>0</v>
      </c>
      <c r="CE78" s="154">
        <v>0.0</v>
      </c>
      <c r="CF78" s="154">
        <f>717+224</f>
        <v>941</v>
      </c>
      <c r="CG78" s="154">
        <f t="shared" si="412"/>
        <v>941</v>
      </c>
      <c r="CH78" s="154">
        <f>SUM(BY78:CE78)</f>
        <v>4704</v>
      </c>
      <c r="CI78" s="154">
        <v>305.0</v>
      </c>
      <c r="CJ78" s="154">
        <f>289+18</f>
        <v>307</v>
      </c>
      <c r="CK78" s="154">
        <f t="shared" si="414"/>
        <v>2</v>
      </c>
      <c r="CL78" s="154">
        <f t="shared" ref="CL78:CM78" si="423">644+140</f>
        <v>784</v>
      </c>
      <c r="CM78" s="154">
        <f t="shared" si="423"/>
        <v>784</v>
      </c>
      <c r="CN78" s="154">
        <f t="shared" si="415"/>
        <v>0</v>
      </c>
      <c r="CO78" s="154">
        <v>475.0</v>
      </c>
      <c r="CP78" s="154">
        <f>475+16</f>
        <v>491</v>
      </c>
      <c r="CQ78" s="154">
        <f t="shared" si="416"/>
        <v>16</v>
      </c>
      <c r="CR78" s="154">
        <f t="shared" si="417"/>
        <v>2657</v>
      </c>
      <c r="CS78" s="154">
        <f>286+81</f>
        <v>367</v>
      </c>
      <c r="CT78" s="154">
        <f t="shared" si="418"/>
        <v>959</v>
      </c>
      <c r="CU78" s="154">
        <f t="shared" ref="CU78:CU80" si="424">CS78+CT78</f>
        <v>1326</v>
      </c>
      <c r="CV78" s="154"/>
      <c r="CW78" s="154"/>
      <c r="CX78" s="154">
        <f t="shared" si="419"/>
        <v>2652</v>
      </c>
      <c r="CY78" s="154"/>
      <c r="CZ78" s="154"/>
      <c r="DA78" s="154"/>
      <c r="DB78" s="154">
        <f t="shared" si="420"/>
        <v>0</v>
      </c>
      <c r="DC78" s="154">
        <f t="shared" si="421"/>
        <v>10013</v>
      </c>
      <c r="DD78" s="154">
        <f t="shared" si="422"/>
        <v>29830</v>
      </c>
      <c r="DE78" s="6"/>
      <c r="DF78" s="6"/>
      <c r="DG78" s="6"/>
      <c r="DH78" s="6"/>
      <c r="DI78" s="6"/>
      <c r="DJ78" s="6"/>
      <c r="DK78" s="6"/>
      <c r="DL78" s="6"/>
    </row>
    <row r="79" ht="15.75" customHeight="1">
      <c r="A79" s="167" t="s">
        <v>149</v>
      </c>
      <c r="B79" s="154">
        <v>225.0</v>
      </c>
      <c r="C79" s="154">
        <v>0.0</v>
      </c>
      <c r="D79" s="154">
        <v>0.0</v>
      </c>
      <c r="E79" s="154">
        <v>1.0</v>
      </c>
      <c r="F79" s="154">
        <v>0.0</v>
      </c>
      <c r="G79" s="154">
        <v>1.0</v>
      </c>
      <c r="H79" s="154">
        <f t="shared" si="389"/>
        <v>2</v>
      </c>
      <c r="I79" s="154">
        <v>0.0</v>
      </c>
      <c r="J79" s="154">
        <v>2.0</v>
      </c>
      <c r="K79" s="154">
        <v>1.0</v>
      </c>
      <c r="L79" s="156">
        <f t="shared" si="390"/>
        <v>3</v>
      </c>
      <c r="M79" s="154">
        <v>1.0</v>
      </c>
      <c r="N79" s="154">
        <v>0.0</v>
      </c>
      <c r="O79" s="154">
        <v>0.0</v>
      </c>
      <c r="P79" s="156">
        <f t="shared" si="391"/>
        <v>1</v>
      </c>
      <c r="Q79" s="154">
        <v>0.0</v>
      </c>
      <c r="R79" s="154">
        <v>1.0</v>
      </c>
      <c r="S79" s="154">
        <v>1.0</v>
      </c>
      <c r="T79" s="156">
        <f t="shared" si="392"/>
        <v>2</v>
      </c>
      <c r="U79" s="154">
        <v>5.0</v>
      </c>
      <c r="V79" s="154">
        <v>1.0</v>
      </c>
      <c r="W79" s="154">
        <v>82.0</v>
      </c>
      <c r="X79" s="156">
        <f t="shared" si="393"/>
        <v>88</v>
      </c>
      <c r="Y79" s="156">
        <f t="shared" si="394"/>
        <v>94</v>
      </c>
      <c r="Z79" s="154">
        <v>2.0</v>
      </c>
      <c r="AA79" s="154">
        <v>225.0</v>
      </c>
      <c r="AB79" s="154">
        <v>993.0</v>
      </c>
      <c r="AC79" s="156">
        <f t="shared" si="395"/>
        <v>1220</v>
      </c>
      <c r="AD79" s="154">
        <v>35.0</v>
      </c>
      <c r="AE79" s="154">
        <v>33.0</v>
      </c>
      <c r="AF79" s="154">
        <v>20.0</v>
      </c>
      <c r="AG79" s="156">
        <f t="shared" si="396"/>
        <v>88</v>
      </c>
      <c r="AH79" s="154">
        <v>939.0</v>
      </c>
      <c r="AI79" s="154">
        <v>151.0</v>
      </c>
      <c r="AJ79" s="154">
        <v>9.0</v>
      </c>
      <c r="AK79" s="156">
        <f t="shared" si="397"/>
        <v>1099</v>
      </c>
      <c r="AL79" s="154">
        <v>4.0</v>
      </c>
      <c r="AM79" s="154">
        <v>27.0</v>
      </c>
      <c r="AN79" s="154">
        <v>17.0</v>
      </c>
      <c r="AO79" s="156">
        <f t="shared" si="398"/>
        <v>48</v>
      </c>
      <c r="AP79" s="156">
        <f t="shared" si="399"/>
        <v>2455</v>
      </c>
      <c r="AQ79" s="154">
        <v>269.0</v>
      </c>
      <c r="AR79" s="154">
        <v>250.0</v>
      </c>
      <c r="AS79" s="154">
        <v>1801.0</v>
      </c>
      <c r="AT79" s="154">
        <f t="shared" si="400"/>
        <v>2320</v>
      </c>
      <c r="AU79" s="154">
        <v>325.0</v>
      </c>
      <c r="AV79" s="154">
        <v>1192.0</v>
      </c>
      <c r="AW79" s="154">
        <v>270.0</v>
      </c>
      <c r="AX79" s="154">
        <f t="shared" si="401"/>
        <v>1787</v>
      </c>
      <c r="AY79" s="154">
        <v>318.0</v>
      </c>
      <c r="AZ79" s="154">
        <v>558.0</v>
      </c>
      <c r="BA79" s="154">
        <v>185.0</v>
      </c>
      <c r="BB79" s="154">
        <f t="shared" si="402"/>
        <v>1061</v>
      </c>
      <c r="BC79" s="154">
        <v>333.0</v>
      </c>
      <c r="BD79" s="154">
        <v>515.0</v>
      </c>
      <c r="BE79" s="154">
        <v>495.0</v>
      </c>
      <c r="BF79" s="154">
        <f t="shared" si="403"/>
        <v>1343</v>
      </c>
      <c r="BG79" s="154">
        <f t="shared" si="404"/>
        <v>6511</v>
      </c>
      <c r="BH79" s="154">
        <v>310.0</v>
      </c>
      <c r="BI79" s="154">
        <v>107.0</v>
      </c>
      <c r="BJ79" s="154">
        <v>341.0</v>
      </c>
      <c r="BK79" s="154">
        <f t="shared" si="405"/>
        <v>758</v>
      </c>
      <c r="BL79" s="154">
        <v>189.0</v>
      </c>
      <c r="BM79" s="154">
        <v>95.0</v>
      </c>
      <c r="BN79" s="154">
        <v>269.0</v>
      </c>
      <c r="BO79" s="154">
        <f t="shared" si="406"/>
        <v>553</v>
      </c>
      <c r="BP79" s="154">
        <v>321.0</v>
      </c>
      <c r="BQ79" s="154">
        <v>178.0</v>
      </c>
      <c r="BR79" s="154">
        <v>673.0</v>
      </c>
      <c r="BS79" s="154">
        <f t="shared" si="407"/>
        <v>1172</v>
      </c>
      <c r="BT79" s="154">
        <v>333.0</v>
      </c>
      <c r="BU79" s="154">
        <v>370.0</v>
      </c>
      <c r="BV79" s="154">
        <v>83.0</v>
      </c>
      <c r="BW79" s="154">
        <f t="shared" si="408"/>
        <v>786</v>
      </c>
      <c r="BX79" s="154">
        <f t="shared" si="409"/>
        <v>3269</v>
      </c>
      <c r="BY79" s="154">
        <v>268.0</v>
      </c>
      <c r="BZ79" s="154">
        <v>268.0</v>
      </c>
      <c r="CA79" s="154">
        <f t="shared" si="410"/>
        <v>0</v>
      </c>
      <c r="CB79" s="154">
        <v>158.0</v>
      </c>
      <c r="CC79" s="154">
        <v>158.0</v>
      </c>
      <c r="CD79" s="154">
        <f t="shared" si="411"/>
        <v>0</v>
      </c>
      <c r="CE79" s="154">
        <v>4.0</v>
      </c>
      <c r="CF79" s="154">
        <v>919.0</v>
      </c>
      <c r="CG79" s="154">
        <f t="shared" si="412"/>
        <v>915</v>
      </c>
      <c r="CH79" s="154">
        <f t="shared" ref="CH79:CH80" si="425">SUM(BY79:CF79)</f>
        <v>1775</v>
      </c>
      <c r="CI79" s="154">
        <v>1022.0</v>
      </c>
      <c r="CJ79" s="154">
        <v>1031.0</v>
      </c>
      <c r="CK79" s="154">
        <f t="shared" si="414"/>
        <v>9</v>
      </c>
      <c r="CL79" s="154">
        <v>359.0</v>
      </c>
      <c r="CM79" s="154">
        <v>359.0</v>
      </c>
      <c r="CN79" s="154">
        <f t="shared" si="415"/>
        <v>0</v>
      </c>
      <c r="CO79" s="154">
        <v>161.0</v>
      </c>
      <c r="CP79" s="154">
        <v>163.0</v>
      </c>
      <c r="CQ79" s="154">
        <f t="shared" si="416"/>
        <v>2</v>
      </c>
      <c r="CR79" s="154">
        <f t="shared" si="417"/>
        <v>2941</v>
      </c>
      <c r="CS79" s="154">
        <v>483.0</v>
      </c>
      <c r="CT79" s="154">
        <f t="shared" si="418"/>
        <v>926</v>
      </c>
      <c r="CU79" s="154">
        <f t="shared" si="424"/>
        <v>1409</v>
      </c>
      <c r="CV79" s="154"/>
      <c r="CW79" s="154"/>
      <c r="CX79" s="154">
        <f t="shared" si="419"/>
        <v>2818</v>
      </c>
      <c r="CY79" s="154"/>
      <c r="CZ79" s="154"/>
      <c r="DA79" s="154"/>
      <c r="DB79" s="154">
        <f t="shared" si="420"/>
        <v>0</v>
      </c>
      <c r="DC79" s="154">
        <f t="shared" si="421"/>
        <v>7534</v>
      </c>
      <c r="DD79" s="154">
        <f t="shared" si="422"/>
        <v>20090</v>
      </c>
      <c r="DE79" s="6"/>
      <c r="DF79" s="6"/>
      <c r="DG79" s="6"/>
      <c r="DH79" s="6"/>
      <c r="DI79" s="6"/>
      <c r="DJ79" s="6"/>
      <c r="DK79" s="6"/>
      <c r="DL79" s="6"/>
    </row>
    <row r="80" ht="15.75" customHeight="1">
      <c r="A80" s="167" t="s">
        <v>150</v>
      </c>
      <c r="B80" s="154">
        <v>0.0</v>
      </c>
      <c r="C80" s="125"/>
      <c r="D80" s="125"/>
      <c r="E80" s="154">
        <v>0.0</v>
      </c>
      <c r="F80" s="154">
        <v>0.0</v>
      </c>
      <c r="G80" s="154">
        <v>0.0</v>
      </c>
      <c r="H80" s="154">
        <f t="shared" si="389"/>
        <v>0</v>
      </c>
      <c r="I80" s="154">
        <v>0.0</v>
      </c>
      <c r="J80" s="154">
        <v>0.0</v>
      </c>
      <c r="K80" s="154">
        <v>0.0</v>
      </c>
      <c r="L80" s="156">
        <f t="shared" si="390"/>
        <v>0</v>
      </c>
      <c r="M80" s="154">
        <v>0.0</v>
      </c>
      <c r="N80" s="154">
        <v>0.0</v>
      </c>
      <c r="O80" s="154">
        <v>0.0</v>
      </c>
      <c r="P80" s="156">
        <f t="shared" si="391"/>
        <v>0</v>
      </c>
      <c r="Q80" s="154">
        <v>0.0</v>
      </c>
      <c r="R80" s="154">
        <v>0.0</v>
      </c>
      <c r="S80" s="154">
        <v>0.0</v>
      </c>
      <c r="T80" s="156">
        <f t="shared" si="392"/>
        <v>0</v>
      </c>
      <c r="U80" s="154">
        <v>0.0</v>
      </c>
      <c r="V80" s="154">
        <v>0.0</v>
      </c>
      <c r="W80" s="154">
        <v>0.0</v>
      </c>
      <c r="X80" s="156">
        <f t="shared" si="393"/>
        <v>0</v>
      </c>
      <c r="Y80" s="156">
        <f t="shared" si="394"/>
        <v>0</v>
      </c>
      <c r="Z80" s="154">
        <v>0.0</v>
      </c>
      <c r="AA80" s="154">
        <v>0.0</v>
      </c>
      <c r="AB80" s="154">
        <v>0.0</v>
      </c>
      <c r="AC80" s="156">
        <f t="shared" si="395"/>
        <v>0</v>
      </c>
      <c r="AD80" s="154">
        <v>0.0</v>
      </c>
      <c r="AE80" s="154">
        <v>0.0</v>
      </c>
      <c r="AF80" s="154">
        <v>0.0</v>
      </c>
      <c r="AG80" s="156">
        <f t="shared" si="396"/>
        <v>0</v>
      </c>
      <c r="AH80" s="154">
        <v>0.0</v>
      </c>
      <c r="AI80" s="154">
        <v>0.0</v>
      </c>
      <c r="AJ80" s="154">
        <v>0.0</v>
      </c>
      <c r="AK80" s="156">
        <f t="shared" si="397"/>
        <v>0</v>
      </c>
      <c r="AL80" s="154">
        <v>2.0</v>
      </c>
      <c r="AM80" s="154">
        <v>0.0</v>
      </c>
      <c r="AN80" s="154">
        <v>1.0</v>
      </c>
      <c r="AO80" s="156">
        <f t="shared" si="398"/>
        <v>3</v>
      </c>
      <c r="AP80" s="156">
        <f t="shared" si="399"/>
        <v>3</v>
      </c>
      <c r="AQ80" s="154">
        <v>0.0</v>
      </c>
      <c r="AR80" s="154">
        <v>0.0</v>
      </c>
      <c r="AS80" s="154">
        <v>0.0</v>
      </c>
      <c r="AT80" s="154">
        <f t="shared" si="400"/>
        <v>0</v>
      </c>
      <c r="AU80" s="154">
        <v>0.0</v>
      </c>
      <c r="AV80" s="154">
        <v>0.0</v>
      </c>
      <c r="AW80" s="154">
        <v>0.0</v>
      </c>
      <c r="AX80" s="154">
        <f t="shared" si="401"/>
        <v>0</v>
      </c>
      <c r="AY80" s="154">
        <v>2.0</v>
      </c>
      <c r="AZ80" s="154">
        <v>14.0</v>
      </c>
      <c r="BA80" s="154">
        <v>12.0</v>
      </c>
      <c r="BB80" s="154">
        <f t="shared" si="402"/>
        <v>28</v>
      </c>
      <c r="BC80" s="154">
        <v>33.0</v>
      </c>
      <c r="BD80" s="154">
        <v>0.0</v>
      </c>
      <c r="BE80" s="154">
        <v>4.0</v>
      </c>
      <c r="BF80" s="154">
        <f t="shared" si="403"/>
        <v>37</v>
      </c>
      <c r="BG80" s="154">
        <f t="shared" si="404"/>
        <v>65</v>
      </c>
      <c r="BH80" s="154">
        <v>12.0</v>
      </c>
      <c r="BI80" s="154">
        <v>3.0</v>
      </c>
      <c r="BJ80" s="154">
        <v>0.0</v>
      </c>
      <c r="BK80" s="154">
        <f t="shared" si="405"/>
        <v>15</v>
      </c>
      <c r="BL80" s="154">
        <v>4.0</v>
      </c>
      <c r="BM80" s="154">
        <v>11.0</v>
      </c>
      <c r="BN80" s="154">
        <v>1.0</v>
      </c>
      <c r="BO80" s="154">
        <f t="shared" si="406"/>
        <v>16</v>
      </c>
      <c r="BP80" s="154">
        <v>17.0</v>
      </c>
      <c r="BQ80" s="154">
        <v>30.0</v>
      </c>
      <c r="BR80" s="154">
        <v>1.0</v>
      </c>
      <c r="BS80" s="154">
        <f t="shared" si="407"/>
        <v>48</v>
      </c>
      <c r="BT80" s="154">
        <v>8.0</v>
      </c>
      <c r="BU80" s="154">
        <v>17.0</v>
      </c>
      <c r="BV80" s="154">
        <v>0.0</v>
      </c>
      <c r="BW80" s="154">
        <f t="shared" si="408"/>
        <v>25</v>
      </c>
      <c r="BX80" s="154">
        <f t="shared" si="409"/>
        <v>104</v>
      </c>
      <c r="BY80" s="154">
        <v>5.0</v>
      </c>
      <c r="BZ80" s="154">
        <v>5.0</v>
      </c>
      <c r="CA80" s="154">
        <f t="shared" si="410"/>
        <v>0</v>
      </c>
      <c r="CB80" s="154">
        <v>4.0</v>
      </c>
      <c r="CC80" s="154">
        <v>4.0</v>
      </c>
      <c r="CD80" s="154">
        <f t="shared" si="411"/>
        <v>0</v>
      </c>
      <c r="CE80" s="154">
        <v>0.0</v>
      </c>
      <c r="CF80" s="154">
        <v>16.0</v>
      </c>
      <c r="CG80" s="154">
        <f t="shared" si="412"/>
        <v>16</v>
      </c>
      <c r="CH80" s="154">
        <f t="shared" si="425"/>
        <v>34</v>
      </c>
      <c r="CI80" s="154">
        <v>7.0</v>
      </c>
      <c r="CJ80" s="154">
        <v>7.0</v>
      </c>
      <c r="CK80" s="154">
        <f t="shared" si="414"/>
        <v>0</v>
      </c>
      <c r="CL80" s="154">
        <v>0.0</v>
      </c>
      <c r="CM80" s="154">
        <v>0.0</v>
      </c>
      <c r="CN80" s="154">
        <f t="shared" si="415"/>
        <v>0</v>
      </c>
      <c r="CO80" s="154">
        <v>12.0</v>
      </c>
      <c r="CP80" s="154">
        <v>12.0</v>
      </c>
      <c r="CQ80" s="154">
        <f t="shared" si="416"/>
        <v>0</v>
      </c>
      <c r="CR80" s="154">
        <f t="shared" si="417"/>
        <v>26</v>
      </c>
      <c r="CS80" s="154">
        <v>0.0</v>
      </c>
      <c r="CT80" s="154">
        <f t="shared" si="418"/>
        <v>16</v>
      </c>
      <c r="CU80" s="154">
        <f t="shared" si="424"/>
        <v>16</v>
      </c>
      <c r="CV80" s="154"/>
      <c r="CW80" s="154"/>
      <c r="CX80" s="154">
        <f t="shared" si="419"/>
        <v>32</v>
      </c>
      <c r="CY80" s="154"/>
      <c r="CZ80" s="154"/>
      <c r="DA80" s="154"/>
      <c r="DB80" s="154">
        <f t="shared" si="420"/>
        <v>0</v>
      </c>
      <c r="DC80" s="154">
        <f t="shared" si="421"/>
        <v>92</v>
      </c>
      <c r="DD80" s="154">
        <f t="shared" si="422"/>
        <v>264</v>
      </c>
      <c r="DE80" s="6"/>
      <c r="DF80" s="6"/>
      <c r="DG80" s="6"/>
      <c r="DH80" s="6"/>
      <c r="DI80" s="6"/>
      <c r="DJ80" s="6"/>
      <c r="DK80" s="6"/>
      <c r="DL80" s="6"/>
    </row>
    <row r="81" ht="15.75" customHeight="1">
      <c r="A81" s="137" t="s">
        <v>151</v>
      </c>
      <c r="B81" s="141">
        <f t="shared" ref="B81:DD81" si="426">SUM(B82:B86)</f>
        <v>2833</v>
      </c>
      <c r="C81" s="141">
        <f t="shared" si="426"/>
        <v>0</v>
      </c>
      <c r="D81" s="141">
        <f t="shared" si="426"/>
        <v>0</v>
      </c>
      <c r="E81" s="141">
        <f t="shared" si="426"/>
        <v>0</v>
      </c>
      <c r="F81" s="141">
        <f t="shared" si="426"/>
        <v>93</v>
      </c>
      <c r="G81" s="141">
        <f t="shared" si="426"/>
        <v>21</v>
      </c>
      <c r="H81" s="141">
        <f t="shared" si="426"/>
        <v>114</v>
      </c>
      <c r="I81" s="141">
        <f t="shared" si="426"/>
        <v>135</v>
      </c>
      <c r="J81" s="141">
        <f t="shared" si="426"/>
        <v>337</v>
      </c>
      <c r="K81" s="141">
        <f t="shared" si="426"/>
        <v>375</v>
      </c>
      <c r="L81" s="141">
        <f t="shared" si="426"/>
        <v>847</v>
      </c>
      <c r="M81" s="141">
        <f t="shared" si="426"/>
        <v>275</v>
      </c>
      <c r="N81" s="141">
        <f t="shared" si="426"/>
        <v>143</v>
      </c>
      <c r="O81" s="141">
        <f t="shared" si="426"/>
        <v>0</v>
      </c>
      <c r="P81" s="141">
        <f t="shared" si="426"/>
        <v>418</v>
      </c>
      <c r="Q81" s="141">
        <f t="shared" si="426"/>
        <v>2366</v>
      </c>
      <c r="R81" s="141">
        <f t="shared" si="426"/>
        <v>5334</v>
      </c>
      <c r="S81" s="141">
        <f t="shared" si="426"/>
        <v>10340</v>
      </c>
      <c r="T81" s="141">
        <f t="shared" si="426"/>
        <v>18040</v>
      </c>
      <c r="U81" s="141">
        <f t="shared" si="426"/>
        <v>6040</v>
      </c>
      <c r="V81" s="141">
        <f t="shared" si="426"/>
        <v>4587</v>
      </c>
      <c r="W81" s="141">
        <f t="shared" si="426"/>
        <v>2399</v>
      </c>
      <c r="X81" s="141">
        <f t="shared" si="426"/>
        <v>13026</v>
      </c>
      <c r="Y81" s="141">
        <f t="shared" si="426"/>
        <v>32331</v>
      </c>
      <c r="Z81" s="141">
        <f t="shared" si="426"/>
        <v>3282</v>
      </c>
      <c r="AA81" s="141">
        <f t="shared" si="426"/>
        <v>4768</v>
      </c>
      <c r="AB81" s="141">
        <f t="shared" si="426"/>
        <v>7678</v>
      </c>
      <c r="AC81" s="142">
        <f t="shared" si="426"/>
        <v>15728</v>
      </c>
      <c r="AD81" s="141">
        <f t="shared" si="426"/>
        <v>2890</v>
      </c>
      <c r="AE81" s="141">
        <f t="shared" si="426"/>
        <v>1701</v>
      </c>
      <c r="AF81" s="141">
        <f t="shared" si="426"/>
        <v>1331</v>
      </c>
      <c r="AG81" s="142">
        <f t="shared" si="426"/>
        <v>5922</v>
      </c>
      <c r="AH81" s="141">
        <f t="shared" si="426"/>
        <v>2139</v>
      </c>
      <c r="AI81" s="141">
        <f t="shared" si="426"/>
        <v>4356</v>
      </c>
      <c r="AJ81" s="141">
        <f t="shared" si="426"/>
        <v>7015</v>
      </c>
      <c r="AK81" s="142">
        <f t="shared" si="426"/>
        <v>13510</v>
      </c>
      <c r="AL81" s="141">
        <f t="shared" si="426"/>
        <v>10032</v>
      </c>
      <c r="AM81" s="141">
        <f t="shared" si="426"/>
        <v>6594</v>
      </c>
      <c r="AN81" s="141">
        <f t="shared" si="426"/>
        <v>2099</v>
      </c>
      <c r="AO81" s="142">
        <f t="shared" si="426"/>
        <v>18725</v>
      </c>
      <c r="AP81" s="142">
        <f t="shared" si="426"/>
        <v>53885</v>
      </c>
      <c r="AQ81" s="142">
        <f t="shared" si="426"/>
        <v>791</v>
      </c>
      <c r="AR81" s="142">
        <f t="shared" si="426"/>
        <v>2668</v>
      </c>
      <c r="AS81" s="142">
        <f t="shared" si="426"/>
        <v>4398</v>
      </c>
      <c r="AT81" s="142">
        <f t="shared" si="426"/>
        <v>7857</v>
      </c>
      <c r="AU81" s="142">
        <f t="shared" si="426"/>
        <v>3011</v>
      </c>
      <c r="AV81" s="142">
        <f t="shared" si="426"/>
        <v>3093</v>
      </c>
      <c r="AW81" s="142">
        <f t="shared" si="426"/>
        <v>1134</v>
      </c>
      <c r="AX81" s="142">
        <f t="shared" si="426"/>
        <v>7238</v>
      </c>
      <c r="AY81" s="142">
        <f t="shared" si="426"/>
        <v>1145</v>
      </c>
      <c r="AZ81" s="142">
        <f t="shared" si="426"/>
        <v>1628</v>
      </c>
      <c r="BA81" s="142">
        <f t="shared" si="426"/>
        <v>1260</v>
      </c>
      <c r="BB81" s="142">
        <f t="shared" si="426"/>
        <v>4033</v>
      </c>
      <c r="BC81" s="142">
        <f t="shared" si="426"/>
        <v>771</v>
      </c>
      <c r="BD81" s="142">
        <f t="shared" si="426"/>
        <v>611</v>
      </c>
      <c r="BE81" s="142">
        <f t="shared" si="426"/>
        <v>1248</v>
      </c>
      <c r="BF81" s="142">
        <f t="shared" si="426"/>
        <v>2630</v>
      </c>
      <c r="BG81" s="142">
        <f t="shared" si="426"/>
        <v>21758</v>
      </c>
      <c r="BH81" s="142">
        <f t="shared" si="426"/>
        <v>1876</v>
      </c>
      <c r="BI81" s="142">
        <f t="shared" si="426"/>
        <v>2586</v>
      </c>
      <c r="BJ81" s="142">
        <f t="shared" si="426"/>
        <v>1521</v>
      </c>
      <c r="BK81" s="142">
        <f t="shared" si="426"/>
        <v>5983</v>
      </c>
      <c r="BL81" s="142">
        <f t="shared" si="426"/>
        <v>2020</v>
      </c>
      <c r="BM81" s="142">
        <f t="shared" si="426"/>
        <v>2463</v>
      </c>
      <c r="BN81" s="142">
        <f t="shared" si="426"/>
        <v>2352</v>
      </c>
      <c r="BO81" s="142">
        <f t="shared" si="426"/>
        <v>6835</v>
      </c>
      <c r="BP81" s="142">
        <f t="shared" si="426"/>
        <v>2937</v>
      </c>
      <c r="BQ81" s="142">
        <f t="shared" si="426"/>
        <v>2050</v>
      </c>
      <c r="BR81" s="142">
        <f t="shared" si="426"/>
        <v>2221</v>
      </c>
      <c r="BS81" s="142">
        <f t="shared" si="426"/>
        <v>7208</v>
      </c>
      <c r="BT81" s="142">
        <f t="shared" si="426"/>
        <v>1881</v>
      </c>
      <c r="BU81" s="142">
        <f t="shared" si="426"/>
        <v>1520</v>
      </c>
      <c r="BV81" s="142">
        <f t="shared" si="426"/>
        <v>3096</v>
      </c>
      <c r="BW81" s="142">
        <f t="shared" si="426"/>
        <v>6497</v>
      </c>
      <c r="BX81" s="142">
        <f t="shared" si="426"/>
        <v>26523</v>
      </c>
      <c r="BY81" s="141">
        <f t="shared" si="426"/>
        <v>3417</v>
      </c>
      <c r="BZ81" s="141">
        <f t="shared" si="426"/>
        <v>3555</v>
      </c>
      <c r="CA81" s="141">
        <f t="shared" si="426"/>
        <v>138</v>
      </c>
      <c r="CB81" s="141">
        <f t="shared" si="426"/>
        <v>1824</v>
      </c>
      <c r="CC81" s="141">
        <f t="shared" si="426"/>
        <v>1824</v>
      </c>
      <c r="CD81" s="141">
        <f t="shared" si="426"/>
        <v>0</v>
      </c>
      <c r="CE81" s="141">
        <f t="shared" si="426"/>
        <v>57</v>
      </c>
      <c r="CF81" s="141">
        <f t="shared" si="426"/>
        <v>2543</v>
      </c>
      <c r="CG81" s="141">
        <f t="shared" si="426"/>
        <v>2486</v>
      </c>
      <c r="CH81" s="141">
        <f t="shared" si="426"/>
        <v>12353</v>
      </c>
      <c r="CI81" s="141">
        <f t="shared" si="426"/>
        <v>2570</v>
      </c>
      <c r="CJ81" s="141">
        <f t="shared" si="426"/>
        <v>2575</v>
      </c>
      <c r="CK81" s="141">
        <f t="shared" si="426"/>
        <v>5</v>
      </c>
      <c r="CL81" s="141">
        <f t="shared" si="426"/>
        <v>2645</v>
      </c>
      <c r="CM81" s="141">
        <f t="shared" si="426"/>
        <v>2645</v>
      </c>
      <c r="CN81" s="141">
        <f t="shared" si="426"/>
        <v>0</v>
      </c>
      <c r="CO81" s="141">
        <f t="shared" si="426"/>
        <v>3458</v>
      </c>
      <c r="CP81" s="141">
        <f t="shared" si="426"/>
        <v>3487</v>
      </c>
      <c r="CQ81" s="141">
        <f t="shared" si="426"/>
        <v>29</v>
      </c>
      <c r="CR81" s="141">
        <f t="shared" si="426"/>
        <v>13898</v>
      </c>
      <c r="CS81" s="141">
        <f t="shared" si="426"/>
        <v>3473</v>
      </c>
      <c r="CT81" s="141">
        <f t="shared" si="426"/>
        <v>2658</v>
      </c>
      <c r="CU81" s="141">
        <f t="shared" si="426"/>
        <v>6131</v>
      </c>
      <c r="CV81" s="141">
        <f t="shared" si="426"/>
        <v>0</v>
      </c>
      <c r="CW81" s="141">
        <f t="shared" si="426"/>
        <v>0</v>
      </c>
      <c r="CX81" s="141">
        <f t="shared" si="426"/>
        <v>12262</v>
      </c>
      <c r="CY81" s="141">
        <f t="shared" si="426"/>
        <v>0</v>
      </c>
      <c r="CZ81" s="141">
        <f t="shared" si="426"/>
        <v>0</v>
      </c>
      <c r="DA81" s="141">
        <f t="shared" si="426"/>
        <v>0</v>
      </c>
      <c r="DB81" s="141">
        <f t="shared" si="426"/>
        <v>0</v>
      </c>
      <c r="DC81" s="141">
        <f t="shared" si="426"/>
        <v>38513</v>
      </c>
      <c r="DD81" s="141">
        <f t="shared" si="426"/>
        <v>175957</v>
      </c>
      <c r="DE81" s="6"/>
      <c r="DF81" s="24">
        <f>SUM(AK81,AO81,BG81,BX81,DC81)</f>
        <v>119029</v>
      </c>
      <c r="DG81" s="6"/>
      <c r="DH81" s="6"/>
      <c r="DI81" s="6"/>
      <c r="DJ81" s="6"/>
      <c r="DK81" s="6"/>
      <c r="DL81" s="6"/>
    </row>
    <row r="82" ht="15.75" customHeight="1">
      <c r="A82" s="167" t="s">
        <v>152</v>
      </c>
      <c r="B82" s="179">
        <v>2131.0</v>
      </c>
      <c r="C82" s="154">
        <v>0.0</v>
      </c>
      <c r="D82" s="154">
        <v>0.0</v>
      </c>
      <c r="E82" s="154">
        <v>0.0</v>
      </c>
      <c r="F82" s="154">
        <v>41.0</v>
      </c>
      <c r="G82" s="154">
        <v>8.0</v>
      </c>
      <c r="H82" s="154">
        <f t="shared" ref="H82:H86" si="427">SUM(C82:G82)</f>
        <v>49</v>
      </c>
      <c r="I82" s="154">
        <v>42.0</v>
      </c>
      <c r="J82" s="154">
        <v>89.0</v>
      </c>
      <c r="K82" s="154">
        <v>126.0</v>
      </c>
      <c r="L82" s="156">
        <f t="shared" ref="L82:L86" si="428">SUM(I82:K82)</f>
        <v>257</v>
      </c>
      <c r="M82" s="154">
        <v>80.0</v>
      </c>
      <c r="N82" s="154">
        <v>10.0</v>
      </c>
      <c r="O82" s="154">
        <v>0.0</v>
      </c>
      <c r="P82" s="156">
        <f t="shared" ref="P82:P86" si="429">SUM(M82:O82)</f>
        <v>90</v>
      </c>
      <c r="Q82" s="154">
        <v>1014.0</v>
      </c>
      <c r="R82" s="154">
        <v>2675.0</v>
      </c>
      <c r="S82" s="154">
        <v>8120.0</v>
      </c>
      <c r="T82" s="156">
        <f t="shared" ref="T82:T86" si="430">SUM(Q82:S82)</f>
        <v>11809</v>
      </c>
      <c r="U82" s="154">
        <v>4605.0</v>
      </c>
      <c r="V82" s="154">
        <v>3383.0</v>
      </c>
      <c r="W82" s="154">
        <v>1842.0</v>
      </c>
      <c r="X82" s="156">
        <f t="shared" ref="X82:X86" si="431">SUM(U82:W82)</f>
        <v>9830</v>
      </c>
      <c r="Y82" s="156">
        <f t="shared" ref="Y82:Y86" si="432">SUM(X82,T82,P82,L82)</f>
        <v>21986</v>
      </c>
      <c r="Z82" s="154">
        <v>1782.0</v>
      </c>
      <c r="AA82" s="154">
        <v>2720.0</v>
      </c>
      <c r="AB82" s="154">
        <v>4340.0</v>
      </c>
      <c r="AC82" s="156">
        <f t="shared" ref="AC82:AC86" si="433">SUM(Z82:AB82)</f>
        <v>8842</v>
      </c>
      <c r="AD82" s="154">
        <v>1042.0</v>
      </c>
      <c r="AE82" s="154">
        <v>1119.0</v>
      </c>
      <c r="AF82" s="154">
        <v>961.0</v>
      </c>
      <c r="AG82" s="156">
        <f t="shared" ref="AG82:AG86" si="434">SUM(AD82:AF82)</f>
        <v>3122</v>
      </c>
      <c r="AH82" s="154">
        <v>1308.0</v>
      </c>
      <c r="AI82" s="154">
        <v>2630.0</v>
      </c>
      <c r="AJ82" s="154">
        <v>4007.0</v>
      </c>
      <c r="AK82" s="156">
        <f t="shared" ref="AK82:AK86" si="435">SUM(AH82:AJ82)</f>
        <v>7945</v>
      </c>
      <c r="AL82" s="154">
        <v>3302.0</v>
      </c>
      <c r="AM82" s="154">
        <v>3257.0</v>
      </c>
      <c r="AN82" s="154">
        <v>1020.0</v>
      </c>
      <c r="AO82" s="156">
        <f t="shared" ref="AO82:AO86" si="436">SUM(AL82:AN82)</f>
        <v>7579</v>
      </c>
      <c r="AP82" s="156">
        <f t="shared" ref="AP82:AP86" si="437">SUM(AO82,AK82,AG82,AC82)</f>
        <v>27488</v>
      </c>
      <c r="AQ82" s="154">
        <v>394.0</v>
      </c>
      <c r="AR82" s="154">
        <v>706.0</v>
      </c>
      <c r="AS82" s="154">
        <v>1963.0</v>
      </c>
      <c r="AT82" s="154">
        <f t="shared" ref="AT82:AT86" si="438">SUM(AQ82:AS82)</f>
        <v>3063</v>
      </c>
      <c r="AU82" s="154">
        <v>2071.0</v>
      </c>
      <c r="AV82" s="154">
        <v>1504.0</v>
      </c>
      <c r="AW82" s="154">
        <v>654.0</v>
      </c>
      <c r="AX82" s="154">
        <f t="shared" ref="AX82:AX86" si="439">SUM(AU82:AW82)</f>
        <v>4229</v>
      </c>
      <c r="AY82" s="154">
        <v>378.0</v>
      </c>
      <c r="AZ82" s="154">
        <v>740.0</v>
      </c>
      <c r="BA82" s="154">
        <v>234.0</v>
      </c>
      <c r="BB82" s="154">
        <f t="shared" ref="BB82:BB86" si="440">SUM(AY82:BA82)</f>
        <v>1352</v>
      </c>
      <c r="BC82" s="154">
        <v>321.0</v>
      </c>
      <c r="BD82" s="154">
        <v>168.0</v>
      </c>
      <c r="BE82" s="154">
        <v>278.0</v>
      </c>
      <c r="BF82" s="154">
        <f t="shared" ref="BF82:BF86" si="441">SUM(BC82:BE82)</f>
        <v>767</v>
      </c>
      <c r="BG82" s="154">
        <f t="shared" ref="BG82:BG86" si="442">SUM(AT82,AX82,BB82,BF82)</f>
        <v>9411</v>
      </c>
      <c r="BH82" s="154">
        <v>579.0</v>
      </c>
      <c r="BI82" s="154">
        <v>1300.0</v>
      </c>
      <c r="BJ82" s="154">
        <v>264.0</v>
      </c>
      <c r="BK82" s="154">
        <f t="shared" ref="BK82:BK86" si="443">SUM(BH82:BJ82)</f>
        <v>2143</v>
      </c>
      <c r="BL82" s="154">
        <v>880.0</v>
      </c>
      <c r="BM82" s="154">
        <v>1005.0</v>
      </c>
      <c r="BN82" s="154">
        <v>503.0</v>
      </c>
      <c r="BO82" s="154">
        <f t="shared" ref="BO82:BO86" si="444">SUM(BL82:BN82)</f>
        <v>2388</v>
      </c>
      <c r="BP82" s="154">
        <v>849.0</v>
      </c>
      <c r="BQ82" s="154">
        <v>836.0</v>
      </c>
      <c r="BR82" s="154">
        <v>1334.0</v>
      </c>
      <c r="BS82" s="154">
        <f t="shared" ref="BS82:BS86" si="445">SUM(BP82:BR82)</f>
        <v>3019</v>
      </c>
      <c r="BT82" s="154">
        <v>773.0</v>
      </c>
      <c r="BU82" s="154">
        <v>754.0</v>
      </c>
      <c r="BV82" s="154">
        <v>1707.0</v>
      </c>
      <c r="BW82" s="154">
        <f t="shared" ref="BW82:BW86" si="446">SUM(BT82:BV82)</f>
        <v>3234</v>
      </c>
      <c r="BX82" s="154">
        <f t="shared" ref="BX82:BX86" si="447">SUM(BK82,BO82,BS82,BW82)</f>
        <v>10784</v>
      </c>
      <c r="BY82" s="154">
        <v>1381.0</v>
      </c>
      <c r="BZ82" s="154">
        <v>1381.0</v>
      </c>
      <c r="CA82" s="154">
        <f t="shared" ref="CA82:CA86" si="448">BZ82-BY82</f>
        <v>0</v>
      </c>
      <c r="CB82" s="154">
        <v>475.0</v>
      </c>
      <c r="CC82" s="154">
        <v>475.0</v>
      </c>
      <c r="CD82" s="154">
        <f t="shared" ref="CD82:CD86" si="449">CC82-CB82</f>
        <v>0</v>
      </c>
      <c r="CE82" s="154">
        <v>15.0</v>
      </c>
      <c r="CF82" s="154">
        <v>635.0</v>
      </c>
      <c r="CG82" s="154">
        <f t="shared" ref="CG82:CG86" si="450">CF82-CE82</f>
        <v>620</v>
      </c>
      <c r="CH82" s="154">
        <f t="shared" ref="CH82:CH83" si="451">SUM(BY82:CF82)</f>
        <v>4362</v>
      </c>
      <c r="CI82" s="154">
        <v>545.0</v>
      </c>
      <c r="CJ82" s="154">
        <v>547.0</v>
      </c>
      <c r="CK82" s="154">
        <f t="shared" ref="CK82:CK86" si="452">CJ82-CI82</f>
        <v>2</v>
      </c>
      <c r="CL82" s="154">
        <v>900.0</v>
      </c>
      <c r="CM82" s="154">
        <v>900.0</v>
      </c>
      <c r="CN82" s="154">
        <f t="shared" ref="CN82:CN86" si="453">CM82-CL82</f>
        <v>0</v>
      </c>
      <c r="CO82" s="154">
        <v>1906.0</v>
      </c>
      <c r="CP82" s="154">
        <v>1924.0</v>
      </c>
      <c r="CQ82" s="154">
        <f t="shared" ref="CQ82:CQ86" si="454">CP82-CO82</f>
        <v>18</v>
      </c>
      <c r="CR82" s="154">
        <f t="shared" ref="CR82:CR86" si="455">SUM(CI82:CO82)</f>
        <v>4800</v>
      </c>
      <c r="CS82" s="154">
        <v>1825.0</v>
      </c>
      <c r="CT82" s="154">
        <f t="shared" ref="CT82:CT86" si="456">SUM(CA82,CD82,CG82,CK82,CN82,CQ82)</f>
        <v>640</v>
      </c>
      <c r="CU82" s="154">
        <f t="shared" ref="CU82:CU86" si="457">CS82+CT82</f>
        <v>2465</v>
      </c>
      <c r="CV82" s="154"/>
      <c r="CW82" s="154"/>
      <c r="CX82" s="154">
        <f t="shared" ref="CX82:CX86" si="458">SUM(CS82:CW82)</f>
        <v>4930</v>
      </c>
      <c r="CY82" s="154"/>
      <c r="CZ82" s="154"/>
      <c r="DA82" s="154"/>
      <c r="DB82" s="154">
        <f t="shared" ref="DB82:DB86" si="459">SUM(CY82:DA82)</f>
        <v>0</v>
      </c>
      <c r="DC82" s="154">
        <f t="shared" ref="DC82:DC86" si="460">SUM(CH82,CR82,CX82,DB82)</f>
        <v>14092</v>
      </c>
      <c r="DD82" s="154">
        <f t="shared" ref="DD82:DD86" si="461">SUM(B82,H82,Y82,AP82,BG82,BX82,DC82)</f>
        <v>85941</v>
      </c>
      <c r="DE82" s="6"/>
      <c r="DF82" s="6"/>
      <c r="DG82" s="6"/>
      <c r="DH82" s="6"/>
      <c r="DI82" s="6"/>
      <c r="DJ82" s="6"/>
      <c r="DK82" s="6"/>
      <c r="DL82" s="6"/>
    </row>
    <row r="83" ht="15.75" customHeight="1">
      <c r="A83" s="167" t="s">
        <v>153</v>
      </c>
      <c r="B83" s="154">
        <v>97.0</v>
      </c>
      <c r="C83" s="154">
        <v>0.0</v>
      </c>
      <c r="D83" s="154">
        <v>0.0</v>
      </c>
      <c r="E83" s="154">
        <v>0.0</v>
      </c>
      <c r="F83" s="154">
        <v>0.0</v>
      </c>
      <c r="G83" s="154">
        <v>0.0</v>
      </c>
      <c r="H83" s="154">
        <f t="shared" si="427"/>
        <v>0</v>
      </c>
      <c r="I83" s="154">
        <v>1.0</v>
      </c>
      <c r="J83" s="154">
        <v>0.0</v>
      </c>
      <c r="K83" s="154">
        <v>7.0</v>
      </c>
      <c r="L83" s="156">
        <f t="shared" si="428"/>
        <v>8</v>
      </c>
      <c r="M83" s="154">
        <v>32.0</v>
      </c>
      <c r="N83" s="154">
        <v>0.0</v>
      </c>
      <c r="O83" s="154">
        <v>0.0</v>
      </c>
      <c r="P83" s="156">
        <f t="shared" si="429"/>
        <v>32</v>
      </c>
      <c r="Q83" s="154">
        <v>163.0</v>
      </c>
      <c r="R83" s="154">
        <v>326.0</v>
      </c>
      <c r="S83" s="154">
        <v>20.0</v>
      </c>
      <c r="T83" s="156">
        <f t="shared" si="430"/>
        <v>509</v>
      </c>
      <c r="U83" s="154">
        <v>28.0</v>
      </c>
      <c r="V83" s="154">
        <v>26.0</v>
      </c>
      <c r="W83" s="154">
        <v>1.0</v>
      </c>
      <c r="X83" s="156">
        <f t="shared" si="431"/>
        <v>55</v>
      </c>
      <c r="Y83" s="156">
        <f t="shared" si="432"/>
        <v>604</v>
      </c>
      <c r="Z83" s="154">
        <v>33.0</v>
      </c>
      <c r="AA83" s="154">
        <v>25.0</v>
      </c>
      <c r="AB83" s="154">
        <v>8.0</v>
      </c>
      <c r="AC83" s="156">
        <f t="shared" si="433"/>
        <v>66</v>
      </c>
      <c r="AD83" s="154">
        <v>1.0</v>
      </c>
      <c r="AE83" s="154">
        <v>17.0</v>
      </c>
      <c r="AF83" s="154">
        <v>5.0</v>
      </c>
      <c r="AG83" s="156">
        <f t="shared" si="434"/>
        <v>23</v>
      </c>
      <c r="AH83" s="154">
        <v>8.0</v>
      </c>
      <c r="AI83" s="154">
        <v>42.0</v>
      </c>
      <c r="AJ83" s="154">
        <v>24.0</v>
      </c>
      <c r="AK83" s="156">
        <f t="shared" si="435"/>
        <v>74</v>
      </c>
      <c r="AL83" s="154">
        <v>12.0</v>
      </c>
      <c r="AM83" s="154">
        <v>6.0</v>
      </c>
      <c r="AN83" s="154">
        <v>16.0</v>
      </c>
      <c r="AO83" s="156">
        <f t="shared" si="436"/>
        <v>34</v>
      </c>
      <c r="AP83" s="156">
        <f t="shared" si="437"/>
        <v>197</v>
      </c>
      <c r="AQ83" s="154">
        <v>0.0</v>
      </c>
      <c r="AR83" s="154">
        <v>106.0</v>
      </c>
      <c r="AS83" s="154">
        <v>8.0</v>
      </c>
      <c r="AT83" s="154">
        <f t="shared" si="438"/>
        <v>114</v>
      </c>
      <c r="AU83" s="154">
        <v>21.0</v>
      </c>
      <c r="AV83" s="154">
        <v>97.0</v>
      </c>
      <c r="AW83" s="154">
        <v>3.0</v>
      </c>
      <c r="AX83" s="154">
        <f t="shared" si="439"/>
        <v>121</v>
      </c>
      <c r="AY83" s="154">
        <v>6.0</v>
      </c>
      <c r="AZ83" s="154">
        <v>17.0</v>
      </c>
      <c r="BA83" s="154">
        <v>0.0</v>
      </c>
      <c r="BB83" s="154">
        <f t="shared" si="440"/>
        <v>23</v>
      </c>
      <c r="BC83" s="154">
        <v>6.0</v>
      </c>
      <c r="BD83" s="154">
        <v>20.0</v>
      </c>
      <c r="BE83" s="154">
        <v>24.0</v>
      </c>
      <c r="BF83" s="154">
        <f t="shared" si="441"/>
        <v>50</v>
      </c>
      <c r="BG83" s="154">
        <f t="shared" si="442"/>
        <v>308</v>
      </c>
      <c r="BH83" s="154">
        <v>52.0</v>
      </c>
      <c r="BI83" s="154">
        <v>61.0</v>
      </c>
      <c r="BJ83" s="154">
        <v>55.0</v>
      </c>
      <c r="BK83" s="154">
        <f t="shared" si="443"/>
        <v>168</v>
      </c>
      <c r="BL83" s="154">
        <v>44.0</v>
      </c>
      <c r="BM83" s="154">
        <v>32.0</v>
      </c>
      <c r="BN83" s="154">
        <v>157.0</v>
      </c>
      <c r="BO83" s="154">
        <f t="shared" si="444"/>
        <v>233</v>
      </c>
      <c r="BP83" s="154">
        <v>146.0</v>
      </c>
      <c r="BQ83" s="154">
        <v>18.0</v>
      </c>
      <c r="BR83" s="154">
        <v>22.0</v>
      </c>
      <c r="BS83" s="154">
        <f t="shared" si="445"/>
        <v>186</v>
      </c>
      <c r="BT83" s="154">
        <v>137.0</v>
      </c>
      <c r="BU83" s="154">
        <v>32.0</v>
      </c>
      <c r="BV83" s="154">
        <v>38.0</v>
      </c>
      <c r="BW83" s="154">
        <f t="shared" si="446"/>
        <v>207</v>
      </c>
      <c r="BX83" s="154">
        <f t="shared" si="447"/>
        <v>794</v>
      </c>
      <c r="BY83" s="154">
        <v>83.0</v>
      </c>
      <c r="BZ83" s="154">
        <v>83.0</v>
      </c>
      <c r="CA83" s="154">
        <f t="shared" si="448"/>
        <v>0</v>
      </c>
      <c r="CB83" s="154">
        <v>28.0</v>
      </c>
      <c r="CC83" s="154">
        <v>28.0</v>
      </c>
      <c r="CD83" s="154">
        <f t="shared" si="449"/>
        <v>0</v>
      </c>
      <c r="CE83" s="154">
        <v>0.0</v>
      </c>
      <c r="CF83" s="154">
        <v>42.0</v>
      </c>
      <c r="CG83" s="154">
        <f t="shared" si="450"/>
        <v>42</v>
      </c>
      <c r="CH83" s="154">
        <f t="shared" si="451"/>
        <v>264</v>
      </c>
      <c r="CI83" s="154">
        <v>46.0</v>
      </c>
      <c r="CJ83" s="154">
        <v>46.0</v>
      </c>
      <c r="CK83" s="154">
        <f t="shared" si="452"/>
        <v>0</v>
      </c>
      <c r="CL83" s="154">
        <v>5.0</v>
      </c>
      <c r="CM83" s="154">
        <v>5.0</v>
      </c>
      <c r="CN83" s="154">
        <f t="shared" si="453"/>
        <v>0</v>
      </c>
      <c r="CO83" s="154">
        <v>1.0</v>
      </c>
      <c r="CP83" s="154">
        <v>1.0</v>
      </c>
      <c r="CQ83" s="154">
        <f t="shared" si="454"/>
        <v>0</v>
      </c>
      <c r="CR83" s="154">
        <f t="shared" si="455"/>
        <v>103</v>
      </c>
      <c r="CS83" s="154">
        <v>25.0</v>
      </c>
      <c r="CT83" s="154">
        <f t="shared" si="456"/>
        <v>42</v>
      </c>
      <c r="CU83" s="154">
        <f t="shared" si="457"/>
        <v>67</v>
      </c>
      <c r="CV83" s="154"/>
      <c r="CW83" s="154"/>
      <c r="CX83" s="154">
        <f t="shared" si="458"/>
        <v>134</v>
      </c>
      <c r="CY83" s="154"/>
      <c r="CZ83" s="154"/>
      <c r="DA83" s="154"/>
      <c r="DB83" s="154">
        <f t="shared" si="459"/>
        <v>0</v>
      </c>
      <c r="DC83" s="154">
        <f t="shared" si="460"/>
        <v>501</v>
      </c>
      <c r="DD83" s="154">
        <f t="shared" si="461"/>
        <v>2501</v>
      </c>
      <c r="DE83" s="6"/>
      <c r="DF83" s="6"/>
      <c r="DG83" s="6"/>
      <c r="DH83" s="6"/>
      <c r="DI83" s="6"/>
      <c r="DJ83" s="6"/>
      <c r="DK83" s="6"/>
      <c r="DL83" s="6"/>
    </row>
    <row r="84" ht="15.75" customHeight="1">
      <c r="A84" s="169" t="s">
        <v>154</v>
      </c>
      <c r="B84" s="154">
        <v>68.0</v>
      </c>
      <c r="C84" s="154">
        <v>0.0</v>
      </c>
      <c r="D84" s="154">
        <v>0.0</v>
      </c>
      <c r="E84" s="154">
        <v>0.0</v>
      </c>
      <c r="F84" s="154">
        <v>0.0</v>
      </c>
      <c r="G84" s="154">
        <v>8.0</v>
      </c>
      <c r="H84" s="154">
        <f t="shared" si="427"/>
        <v>8</v>
      </c>
      <c r="I84" s="154">
        <v>34.0</v>
      </c>
      <c r="J84" s="154">
        <v>128.0</v>
      </c>
      <c r="K84" s="154">
        <v>127.0</v>
      </c>
      <c r="L84" s="156">
        <f t="shared" si="428"/>
        <v>289</v>
      </c>
      <c r="M84" s="154">
        <v>97.0</v>
      </c>
      <c r="N84" s="154">
        <v>76.0</v>
      </c>
      <c r="O84" s="154">
        <v>0.0</v>
      </c>
      <c r="P84" s="156">
        <f t="shared" si="429"/>
        <v>173</v>
      </c>
      <c r="Q84" s="154">
        <v>1100.0</v>
      </c>
      <c r="R84" s="154">
        <v>1978.0</v>
      </c>
      <c r="S84" s="154">
        <v>1601.0</v>
      </c>
      <c r="T84" s="156">
        <f t="shared" si="430"/>
        <v>4679</v>
      </c>
      <c r="U84" s="154">
        <v>680.0</v>
      </c>
      <c r="V84" s="154">
        <v>675.0</v>
      </c>
      <c r="W84" s="154">
        <v>350.0</v>
      </c>
      <c r="X84" s="156">
        <f t="shared" si="431"/>
        <v>1705</v>
      </c>
      <c r="Y84" s="156">
        <f t="shared" si="432"/>
        <v>6846</v>
      </c>
      <c r="Z84" s="154">
        <v>546.0</v>
      </c>
      <c r="AA84" s="154">
        <v>422.0</v>
      </c>
      <c r="AB84" s="154">
        <v>1745.0</v>
      </c>
      <c r="AC84" s="156">
        <f t="shared" si="433"/>
        <v>2713</v>
      </c>
      <c r="AD84" s="154">
        <v>894.0</v>
      </c>
      <c r="AE84" s="154">
        <v>192.0</v>
      </c>
      <c r="AF84" s="154">
        <v>101.0</v>
      </c>
      <c r="AG84" s="156">
        <f t="shared" si="434"/>
        <v>1187</v>
      </c>
      <c r="AH84" s="154">
        <v>593.0</v>
      </c>
      <c r="AI84" s="154">
        <v>685.0</v>
      </c>
      <c r="AJ84" s="154">
        <v>1492.0</v>
      </c>
      <c r="AK84" s="156">
        <f t="shared" si="435"/>
        <v>2770</v>
      </c>
      <c r="AL84" s="154">
        <v>2608.0</v>
      </c>
      <c r="AM84" s="154">
        <v>1135.0</v>
      </c>
      <c r="AN84" s="154">
        <v>413.0</v>
      </c>
      <c r="AO84" s="156">
        <f t="shared" si="436"/>
        <v>4156</v>
      </c>
      <c r="AP84" s="156">
        <f t="shared" si="437"/>
        <v>10826</v>
      </c>
      <c r="AQ84" s="154">
        <v>189.0</v>
      </c>
      <c r="AR84" s="154">
        <v>785.0</v>
      </c>
      <c r="AS84" s="154">
        <v>881.0</v>
      </c>
      <c r="AT84" s="154">
        <f t="shared" si="438"/>
        <v>1855</v>
      </c>
      <c r="AU84" s="154">
        <v>319.0</v>
      </c>
      <c r="AV84" s="154">
        <v>383.0</v>
      </c>
      <c r="AW84" s="154">
        <v>255.0</v>
      </c>
      <c r="AX84" s="154">
        <f t="shared" si="439"/>
        <v>957</v>
      </c>
      <c r="AY84" s="154">
        <v>367.0</v>
      </c>
      <c r="AZ84" s="154">
        <v>213.0</v>
      </c>
      <c r="BA84" s="154">
        <v>356.0</v>
      </c>
      <c r="BB84" s="154">
        <f t="shared" si="440"/>
        <v>936</v>
      </c>
      <c r="BC84" s="154">
        <v>109.0</v>
      </c>
      <c r="BD84" s="154">
        <v>177.0</v>
      </c>
      <c r="BE84" s="154">
        <v>205.0</v>
      </c>
      <c r="BF84" s="154">
        <f t="shared" si="441"/>
        <v>491</v>
      </c>
      <c r="BG84" s="154">
        <f t="shared" si="442"/>
        <v>4239</v>
      </c>
      <c r="BH84" s="154">
        <v>374.0</v>
      </c>
      <c r="BI84" s="154">
        <v>552.0</v>
      </c>
      <c r="BJ84" s="154">
        <v>553.0</v>
      </c>
      <c r="BK84" s="154">
        <f t="shared" si="443"/>
        <v>1479</v>
      </c>
      <c r="BL84" s="154">
        <v>695.0</v>
      </c>
      <c r="BM84" s="154">
        <v>775.0</v>
      </c>
      <c r="BN84" s="154">
        <v>911.0</v>
      </c>
      <c r="BO84" s="154">
        <f t="shared" si="444"/>
        <v>2381</v>
      </c>
      <c r="BP84" s="154">
        <v>1400.0</v>
      </c>
      <c r="BQ84" s="154">
        <v>498.0</v>
      </c>
      <c r="BR84" s="154">
        <v>328.0</v>
      </c>
      <c r="BS84" s="154">
        <f t="shared" si="445"/>
        <v>2226</v>
      </c>
      <c r="BT84" s="154">
        <v>435.0</v>
      </c>
      <c r="BU84" s="154">
        <v>311.0</v>
      </c>
      <c r="BV84" s="154">
        <v>491.0</v>
      </c>
      <c r="BW84" s="154">
        <f t="shared" si="446"/>
        <v>1237</v>
      </c>
      <c r="BX84" s="154">
        <f t="shared" si="447"/>
        <v>7323</v>
      </c>
      <c r="BY84" s="154">
        <v>942.0</v>
      </c>
      <c r="BZ84" s="154">
        <f>900+42</f>
        <v>942</v>
      </c>
      <c r="CA84" s="154">
        <f t="shared" si="448"/>
        <v>0</v>
      </c>
      <c r="CB84" s="154">
        <v>355.0</v>
      </c>
      <c r="CC84" s="154">
        <v>355.0</v>
      </c>
      <c r="CD84" s="154">
        <f t="shared" si="449"/>
        <v>0</v>
      </c>
      <c r="CE84" s="154">
        <v>8.0</v>
      </c>
      <c r="CF84" s="154">
        <f>500+25</f>
        <v>525</v>
      </c>
      <c r="CG84" s="154">
        <f t="shared" si="450"/>
        <v>517</v>
      </c>
      <c r="CH84" s="154">
        <f>SUM(BY84:CE84)</f>
        <v>2602</v>
      </c>
      <c r="CI84" s="154">
        <v>1089.0</v>
      </c>
      <c r="CJ84" s="154">
        <f>1081+10</f>
        <v>1091</v>
      </c>
      <c r="CK84" s="154">
        <f t="shared" si="452"/>
        <v>2</v>
      </c>
      <c r="CL84" s="154">
        <f t="shared" ref="CL84:CM84" si="462">861+31</f>
        <v>892</v>
      </c>
      <c r="CM84" s="154">
        <f t="shared" si="462"/>
        <v>892</v>
      </c>
      <c r="CN84" s="154">
        <f t="shared" si="453"/>
        <v>0</v>
      </c>
      <c r="CO84" s="154">
        <f t="shared" ref="CO84:CP84" si="463">570+24</f>
        <v>594</v>
      </c>
      <c r="CP84" s="154">
        <f t="shared" si="463"/>
        <v>594</v>
      </c>
      <c r="CQ84" s="154">
        <f t="shared" si="454"/>
        <v>0</v>
      </c>
      <c r="CR84" s="154">
        <f t="shared" si="455"/>
        <v>4560</v>
      </c>
      <c r="CS84" s="154">
        <f>529+45</f>
        <v>574</v>
      </c>
      <c r="CT84" s="154">
        <f t="shared" si="456"/>
        <v>519</v>
      </c>
      <c r="CU84" s="154">
        <f t="shared" si="457"/>
        <v>1093</v>
      </c>
      <c r="CV84" s="154"/>
      <c r="CW84" s="154"/>
      <c r="CX84" s="154">
        <f t="shared" si="458"/>
        <v>2186</v>
      </c>
      <c r="CY84" s="154"/>
      <c r="CZ84" s="154"/>
      <c r="DA84" s="154"/>
      <c r="DB84" s="154">
        <f t="shared" si="459"/>
        <v>0</v>
      </c>
      <c r="DC84" s="154">
        <f t="shared" si="460"/>
        <v>9348</v>
      </c>
      <c r="DD84" s="154">
        <f t="shared" si="461"/>
        <v>38658</v>
      </c>
      <c r="DE84" s="6"/>
      <c r="DF84" s="6"/>
      <c r="DG84" s="6"/>
      <c r="DH84" s="6"/>
      <c r="DI84" s="6"/>
      <c r="DJ84" s="6"/>
      <c r="DK84" s="6"/>
      <c r="DL84" s="6"/>
    </row>
    <row r="85" ht="15.75" customHeight="1">
      <c r="A85" s="167" t="s">
        <v>155</v>
      </c>
      <c r="B85" s="154">
        <v>95.0</v>
      </c>
      <c r="C85" s="154">
        <v>0.0</v>
      </c>
      <c r="D85" s="154">
        <v>0.0</v>
      </c>
      <c r="E85" s="154">
        <v>0.0</v>
      </c>
      <c r="F85" s="154">
        <v>5.0</v>
      </c>
      <c r="G85" s="154">
        <v>0.0</v>
      </c>
      <c r="H85" s="154">
        <f t="shared" si="427"/>
        <v>5</v>
      </c>
      <c r="I85" s="154">
        <v>11.0</v>
      </c>
      <c r="J85" s="154">
        <v>25.0</v>
      </c>
      <c r="K85" s="154">
        <v>6.0</v>
      </c>
      <c r="L85" s="156">
        <f t="shared" si="428"/>
        <v>42</v>
      </c>
      <c r="M85" s="154">
        <v>9.0</v>
      </c>
      <c r="N85" s="154">
        <v>0.0</v>
      </c>
      <c r="O85" s="154">
        <v>0.0</v>
      </c>
      <c r="P85" s="156">
        <f t="shared" si="429"/>
        <v>9</v>
      </c>
      <c r="Q85" s="154">
        <v>0.0</v>
      </c>
      <c r="R85" s="154">
        <v>104.0</v>
      </c>
      <c r="S85" s="154">
        <v>279.0</v>
      </c>
      <c r="T85" s="156">
        <f t="shared" si="430"/>
        <v>383</v>
      </c>
      <c r="U85" s="154">
        <v>85.0</v>
      </c>
      <c r="V85" s="154">
        <v>276.0</v>
      </c>
      <c r="W85" s="154">
        <v>71.0</v>
      </c>
      <c r="X85" s="156">
        <f t="shared" si="431"/>
        <v>432</v>
      </c>
      <c r="Y85" s="156">
        <f t="shared" si="432"/>
        <v>866</v>
      </c>
      <c r="Z85" s="154">
        <v>261.0</v>
      </c>
      <c r="AA85" s="154">
        <v>1157.0</v>
      </c>
      <c r="AB85" s="154">
        <v>949.0</v>
      </c>
      <c r="AC85" s="156">
        <f t="shared" si="433"/>
        <v>2367</v>
      </c>
      <c r="AD85" s="154">
        <v>416.0</v>
      </c>
      <c r="AE85" s="154">
        <v>130.0</v>
      </c>
      <c r="AF85" s="154">
        <v>95.0</v>
      </c>
      <c r="AG85" s="156">
        <f t="shared" si="434"/>
        <v>641</v>
      </c>
      <c r="AH85" s="154">
        <v>36.0</v>
      </c>
      <c r="AI85" s="154">
        <v>314.0</v>
      </c>
      <c r="AJ85" s="154">
        <v>750.0</v>
      </c>
      <c r="AK85" s="156">
        <f t="shared" si="435"/>
        <v>1100</v>
      </c>
      <c r="AL85" s="154">
        <v>1287.0</v>
      </c>
      <c r="AM85" s="154">
        <v>1488.0</v>
      </c>
      <c r="AN85" s="154">
        <v>252.0</v>
      </c>
      <c r="AO85" s="156">
        <f t="shared" si="436"/>
        <v>3027</v>
      </c>
      <c r="AP85" s="156">
        <f t="shared" si="437"/>
        <v>7135</v>
      </c>
      <c r="AQ85" s="154">
        <v>69.0</v>
      </c>
      <c r="AR85" s="154">
        <v>276.0</v>
      </c>
      <c r="AS85" s="154">
        <v>745.0</v>
      </c>
      <c r="AT85" s="154">
        <f t="shared" si="438"/>
        <v>1090</v>
      </c>
      <c r="AU85" s="154">
        <v>331.0</v>
      </c>
      <c r="AV85" s="154">
        <v>770.0</v>
      </c>
      <c r="AW85" s="154">
        <v>145.0</v>
      </c>
      <c r="AX85" s="154">
        <f t="shared" si="439"/>
        <v>1246</v>
      </c>
      <c r="AY85" s="154">
        <v>126.0</v>
      </c>
      <c r="AZ85" s="154">
        <v>479.0</v>
      </c>
      <c r="BA85" s="154">
        <v>420.0</v>
      </c>
      <c r="BB85" s="154">
        <f t="shared" si="440"/>
        <v>1025</v>
      </c>
      <c r="BC85" s="154">
        <v>241.0</v>
      </c>
      <c r="BD85" s="154">
        <v>206.0</v>
      </c>
      <c r="BE85" s="154">
        <v>512.0</v>
      </c>
      <c r="BF85" s="154">
        <f t="shared" si="441"/>
        <v>959</v>
      </c>
      <c r="BG85" s="154">
        <f t="shared" si="442"/>
        <v>4320</v>
      </c>
      <c r="BH85" s="154">
        <v>631.0</v>
      </c>
      <c r="BI85" s="154">
        <v>449.0</v>
      </c>
      <c r="BJ85" s="154">
        <v>149.0</v>
      </c>
      <c r="BK85" s="154">
        <f t="shared" si="443"/>
        <v>1229</v>
      </c>
      <c r="BL85" s="154">
        <v>123.0</v>
      </c>
      <c r="BM85" s="154">
        <v>113.0</v>
      </c>
      <c r="BN85" s="154">
        <v>171.0</v>
      </c>
      <c r="BO85" s="154">
        <f t="shared" si="444"/>
        <v>407</v>
      </c>
      <c r="BP85" s="154">
        <v>74.0</v>
      </c>
      <c r="BQ85" s="154">
        <v>344.0</v>
      </c>
      <c r="BR85" s="154">
        <v>226.0</v>
      </c>
      <c r="BS85" s="154">
        <f t="shared" si="445"/>
        <v>644</v>
      </c>
      <c r="BT85" s="154">
        <v>336.0</v>
      </c>
      <c r="BU85" s="154">
        <v>260.0</v>
      </c>
      <c r="BV85" s="154">
        <v>432.0</v>
      </c>
      <c r="BW85" s="154">
        <f t="shared" si="446"/>
        <v>1028</v>
      </c>
      <c r="BX85" s="154">
        <f t="shared" si="447"/>
        <v>3308</v>
      </c>
      <c r="BY85" s="154">
        <v>826.0</v>
      </c>
      <c r="BZ85" s="154">
        <v>826.0</v>
      </c>
      <c r="CA85" s="154">
        <f t="shared" si="448"/>
        <v>0</v>
      </c>
      <c r="CB85" s="154">
        <v>814.0</v>
      </c>
      <c r="CC85" s="154">
        <v>814.0</v>
      </c>
      <c r="CD85" s="154">
        <f t="shared" si="449"/>
        <v>0</v>
      </c>
      <c r="CE85" s="154">
        <v>31.0</v>
      </c>
      <c r="CF85" s="154">
        <v>861.0</v>
      </c>
      <c r="CG85" s="154">
        <f t="shared" si="450"/>
        <v>830</v>
      </c>
      <c r="CH85" s="154">
        <f>SUM(BY85:CF85)</f>
        <v>4172</v>
      </c>
      <c r="CI85" s="154">
        <v>403.0</v>
      </c>
      <c r="CJ85" s="154">
        <v>403.0</v>
      </c>
      <c r="CK85" s="154">
        <f t="shared" si="452"/>
        <v>0</v>
      </c>
      <c r="CL85" s="154">
        <v>425.0</v>
      </c>
      <c r="CM85" s="154">
        <v>425.0</v>
      </c>
      <c r="CN85" s="154">
        <f t="shared" si="453"/>
        <v>0</v>
      </c>
      <c r="CO85" s="154">
        <v>836.0</v>
      </c>
      <c r="CP85" s="154">
        <v>844.0</v>
      </c>
      <c r="CQ85" s="154">
        <f t="shared" si="454"/>
        <v>8</v>
      </c>
      <c r="CR85" s="154">
        <f t="shared" si="455"/>
        <v>2492</v>
      </c>
      <c r="CS85" s="154">
        <v>871.0</v>
      </c>
      <c r="CT85" s="154">
        <f t="shared" si="456"/>
        <v>838</v>
      </c>
      <c r="CU85" s="154">
        <f t="shared" si="457"/>
        <v>1709</v>
      </c>
      <c r="CV85" s="154"/>
      <c r="CW85" s="154"/>
      <c r="CX85" s="154">
        <f t="shared" si="458"/>
        <v>3418</v>
      </c>
      <c r="CY85" s="154"/>
      <c r="CZ85" s="154"/>
      <c r="DA85" s="154"/>
      <c r="DB85" s="154">
        <f t="shared" si="459"/>
        <v>0</v>
      </c>
      <c r="DC85" s="154">
        <f t="shared" si="460"/>
        <v>10082</v>
      </c>
      <c r="DD85" s="154">
        <f t="shared" si="461"/>
        <v>25811</v>
      </c>
      <c r="DE85" s="6"/>
      <c r="DF85" s="6"/>
      <c r="DG85" s="6"/>
      <c r="DH85" s="6"/>
      <c r="DI85" s="6"/>
      <c r="DJ85" s="6"/>
      <c r="DK85" s="6"/>
      <c r="DL85" s="6"/>
    </row>
    <row r="86" ht="15.75" customHeight="1">
      <c r="A86" s="169" t="s">
        <v>158</v>
      </c>
      <c r="B86" s="154">
        <v>442.0</v>
      </c>
      <c r="C86" s="154">
        <v>0.0</v>
      </c>
      <c r="D86" s="154">
        <v>0.0</v>
      </c>
      <c r="E86" s="154">
        <v>0.0</v>
      </c>
      <c r="F86" s="154">
        <v>47.0</v>
      </c>
      <c r="G86" s="154">
        <v>5.0</v>
      </c>
      <c r="H86" s="154">
        <f t="shared" si="427"/>
        <v>52</v>
      </c>
      <c r="I86" s="154">
        <v>47.0</v>
      </c>
      <c r="J86" s="154">
        <v>95.0</v>
      </c>
      <c r="K86" s="154">
        <v>109.0</v>
      </c>
      <c r="L86" s="156">
        <f t="shared" si="428"/>
        <v>251</v>
      </c>
      <c r="M86" s="154">
        <v>57.0</v>
      </c>
      <c r="N86" s="154">
        <v>57.0</v>
      </c>
      <c r="O86" s="154">
        <v>0.0</v>
      </c>
      <c r="P86" s="156">
        <f t="shared" si="429"/>
        <v>114</v>
      </c>
      <c r="Q86" s="154">
        <v>89.0</v>
      </c>
      <c r="R86" s="154">
        <v>251.0</v>
      </c>
      <c r="S86" s="154">
        <v>320.0</v>
      </c>
      <c r="T86" s="156">
        <f t="shared" si="430"/>
        <v>660</v>
      </c>
      <c r="U86" s="154">
        <v>642.0</v>
      </c>
      <c r="V86" s="154">
        <v>227.0</v>
      </c>
      <c r="W86" s="154">
        <v>135.0</v>
      </c>
      <c r="X86" s="156">
        <f t="shared" si="431"/>
        <v>1004</v>
      </c>
      <c r="Y86" s="156">
        <f t="shared" si="432"/>
        <v>2029</v>
      </c>
      <c r="Z86" s="154">
        <v>660.0</v>
      </c>
      <c r="AA86" s="154">
        <v>444.0</v>
      </c>
      <c r="AB86" s="154">
        <v>636.0</v>
      </c>
      <c r="AC86" s="156">
        <f t="shared" si="433"/>
        <v>1740</v>
      </c>
      <c r="AD86" s="154">
        <v>537.0</v>
      </c>
      <c r="AE86" s="154">
        <v>243.0</v>
      </c>
      <c r="AF86" s="154">
        <v>169.0</v>
      </c>
      <c r="AG86" s="156">
        <f t="shared" si="434"/>
        <v>949</v>
      </c>
      <c r="AH86" s="154">
        <v>194.0</v>
      </c>
      <c r="AI86" s="154">
        <v>685.0</v>
      </c>
      <c r="AJ86" s="154">
        <v>742.0</v>
      </c>
      <c r="AK86" s="156">
        <f t="shared" si="435"/>
        <v>1621</v>
      </c>
      <c r="AL86" s="154">
        <v>2823.0</v>
      </c>
      <c r="AM86" s="154">
        <v>708.0</v>
      </c>
      <c r="AN86" s="154">
        <v>398.0</v>
      </c>
      <c r="AO86" s="156">
        <f t="shared" si="436"/>
        <v>3929</v>
      </c>
      <c r="AP86" s="156">
        <f t="shared" si="437"/>
        <v>8239</v>
      </c>
      <c r="AQ86" s="154">
        <v>139.0</v>
      </c>
      <c r="AR86" s="154">
        <v>795.0</v>
      </c>
      <c r="AS86" s="154">
        <v>801.0</v>
      </c>
      <c r="AT86" s="154">
        <f t="shared" si="438"/>
        <v>1735</v>
      </c>
      <c r="AU86" s="154">
        <v>269.0</v>
      </c>
      <c r="AV86" s="154">
        <v>339.0</v>
      </c>
      <c r="AW86" s="154">
        <v>77.0</v>
      </c>
      <c r="AX86" s="154">
        <f t="shared" si="439"/>
        <v>685</v>
      </c>
      <c r="AY86" s="154">
        <v>268.0</v>
      </c>
      <c r="AZ86" s="154">
        <v>179.0</v>
      </c>
      <c r="BA86" s="154">
        <v>250.0</v>
      </c>
      <c r="BB86" s="154">
        <f t="shared" si="440"/>
        <v>697</v>
      </c>
      <c r="BC86" s="154">
        <v>94.0</v>
      </c>
      <c r="BD86" s="154">
        <v>40.0</v>
      </c>
      <c r="BE86" s="154">
        <v>229.0</v>
      </c>
      <c r="BF86" s="154">
        <f t="shared" si="441"/>
        <v>363</v>
      </c>
      <c r="BG86" s="154">
        <f t="shared" si="442"/>
        <v>3480</v>
      </c>
      <c r="BH86" s="154">
        <v>240.0</v>
      </c>
      <c r="BI86" s="154">
        <v>224.0</v>
      </c>
      <c r="BJ86" s="154">
        <v>500.0</v>
      </c>
      <c r="BK86" s="154">
        <f t="shared" si="443"/>
        <v>964</v>
      </c>
      <c r="BL86" s="154">
        <v>278.0</v>
      </c>
      <c r="BM86" s="154">
        <v>538.0</v>
      </c>
      <c r="BN86" s="154">
        <v>610.0</v>
      </c>
      <c r="BO86" s="154">
        <f t="shared" si="444"/>
        <v>1426</v>
      </c>
      <c r="BP86" s="154">
        <v>468.0</v>
      </c>
      <c r="BQ86" s="154">
        <v>354.0</v>
      </c>
      <c r="BR86" s="154">
        <v>311.0</v>
      </c>
      <c r="BS86" s="154">
        <f t="shared" si="445"/>
        <v>1133</v>
      </c>
      <c r="BT86" s="154">
        <v>200.0</v>
      </c>
      <c r="BU86" s="154">
        <v>163.0</v>
      </c>
      <c r="BV86" s="154">
        <v>428.0</v>
      </c>
      <c r="BW86" s="154">
        <f t="shared" si="446"/>
        <v>791</v>
      </c>
      <c r="BX86" s="154">
        <f t="shared" si="447"/>
        <v>4314</v>
      </c>
      <c r="BY86" s="154">
        <v>185.0</v>
      </c>
      <c r="BZ86" s="154">
        <f>10+313</f>
        <v>323</v>
      </c>
      <c r="CA86" s="154">
        <f t="shared" si="448"/>
        <v>138</v>
      </c>
      <c r="CB86" s="154">
        <v>152.0</v>
      </c>
      <c r="CC86" s="154">
        <v>152.0</v>
      </c>
      <c r="CD86" s="154">
        <f t="shared" si="449"/>
        <v>0</v>
      </c>
      <c r="CE86" s="154">
        <v>3.0</v>
      </c>
      <c r="CF86" s="154">
        <f>467+13</f>
        <v>480</v>
      </c>
      <c r="CG86" s="154">
        <f t="shared" si="450"/>
        <v>477</v>
      </c>
      <c r="CH86" s="154">
        <f>SUM(BY86:CE86)</f>
        <v>953</v>
      </c>
      <c r="CI86" s="154">
        <v>487.0</v>
      </c>
      <c r="CJ86" s="154">
        <f>7+481</f>
        <v>488</v>
      </c>
      <c r="CK86" s="154">
        <f t="shared" si="452"/>
        <v>1</v>
      </c>
      <c r="CL86" s="154">
        <f t="shared" ref="CL86:CM86" si="464">420+3</f>
        <v>423</v>
      </c>
      <c r="CM86" s="154">
        <f t="shared" si="464"/>
        <v>423</v>
      </c>
      <c r="CN86" s="154">
        <f t="shared" si="453"/>
        <v>0</v>
      </c>
      <c r="CO86" s="154">
        <f>120+1</f>
        <v>121</v>
      </c>
      <c r="CP86" s="154">
        <f>123+1</f>
        <v>124</v>
      </c>
      <c r="CQ86" s="154">
        <f t="shared" si="454"/>
        <v>3</v>
      </c>
      <c r="CR86" s="154">
        <f t="shared" si="455"/>
        <v>1943</v>
      </c>
      <c r="CS86" s="154">
        <f>36+142</f>
        <v>178</v>
      </c>
      <c r="CT86" s="154">
        <f t="shared" si="456"/>
        <v>619</v>
      </c>
      <c r="CU86" s="154">
        <f t="shared" si="457"/>
        <v>797</v>
      </c>
      <c r="CV86" s="154"/>
      <c r="CW86" s="154"/>
      <c r="CX86" s="154">
        <f t="shared" si="458"/>
        <v>1594</v>
      </c>
      <c r="CY86" s="154"/>
      <c r="CZ86" s="154"/>
      <c r="DA86" s="154"/>
      <c r="DB86" s="154">
        <f t="shared" si="459"/>
        <v>0</v>
      </c>
      <c r="DC86" s="154">
        <f t="shared" si="460"/>
        <v>4490</v>
      </c>
      <c r="DD86" s="154">
        <f t="shared" si="461"/>
        <v>23046</v>
      </c>
      <c r="DE86" s="6"/>
      <c r="DF86" s="6"/>
      <c r="DG86" s="6"/>
      <c r="DH86" s="6"/>
      <c r="DI86" s="6"/>
      <c r="DJ86" s="6"/>
      <c r="DK86" s="6"/>
      <c r="DL86" s="6"/>
    </row>
    <row r="87" ht="15.75" customHeight="1">
      <c r="A87" s="137" t="s">
        <v>159</v>
      </c>
      <c r="B87" s="141">
        <f t="shared" ref="B87:DD87" si="465">SUM(B88:B92)</f>
        <v>426</v>
      </c>
      <c r="C87" s="141">
        <f t="shared" si="465"/>
        <v>0</v>
      </c>
      <c r="D87" s="141">
        <f t="shared" si="465"/>
        <v>0</v>
      </c>
      <c r="E87" s="141">
        <f t="shared" si="465"/>
        <v>1</v>
      </c>
      <c r="F87" s="141">
        <f t="shared" si="465"/>
        <v>71</v>
      </c>
      <c r="G87" s="141">
        <f t="shared" si="465"/>
        <v>141</v>
      </c>
      <c r="H87" s="141">
        <f t="shared" si="465"/>
        <v>213</v>
      </c>
      <c r="I87" s="141">
        <f t="shared" si="465"/>
        <v>229</v>
      </c>
      <c r="J87" s="141">
        <f t="shared" si="465"/>
        <v>457</v>
      </c>
      <c r="K87" s="141">
        <f t="shared" si="465"/>
        <v>467</v>
      </c>
      <c r="L87" s="141">
        <f t="shared" si="465"/>
        <v>1153</v>
      </c>
      <c r="M87" s="141">
        <f t="shared" si="465"/>
        <v>414</v>
      </c>
      <c r="N87" s="141">
        <f t="shared" si="465"/>
        <v>132</v>
      </c>
      <c r="O87" s="141">
        <f t="shared" si="465"/>
        <v>0</v>
      </c>
      <c r="P87" s="141">
        <f t="shared" si="465"/>
        <v>546</v>
      </c>
      <c r="Q87" s="141">
        <f t="shared" si="465"/>
        <v>345</v>
      </c>
      <c r="R87" s="141">
        <f t="shared" si="465"/>
        <v>1839</v>
      </c>
      <c r="S87" s="141">
        <f t="shared" si="465"/>
        <v>1720</v>
      </c>
      <c r="T87" s="141">
        <f t="shared" si="465"/>
        <v>3904</v>
      </c>
      <c r="U87" s="141">
        <f t="shared" si="465"/>
        <v>1858</v>
      </c>
      <c r="V87" s="141">
        <f t="shared" si="465"/>
        <v>1411</v>
      </c>
      <c r="W87" s="141">
        <f t="shared" si="465"/>
        <v>887</v>
      </c>
      <c r="X87" s="141">
        <f t="shared" si="465"/>
        <v>4156</v>
      </c>
      <c r="Y87" s="141">
        <f t="shared" si="465"/>
        <v>9759</v>
      </c>
      <c r="Z87" s="141">
        <f t="shared" si="465"/>
        <v>333</v>
      </c>
      <c r="AA87" s="141">
        <f t="shared" si="465"/>
        <v>1448</v>
      </c>
      <c r="AB87" s="141">
        <f t="shared" si="465"/>
        <v>1405</v>
      </c>
      <c r="AC87" s="142">
        <f t="shared" si="465"/>
        <v>3186</v>
      </c>
      <c r="AD87" s="141">
        <f t="shared" si="465"/>
        <v>438</v>
      </c>
      <c r="AE87" s="141">
        <f t="shared" si="465"/>
        <v>1689</v>
      </c>
      <c r="AF87" s="141">
        <f t="shared" si="465"/>
        <v>4264</v>
      </c>
      <c r="AG87" s="142">
        <f t="shared" si="465"/>
        <v>6391</v>
      </c>
      <c r="AH87" s="141">
        <f t="shared" si="465"/>
        <v>2298</v>
      </c>
      <c r="AI87" s="141">
        <f t="shared" si="465"/>
        <v>3191</v>
      </c>
      <c r="AJ87" s="141">
        <f t="shared" si="465"/>
        <v>1051</v>
      </c>
      <c r="AK87" s="142">
        <f t="shared" si="465"/>
        <v>6540</v>
      </c>
      <c r="AL87" s="141">
        <f t="shared" si="465"/>
        <v>981</v>
      </c>
      <c r="AM87" s="141">
        <f t="shared" si="465"/>
        <v>692</v>
      </c>
      <c r="AN87" s="141">
        <f t="shared" si="465"/>
        <v>2932</v>
      </c>
      <c r="AO87" s="142">
        <f t="shared" si="465"/>
        <v>4605</v>
      </c>
      <c r="AP87" s="142">
        <f t="shared" si="465"/>
        <v>20722</v>
      </c>
      <c r="AQ87" s="142">
        <f t="shared" si="465"/>
        <v>1477</v>
      </c>
      <c r="AR87" s="142">
        <f t="shared" si="465"/>
        <v>2920</v>
      </c>
      <c r="AS87" s="142">
        <f t="shared" si="465"/>
        <v>1100</v>
      </c>
      <c r="AT87" s="142">
        <f t="shared" si="465"/>
        <v>5497</v>
      </c>
      <c r="AU87" s="142">
        <f t="shared" si="465"/>
        <v>2868</v>
      </c>
      <c r="AV87" s="142">
        <f t="shared" si="465"/>
        <v>2592</v>
      </c>
      <c r="AW87" s="142">
        <f t="shared" si="465"/>
        <v>1611</v>
      </c>
      <c r="AX87" s="142">
        <f t="shared" si="465"/>
        <v>7071</v>
      </c>
      <c r="AY87" s="142">
        <f t="shared" si="465"/>
        <v>3114</v>
      </c>
      <c r="AZ87" s="142">
        <f t="shared" si="465"/>
        <v>1754</v>
      </c>
      <c r="BA87" s="142">
        <f t="shared" si="465"/>
        <v>2449</v>
      </c>
      <c r="BB87" s="142">
        <f t="shared" si="465"/>
        <v>7317</v>
      </c>
      <c r="BC87" s="142">
        <f t="shared" si="465"/>
        <v>2245</v>
      </c>
      <c r="BD87" s="142">
        <f t="shared" si="465"/>
        <v>1613</v>
      </c>
      <c r="BE87" s="142">
        <f t="shared" si="465"/>
        <v>1497</v>
      </c>
      <c r="BF87" s="142">
        <f t="shared" si="465"/>
        <v>5355</v>
      </c>
      <c r="BG87" s="142">
        <f t="shared" si="465"/>
        <v>25240</v>
      </c>
      <c r="BH87" s="142">
        <f t="shared" si="465"/>
        <v>2536</v>
      </c>
      <c r="BI87" s="142">
        <f t="shared" si="465"/>
        <v>6036</v>
      </c>
      <c r="BJ87" s="142">
        <f t="shared" si="465"/>
        <v>3473</v>
      </c>
      <c r="BK87" s="142">
        <f t="shared" si="465"/>
        <v>12045</v>
      </c>
      <c r="BL87" s="142">
        <f t="shared" si="465"/>
        <v>4679</v>
      </c>
      <c r="BM87" s="142">
        <f t="shared" si="465"/>
        <v>4900</v>
      </c>
      <c r="BN87" s="142">
        <f t="shared" si="465"/>
        <v>2690</v>
      </c>
      <c r="BO87" s="142">
        <f t="shared" si="465"/>
        <v>12269</v>
      </c>
      <c r="BP87" s="142">
        <f t="shared" si="465"/>
        <v>8477</v>
      </c>
      <c r="BQ87" s="142">
        <f t="shared" si="465"/>
        <v>16384</v>
      </c>
      <c r="BR87" s="142">
        <f t="shared" si="465"/>
        <v>21608</v>
      </c>
      <c r="BS87" s="142">
        <f t="shared" si="465"/>
        <v>46469</v>
      </c>
      <c r="BT87" s="142">
        <f t="shared" si="465"/>
        <v>23809</v>
      </c>
      <c r="BU87" s="142">
        <f t="shared" si="465"/>
        <v>14835</v>
      </c>
      <c r="BV87" s="142">
        <f t="shared" si="465"/>
        <v>12015</v>
      </c>
      <c r="BW87" s="142">
        <f t="shared" si="465"/>
        <v>50659</v>
      </c>
      <c r="BX87" s="142">
        <f t="shared" si="465"/>
        <v>121442</v>
      </c>
      <c r="BY87" s="141">
        <f t="shared" si="465"/>
        <v>11240</v>
      </c>
      <c r="BZ87" s="141">
        <f t="shared" si="465"/>
        <v>11240</v>
      </c>
      <c r="CA87" s="141">
        <f t="shared" si="465"/>
        <v>0</v>
      </c>
      <c r="CB87" s="141">
        <f t="shared" si="465"/>
        <v>10327</v>
      </c>
      <c r="CC87" s="141">
        <f t="shared" si="465"/>
        <v>10327</v>
      </c>
      <c r="CD87" s="141">
        <f t="shared" si="465"/>
        <v>0</v>
      </c>
      <c r="CE87" s="141">
        <f t="shared" si="465"/>
        <v>24</v>
      </c>
      <c r="CF87" s="141">
        <f t="shared" si="465"/>
        <v>10098</v>
      </c>
      <c r="CG87" s="141">
        <f t="shared" si="465"/>
        <v>10074</v>
      </c>
      <c r="CH87" s="141">
        <f t="shared" si="465"/>
        <v>51181</v>
      </c>
      <c r="CI87" s="141">
        <f t="shared" si="465"/>
        <v>10967</v>
      </c>
      <c r="CJ87" s="141">
        <f t="shared" si="465"/>
        <v>11042</v>
      </c>
      <c r="CK87" s="141">
        <f t="shared" si="465"/>
        <v>75</v>
      </c>
      <c r="CL87" s="141">
        <f t="shared" si="465"/>
        <v>9338</v>
      </c>
      <c r="CM87" s="141">
        <f t="shared" si="465"/>
        <v>9338</v>
      </c>
      <c r="CN87" s="141">
        <f t="shared" si="465"/>
        <v>0</v>
      </c>
      <c r="CO87" s="141">
        <f t="shared" si="465"/>
        <v>9715</v>
      </c>
      <c r="CP87" s="141">
        <f t="shared" si="465"/>
        <v>9803</v>
      </c>
      <c r="CQ87" s="141">
        <f t="shared" si="465"/>
        <v>88</v>
      </c>
      <c r="CR87" s="141">
        <f t="shared" si="465"/>
        <v>50475</v>
      </c>
      <c r="CS87" s="141">
        <f t="shared" si="465"/>
        <v>8227</v>
      </c>
      <c r="CT87" s="141">
        <f t="shared" si="465"/>
        <v>10237</v>
      </c>
      <c r="CU87" s="141">
        <f t="shared" si="465"/>
        <v>18464</v>
      </c>
      <c r="CV87" s="141">
        <f t="shared" si="465"/>
        <v>0</v>
      </c>
      <c r="CW87" s="141">
        <f t="shared" si="465"/>
        <v>0</v>
      </c>
      <c r="CX87" s="141">
        <f t="shared" si="465"/>
        <v>36928</v>
      </c>
      <c r="CY87" s="141">
        <f t="shared" si="465"/>
        <v>0</v>
      </c>
      <c r="CZ87" s="141">
        <f t="shared" si="465"/>
        <v>0</v>
      </c>
      <c r="DA87" s="141">
        <f t="shared" si="465"/>
        <v>0</v>
      </c>
      <c r="DB87" s="141">
        <f t="shared" si="465"/>
        <v>0</v>
      </c>
      <c r="DC87" s="141">
        <f t="shared" si="465"/>
        <v>138584</v>
      </c>
      <c r="DD87" s="141">
        <f t="shared" si="465"/>
        <v>316386</v>
      </c>
      <c r="DE87" s="6"/>
      <c r="DF87" s="24">
        <f>SUM(AK87,AO87,BG87,BX87,DC87)</f>
        <v>296411</v>
      </c>
      <c r="DG87" s="6"/>
      <c r="DH87" s="6"/>
      <c r="DI87" s="6"/>
      <c r="DJ87" s="6"/>
      <c r="DK87" s="6"/>
      <c r="DL87" s="6"/>
    </row>
    <row r="88" ht="15.75" customHeight="1">
      <c r="A88" s="167" t="s">
        <v>160</v>
      </c>
      <c r="B88" s="179">
        <v>179.0</v>
      </c>
      <c r="C88" s="154">
        <v>0.0</v>
      </c>
      <c r="D88" s="154">
        <v>0.0</v>
      </c>
      <c r="E88" s="154">
        <v>0.0</v>
      </c>
      <c r="F88" s="154">
        <v>1.0</v>
      </c>
      <c r="G88" s="154">
        <v>24.0</v>
      </c>
      <c r="H88" s="154">
        <f t="shared" ref="H88:H92" si="466">SUM(C88:G88)</f>
        <v>25</v>
      </c>
      <c r="I88" s="154">
        <v>21.0</v>
      </c>
      <c r="J88" s="154">
        <v>55.0</v>
      </c>
      <c r="K88" s="154">
        <v>55.0</v>
      </c>
      <c r="L88" s="156">
        <f t="shared" ref="L88:L92" si="467">SUM(I88:K88)</f>
        <v>131</v>
      </c>
      <c r="M88" s="154">
        <v>75.0</v>
      </c>
      <c r="N88" s="154">
        <v>37.0</v>
      </c>
      <c r="O88" s="154">
        <v>0.0</v>
      </c>
      <c r="P88" s="156">
        <f t="shared" ref="P88:P92" si="468">SUM(M88:O88)</f>
        <v>112</v>
      </c>
      <c r="Q88" s="154">
        <v>17.0</v>
      </c>
      <c r="R88" s="154">
        <v>202.0</v>
      </c>
      <c r="S88" s="154">
        <v>513.0</v>
      </c>
      <c r="T88" s="156">
        <f t="shared" ref="T88:T92" si="469">SUM(Q88:S88)</f>
        <v>732</v>
      </c>
      <c r="U88" s="154">
        <v>557.0</v>
      </c>
      <c r="V88" s="154">
        <v>390.0</v>
      </c>
      <c r="W88" s="154">
        <v>240.0</v>
      </c>
      <c r="X88" s="156">
        <f t="shared" ref="X88:X92" si="470">SUM(U88:W88)</f>
        <v>1187</v>
      </c>
      <c r="Y88" s="156">
        <f t="shared" ref="Y88:Y92" si="471">SUM(X88,T88,P88,L88)</f>
        <v>2162</v>
      </c>
      <c r="Z88" s="154">
        <v>20.0</v>
      </c>
      <c r="AA88" s="154">
        <v>160.0</v>
      </c>
      <c r="AB88" s="154">
        <v>366.0</v>
      </c>
      <c r="AC88" s="156">
        <f t="shared" ref="AC88:AC92" si="472">SUM(Z88:AB88)</f>
        <v>546</v>
      </c>
      <c r="AD88" s="154">
        <v>200.0</v>
      </c>
      <c r="AE88" s="154">
        <v>726.0</v>
      </c>
      <c r="AF88" s="154">
        <v>1008.0</v>
      </c>
      <c r="AG88" s="156">
        <f t="shared" ref="AG88:AG92" si="473">SUM(AD88:AF88)</f>
        <v>1934</v>
      </c>
      <c r="AH88" s="154">
        <v>203.0</v>
      </c>
      <c r="AI88" s="154">
        <v>600.0</v>
      </c>
      <c r="AJ88" s="154">
        <v>137.0</v>
      </c>
      <c r="AK88" s="156">
        <f t="shared" ref="AK88:AK92" si="474">SUM(AH88:AJ88)</f>
        <v>940</v>
      </c>
      <c r="AL88" s="154">
        <v>160.0</v>
      </c>
      <c r="AM88" s="154">
        <v>475.0</v>
      </c>
      <c r="AN88" s="154">
        <v>1000.0</v>
      </c>
      <c r="AO88" s="156">
        <f t="shared" ref="AO88:AO92" si="475">SUM(AL88:AN88)</f>
        <v>1635</v>
      </c>
      <c r="AP88" s="156">
        <f t="shared" ref="AP88:AP92" si="476">SUM(AO88,AK88,AG88,AC88)</f>
        <v>5055</v>
      </c>
      <c r="AQ88" s="154">
        <v>549.0</v>
      </c>
      <c r="AR88" s="154">
        <v>1135.0</v>
      </c>
      <c r="AS88" s="154">
        <v>201.0</v>
      </c>
      <c r="AT88" s="154">
        <f t="shared" ref="AT88:AT92" si="477">SUM(AQ88:AS88)</f>
        <v>1885</v>
      </c>
      <c r="AU88" s="154">
        <v>1545.0</v>
      </c>
      <c r="AV88" s="154">
        <v>668.0</v>
      </c>
      <c r="AW88" s="154">
        <v>270.0</v>
      </c>
      <c r="AX88" s="154">
        <f t="shared" ref="AX88:AX92" si="478">SUM(AU88:AW88)</f>
        <v>2483</v>
      </c>
      <c r="AY88" s="154">
        <v>412.0</v>
      </c>
      <c r="AZ88" s="154">
        <v>343.0</v>
      </c>
      <c r="BA88" s="154">
        <v>352.0</v>
      </c>
      <c r="BB88" s="154">
        <f t="shared" ref="BB88:BB92" si="479">SUM(AY88:BA88)</f>
        <v>1107</v>
      </c>
      <c r="BC88" s="154">
        <v>596.0</v>
      </c>
      <c r="BD88" s="154">
        <v>424.0</v>
      </c>
      <c r="BE88" s="154">
        <v>260.0</v>
      </c>
      <c r="BF88" s="154">
        <f t="shared" ref="BF88:BF92" si="480">SUM(BC88:BE88)</f>
        <v>1280</v>
      </c>
      <c r="BG88" s="154">
        <f t="shared" ref="BG88:BG92" si="481">SUM(AT88,AX88,BB88,BF88)</f>
        <v>6755</v>
      </c>
      <c r="BH88" s="154">
        <v>608.0</v>
      </c>
      <c r="BI88" s="154">
        <v>1004.0</v>
      </c>
      <c r="BJ88" s="154">
        <v>751.0</v>
      </c>
      <c r="BK88" s="154">
        <f t="shared" ref="BK88:BK92" si="482">SUM(BH88:BJ88)</f>
        <v>2363</v>
      </c>
      <c r="BL88" s="154">
        <v>1064.0</v>
      </c>
      <c r="BM88" s="154">
        <v>1106.0</v>
      </c>
      <c r="BN88" s="154">
        <v>773.0</v>
      </c>
      <c r="BO88" s="154">
        <f t="shared" ref="BO88:BO92" si="483">SUM(BL88:BN88)</f>
        <v>2943</v>
      </c>
      <c r="BP88" s="154">
        <v>1899.0</v>
      </c>
      <c r="BQ88" s="154">
        <v>1909.0</v>
      </c>
      <c r="BR88" s="154">
        <v>1015.0</v>
      </c>
      <c r="BS88" s="154">
        <f t="shared" ref="BS88:BS92" si="484">SUM(BP88:BR88)</f>
        <v>4823</v>
      </c>
      <c r="BT88" s="154">
        <v>2245.0</v>
      </c>
      <c r="BU88" s="154">
        <v>2852.0</v>
      </c>
      <c r="BV88" s="154">
        <v>3025.0</v>
      </c>
      <c r="BW88" s="154">
        <f t="shared" ref="BW88:BW92" si="485">SUM(BT88:BV88)</f>
        <v>8122</v>
      </c>
      <c r="BX88" s="154">
        <f t="shared" ref="BX88:BX92" si="486">SUM(BK88,BO88,BS88,BW88)</f>
        <v>18251</v>
      </c>
      <c r="BY88" s="154">
        <v>2721.0</v>
      </c>
      <c r="BZ88" s="154">
        <v>2721.0</v>
      </c>
      <c r="CA88" s="154">
        <f t="shared" ref="CA88:CA92" si="487">BZ88-BY88</f>
        <v>0</v>
      </c>
      <c r="CB88" s="154">
        <v>2652.0</v>
      </c>
      <c r="CC88" s="154">
        <v>2652.0</v>
      </c>
      <c r="CD88" s="154">
        <f t="shared" ref="CD88:CD92" si="488">CC88-CB88</f>
        <v>0</v>
      </c>
      <c r="CE88" s="154">
        <v>4.0</v>
      </c>
      <c r="CF88" s="154">
        <v>2351.0</v>
      </c>
      <c r="CG88" s="154">
        <f t="shared" ref="CG88:CG92" si="489">CF88-CE88</f>
        <v>2347</v>
      </c>
      <c r="CH88" s="154">
        <f t="shared" ref="CH88:CH89" si="490">SUM(BY88:CF88)</f>
        <v>13101</v>
      </c>
      <c r="CI88" s="154">
        <v>2952.0</v>
      </c>
      <c r="CJ88" s="154">
        <v>2977.0</v>
      </c>
      <c r="CK88" s="154">
        <f t="shared" ref="CK88:CK92" si="491">CJ88-CI88</f>
        <v>25</v>
      </c>
      <c r="CL88" s="154">
        <v>1680.0</v>
      </c>
      <c r="CM88" s="154">
        <v>1680.0</v>
      </c>
      <c r="CN88" s="154">
        <f t="shared" ref="CN88:CN92" si="492">CM88-CL88</f>
        <v>0</v>
      </c>
      <c r="CO88" s="154">
        <v>1262.0</v>
      </c>
      <c r="CP88" s="154">
        <v>1267.0</v>
      </c>
      <c r="CQ88" s="154">
        <f t="shared" ref="CQ88:CQ92" si="493">CP88-CO88</f>
        <v>5</v>
      </c>
      <c r="CR88" s="154">
        <f t="shared" ref="CR88:CR92" si="494">SUM(CI88:CO88)</f>
        <v>10576</v>
      </c>
      <c r="CS88" s="154">
        <v>1209.0</v>
      </c>
      <c r="CT88" s="154">
        <f t="shared" ref="CT88:CT92" si="495">SUM(CA88,CD88,CG88,CK88,CN88,CQ88)</f>
        <v>2377</v>
      </c>
      <c r="CU88" s="154">
        <f t="shared" ref="CU88:CU92" si="496">CS88+CT88</f>
        <v>3586</v>
      </c>
      <c r="CV88" s="154"/>
      <c r="CW88" s="154"/>
      <c r="CX88" s="154">
        <f t="shared" ref="CX88:CX92" si="497">SUM(CS88:CW88)</f>
        <v>7172</v>
      </c>
      <c r="CY88" s="154"/>
      <c r="CZ88" s="154"/>
      <c r="DA88" s="154"/>
      <c r="DB88" s="154">
        <f t="shared" ref="DB88:DB92" si="498">SUM(CY88:DA88)</f>
        <v>0</v>
      </c>
      <c r="DC88" s="154">
        <f t="shared" ref="DC88:DC92" si="499">SUM(CH88,CR88,CX88,DB88)</f>
        <v>30849</v>
      </c>
      <c r="DD88" s="154">
        <f t="shared" ref="DD88:DD92" si="500">SUM(B88,H88,Y88,AP88,BG88,BX88,DC88)</f>
        <v>63276</v>
      </c>
      <c r="DE88" s="6"/>
      <c r="DF88" s="6"/>
      <c r="DG88" s="6"/>
      <c r="DH88" s="6"/>
      <c r="DI88" s="6"/>
      <c r="DJ88" s="6"/>
      <c r="DK88" s="6"/>
      <c r="DL88" s="6"/>
    </row>
    <row r="89" ht="15.75" customHeight="1">
      <c r="A89" s="167" t="s">
        <v>161</v>
      </c>
      <c r="B89" s="154">
        <v>10.0</v>
      </c>
      <c r="C89" s="154">
        <v>0.0</v>
      </c>
      <c r="D89" s="154">
        <v>0.0</v>
      </c>
      <c r="E89" s="154">
        <v>0.0</v>
      </c>
      <c r="F89" s="154">
        <v>19.0</v>
      </c>
      <c r="G89" s="154">
        <v>27.0</v>
      </c>
      <c r="H89" s="154">
        <f t="shared" si="466"/>
        <v>46</v>
      </c>
      <c r="I89" s="154">
        <v>35.0</v>
      </c>
      <c r="J89" s="154">
        <v>90.0</v>
      </c>
      <c r="K89" s="154">
        <v>117.0</v>
      </c>
      <c r="L89" s="156">
        <f t="shared" si="467"/>
        <v>242</v>
      </c>
      <c r="M89" s="154">
        <v>50.0</v>
      </c>
      <c r="N89" s="154">
        <v>41.0</v>
      </c>
      <c r="O89" s="154">
        <v>0.0</v>
      </c>
      <c r="P89" s="156">
        <f t="shared" si="468"/>
        <v>91</v>
      </c>
      <c r="Q89" s="154">
        <v>94.0</v>
      </c>
      <c r="R89" s="154">
        <v>207.0</v>
      </c>
      <c r="S89" s="154">
        <v>597.0</v>
      </c>
      <c r="T89" s="156">
        <f t="shared" si="469"/>
        <v>898</v>
      </c>
      <c r="U89" s="154">
        <v>361.0</v>
      </c>
      <c r="V89" s="154">
        <v>158.0</v>
      </c>
      <c r="W89" s="154">
        <v>151.0</v>
      </c>
      <c r="X89" s="156">
        <f t="shared" si="470"/>
        <v>670</v>
      </c>
      <c r="Y89" s="156">
        <f t="shared" si="471"/>
        <v>1901</v>
      </c>
      <c r="Z89" s="154">
        <v>24.0</v>
      </c>
      <c r="AA89" s="154">
        <v>1081.0</v>
      </c>
      <c r="AB89" s="154">
        <v>244.0</v>
      </c>
      <c r="AC89" s="156">
        <f t="shared" si="472"/>
        <v>1349</v>
      </c>
      <c r="AD89" s="154">
        <v>113.0</v>
      </c>
      <c r="AE89" s="154">
        <v>290.0</v>
      </c>
      <c r="AF89" s="154">
        <v>1203.0</v>
      </c>
      <c r="AG89" s="156">
        <f t="shared" si="473"/>
        <v>1606</v>
      </c>
      <c r="AH89" s="154">
        <v>352.0</v>
      </c>
      <c r="AI89" s="154">
        <v>445.0</v>
      </c>
      <c r="AJ89" s="154">
        <v>174.0</v>
      </c>
      <c r="AK89" s="156">
        <f t="shared" si="474"/>
        <v>971</v>
      </c>
      <c r="AL89" s="154">
        <v>328.0</v>
      </c>
      <c r="AM89" s="154">
        <v>71.0</v>
      </c>
      <c r="AN89" s="154">
        <v>385.0</v>
      </c>
      <c r="AO89" s="156">
        <f t="shared" si="475"/>
        <v>784</v>
      </c>
      <c r="AP89" s="156">
        <f t="shared" si="476"/>
        <v>4710</v>
      </c>
      <c r="AQ89" s="154">
        <v>360.0</v>
      </c>
      <c r="AR89" s="154">
        <v>1007.0</v>
      </c>
      <c r="AS89" s="154">
        <v>404.0</v>
      </c>
      <c r="AT89" s="154">
        <f t="shared" si="477"/>
        <v>1771</v>
      </c>
      <c r="AU89" s="154">
        <v>262.0</v>
      </c>
      <c r="AV89" s="154">
        <v>562.0</v>
      </c>
      <c r="AW89" s="154">
        <v>831.0</v>
      </c>
      <c r="AX89" s="154">
        <f t="shared" si="478"/>
        <v>1655</v>
      </c>
      <c r="AY89" s="154">
        <v>789.0</v>
      </c>
      <c r="AZ89" s="154">
        <v>370.0</v>
      </c>
      <c r="BA89" s="154">
        <v>1234.0</v>
      </c>
      <c r="BB89" s="154">
        <f t="shared" si="479"/>
        <v>2393</v>
      </c>
      <c r="BC89" s="154">
        <v>916.0</v>
      </c>
      <c r="BD89" s="154">
        <v>482.0</v>
      </c>
      <c r="BE89" s="154">
        <v>406.0</v>
      </c>
      <c r="BF89" s="154">
        <f t="shared" si="480"/>
        <v>1804</v>
      </c>
      <c r="BG89" s="154">
        <f t="shared" si="481"/>
        <v>7623</v>
      </c>
      <c r="BH89" s="154">
        <v>266.0</v>
      </c>
      <c r="BI89" s="154">
        <v>682.0</v>
      </c>
      <c r="BJ89" s="154">
        <v>356.0</v>
      </c>
      <c r="BK89" s="154">
        <f t="shared" si="482"/>
        <v>1304</v>
      </c>
      <c r="BL89" s="154">
        <v>1302.0</v>
      </c>
      <c r="BM89" s="154">
        <v>540.0</v>
      </c>
      <c r="BN89" s="154">
        <v>126.0</v>
      </c>
      <c r="BO89" s="154">
        <f t="shared" si="483"/>
        <v>1968</v>
      </c>
      <c r="BP89" s="154">
        <v>1249.0</v>
      </c>
      <c r="BQ89" s="154">
        <v>1347.0</v>
      </c>
      <c r="BR89" s="154">
        <v>2116.0</v>
      </c>
      <c r="BS89" s="154">
        <f t="shared" si="484"/>
        <v>4712</v>
      </c>
      <c r="BT89" s="154">
        <v>4788.0</v>
      </c>
      <c r="BU89" s="154">
        <v>3385.0</v>
      </c>
      <c r="BV89" s="154">
        <v>2474.0</v>
      </c>
      <c r="BW89" s="154">
        <f t="shared" si="485"/>
        <v>10647</v>
      </c>
      <c r="BX89" s="154">
        <f t="shared" si="486"/>
        <v>18631</v>
      </c>
      <c r="BY89" s="154">
        <v>2661.0</v>
      </c>
      <c r="BZ89" s="154">
        <v>2661.0</v>
      </c>
      <c r="CA89" s="154">
        <f t="shared" si="487"/>
        <v>0</v>
      </c>
      <c r="CB89" s="154">
        <v>1868.0</v>
      </c>
      <c r="CC89" s="154">
        <v>1868.0</v>
      </c>
      <c r="CD89" s="154">
        <f t="shared" si="488"/>
        <v>0</v>
      </c>
      <c r="CE89" s="154">
        <v>19.0</v>
      </c>
      <c r="CF89" s="154">
        <v>1454.0</v>
      </c>
      <c r="CG89" s="154">
        <f t="shared" si="489"/>
        <v>1435</v>
      </c>
      <c r="CH89" s="154">
        <f t="shared" si="490"/>
        <v>10531</v>
      </c>
      <c r="CI89" s="154">
        <v>1399.0</v>
      </c>
      <c r="CJ89" s="154">
        <v>1407.0</v>
      </c>
      <c r="CK89" s="154">
        <f t="shared" si="491"/>
        <v>8</v>
      </c>
      <c r="CL89" s="154">
        <v>1702.0</v>
      </c>
      <c r="CM89" s="154">
        <v>1702.0</v>
      </c>
      <c r="CN89" s="154">
        <f t="shared" si="492"/>
        <v>0</v>
      </c>
      <c r="CO89" s="154">
        <v>2915.0</v>
      </c>
      <c r="CP89" s="154">
        <v>2928.0</v>
      </c>
      <c r="CQ89" s="154">
        <f t="shared" si="493"/>
        <v>13</v>
      </c>
      <c r="CR89" s="154">
        <f t="shared" si="494"/>
        <v>9133</v>
      </c>
      <c r="CS89" s="154">
        <v>985.0</v>
      </c>
      <c r="CT89" s="154">
        <f t="shared" si="495"/>
        <v>1456</v>
      </c>
      <c r="CU89" s="154">
        <f t="shared" si="496"/>
        <v>2441</v>
      </c>
      <c r="CV89" s="154"/>
      <c r="CW89" s="154"/>
      <c r="CX89" s="154">
        <f t="shared" si="497"/>
        <v>4882</v>
      </c>
      <c r="CY89" s="154"/>
      <c r="CZ89" s="154"/>
      <c r="DA89" s="154"/>
      <c r="DB89" s="154">
        <f t="shared" si="498"/>
        <v>0</v>
      </c>
      <c r="DC89" s="154">
        <f t="shared" si="499"/>
        <v>24546</v>
      </c>
      <c r="DD89" s="154">
        <f t="shared" si="500"/>
        <v>57467</v>
      </c>
      <c r="DE89" s="6"/>
      <c r="DF89" s="6"/>
      <c r="DG89" s="6"/>
      <c r="DH89" s="6"/>
      <c r="DI89" s="6"/>
      <c r="DJ89" s="6"/>
      <c r="DK89" s="6"/>
      <c r="DL89" s="6"/>
    </row>
    <row r="90" ht="15.75" customHeight="1">
      <c r="A90" s="169" t="s">
        <v>162</v>
      </c>
      <c r="B90" s="154">
        <v>235.0</v>
      </c>
      <c r="C90" s="154">
        <v>0.0</v>
      </c>
      <c r="D90" s="154">
        <v>0.0</v>
      </c>
      <c r="E90" s="154">
        <v>0.0</v>
      </c>
      <c r="F90" s="154">
        <v>37.0</v>
      </c>
      <c r="G90" s="154">
        <v>58.0</v>
      </c>
      <c r="H90" s="154">
        <f t="shared" si="466"/>
        <v>95</v>
      </c>
      <c r="I90" s="154">
        <v>140.0</v>
      </c>
      <c r="J90" s="154">
        <v>138.0</v>
      </c>
      <c r="K90" s="154">
        <v>155.0</v>
      </c>
      <c r="L90" s="156">
        <f t="shared" si="467"/>
        <v>433</v>
      </c>
      <c r="M90" s="154">
        <v>178.0</v>
      </c>
      <c r="N90" s="154">
        <v>36.0</v>
      </c>
      <c r="O90" s="154">
        <v>0.0</v>
      </c>
      <c r="P90" s="156">
        <f t="shared" si="468"/>
        <v>214</v>
      </c>
      <c r="Q90" s="154">
        <v>180.0</v>
      </c>
      <c r="R90" s="154">
        <v>1177.0</v>
      </c>
      <c r="S90" s="154">
        <v>299.0</v>
      </c>
      <c r="T90" s="156">
        <f t="shared" si="469"/>
        <v>1656</v>
      </c>
      <c r="U90" s="154">
        <v>791.0</v>
      </c>
      <c r="V90" s="154">
        <v>606.0</v>
      </c>
      <c r="W90" s="154">
        <v>367.0</v>
      </c>
      <c r="X90" s="156">
        <f t="shared" si="470"/>
        <v>1764</v>
      </c>
      <c r="Y90" s="156">
        <f t="shared" si="471"/>
        <v>4067</v>
      </c>
      <c r="Z90" s="154">
        <v>271.0</v>
      </c>
      <c r="AA90" s="154">
        <v>183.0</v>
      </c>
      <c r="AB90" s="154">
        <v>533.0</v>
      </c>
      <c r="AC90" s="156">
        <f t="shared" si="472"/>
        <v>987</v>
      </c>
      <c r="AD90" s="154">
        <v>90.0</v>
      </c>
      <c r="AE90" s="154">
        <v>219.0</v>
      </c>
      <c r="AF90" s="154">
        <v>1581.0</v>
      </c>
      <c r="AG90" s="156">
        <f t="shared" si="473"/>
        <v>1890</v>
      </c>
      <c r="AH90" s="154">
        <v>1622.0</v>
      </c>
      <c r="AI90" s="154">
        <v>1551.0</v>
      </c>
      <c r="AJ90" s="154">
        <v>428.0</v>
      </c>
      <c r="AK90" s="156">
        <f t="shared" si="474"/>
        <v>3601</v>
      </c>
      <c r="AL90" s="154">
        <v>213.0</v>
      </c>
      <c r="AM90" s="154">
        <v>88.0</v>
      </c>
      <c r="AN90" s="154">
        <v>1040.0</v>
      </c>
      <c r="AO90" s="156">
        <f t="shared" si="475"/>
        <v>1341</v>
      </c>
      <c r="AP90" s="156">
        <f t="shared" si="476"/>
        <v>7819</v>
      </c>
      <c r="AQ90" s="154">
        <v>435.0</v>
      </c>
      <c r="AR90" s="154">
        <v>321.0</v>
      </c>
      <c r="AS90" s="154">
        <v>162.0</v>
      </c>
      <c r="AT90" s="154">
        <f t="shared" si="477"/>
        <v>918</v>
      </c>
      <c r="AU90" s="154">
        <v>410.0</v>
      </c>
      <c r="AV90" s="154">
        <v>365.0</v>
      </c>
      <c r="AW90" s="154">
        <v>417.0</v>
      </c>
      <c r="AX90" s="154">
        <f t="shared" si="478"/>
        <v>1192</v>
      </c>
      <c r="AY90" s="154">
        <v>1524.0</v>
      </c>
      <c r="AZ90" s="154">
        <v>342.0</v>
      </c>
      <c r="BA90" s="154">
        <v>237.0</v>
      </c>
      <c r="BB90" s="154">
        <f t="shared" si="479"/>
        <v>2103</v>
      </c>
      <c r="BC90" s="154">
        <v>276.0</v>
      </c>
      <c r="BD90" s="154">
        <v>344.0</v>
      </c>
      <c r="BE90" s="154">
        <v>177.0</v>
      </c>
      <c r="BF90" s="154">
        <f t="shared" si="480"/>
        <v>797</v>
      </c>
      <c r="BG90" s="154">
        <f t="shared" si="481"/>
        <v>5010</v>
      </c>
      <c r="BH90" s="154">
        <v>787.0</v>
      </c>
      <c r="BI90" s="154">
        <v>2702.0</v>
      </c>
      <c r="BJ90" s="154">
        <v>1954.0</v>
      </c>
      <c r="BK90" s="154">
        <f t="shared" si="482"/>
        <v>5443</v>
      </c>
      <c r="BL90" s="154">
        <v>1497.0</v>
      </c>
      <c r="BM90" s="154">
        <v>1697.0</v>
      </c>
      <c r="BN90" s="154">
        <v>1068.0</v>
      </c>
      <c r="BO90" s="154">
        <f t="shared" si="483"/>
        <v>4262</v>
      </c>
      <c r="BP90" s="154">
        <v>3786.0</v>
      </c>
      <c r="BQ90" s="154">
        <v>10436.0</v>
      </c>
      <c r="BR90" s="154">
        <v>11802.0</v>
      </c>
      <c r="BS90" s="154">
        <f t="shared" si="484"/>
        <v>26024</v>
      </c>
      <c r="BT90" s="154">
        <v>10925.0</v>
      </c>
      <c r="BU90" s="154">
        <v>3362.0</v>
      </c>
      <c r="BV90" s="154">
        <v>1790.0</v>
      </c>
      <c r="BW90" s="154">
        <f t="shared" si="485"/>
        <v>16077</v>
      </c>
      <c r="BX90" s="154">
        <f t="shared" si="486"/>
        <v>51806</v>
      </c>
      <c r="BY90" s="154">
        <v>1824.0</v>
      </c>
      <c r="BZ90" s="154">
        <v>1824.0</v>
      </c>
      <c r="CA90" s="154">
        <f t="shared" si="487"/>
        <v>0</v>
      </c>
      <c r="CB90" s="154">
        <v>1685.0</v>
      </c>
      <c r="CC90" s="154">
        <v>1685.0</v>
      </c>
      <c r="CD90" s="154">
        <f t="shared" si="488"/>
        <v>0</v>
      </c>
      <c r="CE90" s="154">
        <v>1.0</v>
      </c>
      <c r="CF90" s="154">
        <f>1597+478</f>
        <v>2075</v>
      </c>
      <c r="CG90" s="154">
        <f t="shared" si="489"/>
        <v>2074</v>
      </c>
      <c r="CH90" s="154">
        <f>SUM(BY90:CE90)</f>
        <v>7019</v>
      </c>
      <c r="CI90" s="154">
        <v>1783.0</v>
      </c>
      <c r="CJ90" s="154">
        <f>1596+205</f>
        <v>1801</v>
      </c>
      <c r="CK90" s="154">
        <f t="shared" si="491"/>
        <v>18</v>
      </c>
      <c r="CL90" s="154">
        <f t="shared" ref="CL90:CM90" si="501">846+716</f>
        <v>1562</v>
      </c>
      <c r="CM90" s="154">
        <f t="shared" si="501"/>
        <v>1562</v>
      </c>
      <c r="CN90" s="154">
        <f t="shared" si="492"/>
        <v>0</v>
      </c>
      <c r="CO90" s="154">
        <f>1113+333</f>
        <v>1446</v>
      </c>
      <c r="CP90" s="154">
        <f>1123+367</f>
        <v>1490</v>
      </c>
      <c r="CQ90" s="154">
        <f t="shared" si="493"/>
        <v>44</v>
      </c>
      <c r="CR90" s="154">
        <f t="shared" si="494"/>
        <v>8172</v>
      </c>
      <c r="CS90" s="154">
        <f>989+1693</f>
        <v>2682</v>
      </c>
      <c r="CT90" s="154">
        <f t="shared" si="495"/>
        <v>2136</v>
      </c>
      <c r="CU90" s="154">
        <f t="shared" si="496"/>
        <v>4818</v>
      </c>
      <c r="CV90" s="154"/>
      <c r="CW90" s="154"/>
      <c r="CX90" s="154">
        <f t="shared" si="497"/>
        <v>9636</v>
      </c>
      <c r="CY90" s="154"/>
      <c r="CZ90" s="154"/>
      <c r="DA90" s="154"/>
      <c r="DB90" s="154">
        <f t="shared" si="498"/>
        <v>0</v>
      </c>
      <c r="DC90" s="154">
        <f t="shared" si="499"/>
        <v>24827</v>
      </c>
      <c r="DD90" s="154">
        <f t="shared" si="500"/>
        <v>93859</v>
      </c>
      <c r="DE90" s="6"/>
      <c r="DF90" s="6"/>
      <c r="DG90" s="6"/>
      <c r="DH90" s="6"/>
      <c r="DI90" s="6"/>
      <c r="DJ90" s="6"/>
      <c r="DK90" s="6"/>
      <c r="DL90" s="6"/>
    </row>
    <row r="91" ht="15.75" customHeight="1">
      <c r="A91" s="167" t="s">
        <v>163</v>
      </c>
      <c r="B91" s="125"/>
      <c r="C91" s="154">
        <v>0.0</v>
      </c>
      <c r="D91" s="154">
        <v>0.0</v>
      </c>
      <c r="E91" s="154">
        <v>0.0</v>
      </c>
      <c r="F91" s="154">
        <v>1.0</v>
      </c>
      <c r="G91" s="154">
        <v>2.0</v>
      </c>
      <c r="H91" s="154">
        <f t="shared" si="466"/>
        <v>3</v>
      </c>
      <c r="I91" s="154">
        <v>2.0</v>
      </c>
      <c r="J91" s="154">
        <v>16.0</v>
      </c>
      <c r="K91" s="155">
        <v>34.0</v>
      </c>
      <c r="L91" s="156">
        <f t="shared" si="467"/>
        <v>52</v>
      </c>
      <c r="M91" s="154">
        <v>38.0</v>
      </c>
      <c r="N91" s="154">
        <v>3.0</v>
      </c>
      <c r="O91" s="154">
        <v>0.0</v>
      </c>
      <c r="P91" s="156">
        <f t="shared" si="468"/>
        <v>41</v>
      </c>
      <c r="Q91" s="154">
        <v>13.0</v>
      </c>
      <c r="R91" s="154">
        <v>113.0</v>
      </c>
      <c r="S91" s="154">
        <v>15.0</v>
      </c>
      <c r="T91" s="156">
        <f t="shared" si="469"/>
        <v>141</v>
      </c>
      <c r="U91" s="154">
        <v>21.0</v>
      </c>
      <c r="V91" s="179">
        <v>10.0</v>
      </c>
      <c r="W91" s="154">
        <v>54.0</v>
      </c>
      <c r="X91" s="156">
        <f t="shared" si="470"/>
        <v>85</v>
      </c>
      <c r="Y91" s="156">
        <f t="shared" si="471"/>
        <v>319</v>
      </c>
      <c r="Z91" s="154">
        <v>6.0</v>
      </c>
      <c r="AA91" s="154">
        <v>8.0</v>
      </c>
      <c r="AB91" s="154">
        <v>2.0</v>
      </c>
      <c r="AC91" s="156">
        <f t="shared" si="472"/>
        <v>16</v>
      </c>
      <c r="AD91" s="154">
        <v>10.0</v>
      </c>
      <c r="AE91" s="154">
        <v>120.0</v>
      </c>
      <c r="AF91" s="154">
        <v>72.0</v>
      </c>
      <c r="AG91" s="156">
        <f t="shared" si="473"/>
        <v>202</v>
      </c>
      <c r="AH91" s="154">
        <v>36.0</v>
      </c>
      <c r="AI91" s="154">
        <v>423.0</v>
      </c>
      <c r="AJ91" s="154">
        <v>41.0</v>
      </c>
      <c r="AK91" s="156">
        <f t="shared" si="474"/>
        <v>500</v>
      </c>
      <c r="AL91" s="154">
        <v>3.0</v>
      </c>
      <c r="AM91" s="154">
        <v>0.0</v>
      </c>
      <c r="AN91" s="154">
        <v>29.0</v>
      </c>
      <c r="AO91" s="156">
        <f t="shared" si="475"/>
        <v>32</v>
      </c>
      <c r="AP91" s="156">
        <f t="shared" si="476"/>
        <v>750</v>
      </c>
      <c r="AQ91" s="154">
        <v>33.0</v>
      </c>
      <c r="AR91" s="154">
        <v>29.0</v>
      </c>
      <c r="AS91" s="154">
        <v>94.0</v>
      </c>
      <c r="AT91" s="154">
        <f t="shared" si="477"/>
        <v>156</v>
      </c>
      <c r="AU91" s="154">
        <v>210.0</v>
      </c>
      <c r="AV91" s="154">
        <v>299.0</v>
      </c>
      <c r="AW91" s="154">
        <v>36.0</v>
      </c>
      <c r="AX91" s="154">
        <f t="shared" si="478"/>
        <v>545</v>
      </c>
      <c r="AY91" s="154">
        <v>151.0</v>
      </c>
      <c r="AZ91" s="154">
        <v>200.0</v>
      </c>
      <c r="BA91" s="154">
        <v>78.0</v>
      </c>
      <c r="BB91" s="154">
        <f t="shared" si="479"/>
        <v>429</v>
      </c>
      <c r="BC91" s="154">
        <v>90.0</v>
      </c>
      <c r="BD91" s="154">
        <v>54.0</v>
      </c>
      <c r="BE91" s="154">
        <v>120.0</v>
      </c>
      <c r="BF91" s="154">
        <f t="shared" si="480"/>
        <v>264</v>
      </c>
      <c r="BG91" s="154">
        <f t="shared" si="481"/>
        <v>1394</v>
      </c>
      <c r="BH91" s="154">
        <v>546.0</v>
      </c>
      <c r="BI91" s="154">
        <v>995.0</v>
      </c>
      <c r="BJ91" s="154">
        <v>190.0</v>
      </c>
      <c r="BK91" s="154">
        <f t="shared" si="482"/>
        <v>1731</v>
      </c>
      <c r="BL91" s="154">
        <v>281.0</v>
      </c>
      <c r="BM91" s="154">
        <v>955.0</v>
      </c>
      <c r="BN91" s="154">
        <v>99.0</v>
      </c>
      <c r="BO91" s="154">
        <f t="shared" si="483"/>
        <v>1335</v>
      </c>
      <c r="BP91" s="154">
        <v>488.0</v>
      </c>
      <c r="BQ91" s="154">
        <v>336.0</v>
      </c>
      <c r="BR91" s="154">
        <v>4651.0</v>
      </c>
      <c r="BS91" s="154">
        <f t="shared" si="484"/>
        <v>5475</v>
      </c>
      <c r="BT91" s="154">
        <v>2640.0</v>
      </c>
      <c r="BU91" s="154">
        <v>3984.0</v>
      </c>
      <c r="BV91" s="154">
        <v>3349.0</v>
      </c>
      <c r="BW91" s="154">
        <f t="shared" si="485"/>
        <v>9973</v>
      </c>
      <c r="BX91" s="154">
        <f t="shared" si="486"/>
        <v>18514</v>
      </c>
      <c r="BY91" s="154">
        <v>397.0</v>
      </c>
      <c r="BZ91" s="154">
        <v>397.0</v>
      </c>
      <c r="CA91" s="154">
        <f t="shared" si="487"/>
        <v>0</v>
      </c>
      <c r="CB91" s="154">
        <v>884.0</v>
      </c>
      <c r="CC91" s="154">
        <v>884.0</v>
      </c>
      <c r="CD91" s="154">
        <f t="shared" si="488"/>
        <v>0</v>
      </c>
      <c r="CE91" s="125"/>
      <c r="CF91" s="125">
        <v>896.0</v>
      </c>
      <c r="CG91" s="154">
        <f t="shared" si="489"/>
        <v>896</v>
      </c>
      <c r="CH91" s="154">
        <f t="shared" ref="CH91:CH92" si="502">SUM(BY91:CF91)</f>
        <v>3458</v>
      </c>
      <c r="CI91" s="154">
        <v>1194.0</v>
      </c>
      <c r="CJ91" s="154">
        <f>1201</f>
        <v>1201</v>
      </c>
      <c r="CK91" s="154">
        <f t="shared" si="491"/>
        <v>7</v>
      </c>
      <c r="CL91" s="154">
        <v>1767.0</v>
      </c>
      <c r="CM91" s="154">
        <v>1767.0</v>
      </c>
      <c r="CN91" s="154">
        <f t="shared" si="492"/>
        <v>0</v>
      </c>
      <c r="CO91" s="155">
        <v>1278.0</v>
      </c>
      <c r="CP91" s="155">
        <v>1283.0</v>
      </c>
      <c r="CQ91" s="154">
        <f t="shared" si="493"/>
        <v>5</v>
      </c>
      <c r="CR91" s="154">
        <f t="shared" si="494"/>
        <v>7214</v>
      </c>
      <c r="CS91" s="154">
        <v>132.0</v>
      </c>
      <c r="CT91" s="154">
        <f t="shared" si="495"/>
        <v>908</v>
      </c>
      <c r="CU91" s="154">
        <f t="shared" si="496"/>
        <v>1040</v>
      </c>
      <c r="CV91" s="154"/>
      <c r="CW91" s="155"/>
      <c r="CX91" s="154">
        <f t="shared" si="497"/>
        <v>2080</v>
      </c>
      <c r="CY91" s="154"/>
      <c r="CZ91" s="154"/>
      <c r="DA91" s="155"/>
      <c r="DB91" s="154">
        <f t="shared" si="498"/>
        <v>0</v>
      </c>
      <c r="DC91" s="154">
        <f t="shared" si="499"/>
        <v>12752</v>
      </c>
      <c r="DD91" s="154">
        <f t="shared" si="500"/>
        <v>33732</v>
      </c>
      <c r="DE91" s="6"/>
      <c r="DF91" s="6"/>
      <c r="DG91" s="6"/>
      <c r="DH91" s="6"/>
      <c r="DI91" s="6"/>
      <c r="DJ91" s="6"/>
      <c r="DK91" s="6"/>
      <c r="DL91" s="6"/>
    </row>
    <row r="92" ht="15.75" customHeight="1">
      <c r="A92" s="167" t="s">
        <v>164</v>
      </c>
      <c r="B92" s="154">
        <v>2.0</v>
      </c>
      <c r="C92" s="154">
        <v>0.0</v>
      </c>
      <c r="D92" s="154">
        <v>0.0</v>
      </c>
      <c r="E92" s="154">
        <v>1.0</v>
      </c>
      <c r="F92" s="154">
        <v>13.0</v>
      </c>
      <c r="G92" s="154">
        <v>30.0</v>
      </c>
      <c r="H92" s="154">
        <f t="shared" si="466"/>
        <v>44</v>
      </c>
      <c r="I92" s="154">
        <v>31.0</v>
      </c>
      <c r="J92" s="154">
        <v>158.0</v>
      </c>
      <c r="K92" s="155">
        <v>106.0</v>
      </c>
      <c r="L92" s="156">
        <f t="shared" si="467"/>
        <v>295</v>
      </c>
      <c r="M92" s="154">
        <v>73.0</v>
      </c>
      <c r="N92" s="154">
        <v>15.0</v>
      </c>
      <c r="O92" s="154">
        <v>0.0</v>
      </c>
      <c r="P92" s="156">
        <f t="shared" si="468"/>
        <v>88</v>
      </c>
      <c r="Q92" s="154">
        <v>41.0</v>
      </c>
      <c r="R92" s="154">
        <v>140.0</v>
      </c>
      <c r="S92" s="154">
        <v>296.0</v>
      </c>
      <c r="T92" s="156">
        <f t="shared" si="469"/>
        <v>477</v>
      </c>
      <c r="U92" s="154">
        <v>128.0</v>
      </c>
      <c r="V92" s="154">
        <v>247.0</v>
      </c>
      <c r="W92" s="154">
        <v>75.0</v>
      </c>
      <c r="X92" s="156">
        <f t="shared" si="470"/>
        <v>450</v>
      </c>
      <c r="Y92" s="156">
        <f t="shared" si="471"/>
        <v>1310</v>
      </c>
      <c r="Z92" s="154">
        <v>12.0</v>
      </c>
      <c r="AA92" s="154">
        <v>16.0</v>
      </c>
      <c r="AB92" s="154">
        <v>260.0</v>
      </c>
      <c r="AC92" s="156">
        <f t="shared" si="472"/>
        <v>288</v>
      </c>
      <c r="AD92" s="154">
        <v>25.0</v>
      </c>
      <c r="AE92" s="154">
        <v>334.0</v>
      </c>
      <c r="AF92" s="154">
        <v>400.0</v>
      </c>
      <c r="AG92" s="156">
        <f t="shared" si="473"/>
        <v>759</v>
      </c>
      <c r="AH92" s="154">
        <v>85.0</v>
      </c>
      <c r="AI92" s="154">
        <v>172.0</v>
      </c>
      <c r="AJ92" s="154">
        <v>271.0</v>
      </c>
      <c r="AK92" s="156">
        <f t="shared" si="474"/>
        <v>528</v>
      </c>
      <c r="AL92" s="154">
        <v>277.0</v>
      </c>
      <c r="AM92" s="154">
        <v>58.0</v>
      </c>
      <c r="AN92" s="154">
        <v>478.0</v>
      </c>
      <c r="AO92" s="156">
        <f t="shared" si="475"/>
        <v>813</v>
      </c>
      <c r="AP92" s="156">
        <f t="shared" si="476"/>
        <v>2388</v>
      </c>
      <c r="AQ92" s="154">
        <v>100.0</v>
      </c>
      <c r="AR92" s="154">
        <v>428.0</v>
      </c>
      <c r="AS92" s="154">
        <v>239.0</v>
      </c>
      <c r="AT92" s="154">
        <f t="shared" si="477"/>
        <v>767</v>
      </c>
      <c r="AU92" s="154">
        <v>441.0</v>
      </c>
      <c r="AV92" s="154">
        <v>698.0</v>
      </c>
      <c r="AW92" s="154">
        <v>57.0</v>
      </c>
      <c r="AX92" s="154">
        <f t="shared" si="478"/>
        <v>1196</v>
      </c>
      <c r="AY92" s="154">
        <v>238.0</v>
      </c>
      <c r="AZ92" s="154">
        <v>499.0</v>
      </c>
      <c r="BA92" s="154">
        <v>548.0</v>
      </c>
      <c r="BB92" s="154">
        <f t="shared" si="479"/>
        <v>1285</v>
      </c>
      <c r="BC92" s="154">
        <v>367.0</v>
      </c>
      <c r="BD92" s="154">
        <v>309.0</v>
      </c>
      <c r="BE92" s="154">
        <v>534.0</v>
      </c>
      <c r="BF92" s="154">
        <f t="shared" si="480"/>
        <v>1210</v>
      </c>
      <c r="BG92" s="154">
        <f t="shared" si="481"/>
        <v>4458</v>
      </c>
      <c r="BH92" s="154">
        <v>329.0</v>
      </c>
      <c r="BI92" s="154">
        <v>653.0</v>
      </c>
      <c r="BJ92" s="154">
        <v>222.0</v>
      </c>
      <c r="BK92" s="154">
        <f t="shared" si="482"/>
        <v>1204</v>
      </c>
      <c r="BL92" s="154">
        <v>535.0</v>
      </c>
      <c r="BM92" s="154">
        <v>602.0</v>
      </c>
      <c r="BN92" s="154">
        <v>624.0</v>
      </c>
      <c r="BO92" s="154">
        <f t="shared" si="483"/>
        <v>1761</v>
      </c>
      <c r="BP92" s="154">
        <v>1055.0</v>
      </c>
      <c r="BQ92" s="154">
        <v>2356.0</v>
      </c>
      <c r="BR92" s="154">
        <v>2024.0</v>
      </c>
      <c r="BS92" s="154">
        <f t="shared" si="484"/>
        <v>5435</v>
      </c>
      <c r="BT92" s="154">
        <v>3211.0</v>
      </c>
      <c r="BU92" s="154">
        <v>1252.0</v>
      </c>
      <c r="BV92" s="154">
        <v>1377.0</v>
      </c>
      <c r="BW92" s="154">
        <f t="shared" si="485"/>
        <v>5840</v>
      </c>
      <c r="BX92" s="154">
        <f t="shared" si="486"/>
        <v>14240</v>
      </c>
      <c r="BY92" s="154">
        <v>3637.0</v>
      </c>
      <c r="BZ92" s="154">
        <v>3637.0</v>
      </c>
      <c r="CA92" s="154">
        <f t="shared" si="487"/>
        <v>0</v>
      </c>
      <c r="CB92" s="154">
        <v>3238.0</v>
      </c>
      <c r="CC92" s="154">
        <v>3238.0</v>
      </c>
      <c r="CD92" s="154">
        <f t="shared" si="488"/>
        <v>0</v>
      </c>
      <c r="CE92" s="125"/>
      <c r="CF92" s="125">
        <v>3322.0</v>
      </c>
      <c r="CG92" s="154">
        <f t="shared" si="489"/>
        <v>3322</v>
      </c>
      <c r="CH92" s="154">
        <f t="shared" si="502"/>
        <v>17072</v>
      </c>
      <c r="CI92" s="154">
        <v>3639.0</v>
      </c>
      <c r="CJ92" s="154">
        <v>3656.0</v>
      </c>
      <c r="CK92" s="154">
        <f t="shared" si="491"/>
        <v>17</v>
      </c>
      <c r="CL92" s="154">
        <v>2627.0</v>
      </c>
      <c r="CM92" s="154">
        <v>2627.0</v>
      </c>
      <c r="CN92" s="154">
        <f t="shared" si="492"/>
        <v>0</v>
      </c>
      <c r="CO92" s="155">
        <v>2814.0</v>
      </c>
      <c r="CP92" s="155">
        <v>2835.0</v>
      </c>
      <c r="CQ92" s="154">
        <f t="shared" si="493"/>
        <v>21</v>
      </c>
      <c r="CR92" s="154">
        <f t="shared" si="494"/>
        <v>15380</v>
      </c>
      <c r="CS92" s="154">
        <v>3219.0</v>
      </c>
      <c r="CT92" s="154">
        <f t="shared" si="495"/>
        <v>3360</v>
      </c>
      <c r="CU92" s="154">
        <f t="shared" si="496"/>
        <v>6579</v>
      </c>
      <c r="CV92" s="154"/>
      <c r="CW92" s="155"/>
      <c r="CX92" s="154">
        <f t="shared" si="497"/>
        <v>13158</v>
      </c>
      <c r="CY92" s="154"/>
      <c r="CZ92" s="154"/>
      <c r="DA92" s="155"/>
      <c r="DB92" s="154">
        <f t="shared" si="498"/>
        <v>0</v>
      </c>
      <c r="DC92" s="154">
        <f t="shared" si="499"/>
        <v>45610</v>
      </c>
      <c r="DD92" s="154">
        <f t="shared" si="500"/>
        <v>68052</v>
      </c>
      <c r="DE92" s="6"/>
      <c r="DF92" s="6"/>
      <c r="DG92" s="6"/>
      <c r="DH92" s="6"/>
      <c r="DI92" s="6"/>
      <c r="DJ92" s="6"/>
      <c r="DK92" s="6"/>
      <c r="DL92" s="6"/>
    </row>
    <row r="93" ht="15.75" customHeight="1">
      <c r="A93" s="137" t="s">
        <v>165</v>
      </c>
      <c r="B93" s="141">
        <f t="shared" ref="B93:DD93" si="503">SUM(B94:B98)</f>
        <v>1726</v>
      </c>
      <c r="C93" s="141">
        <f t="shared" si="503"/>
        <v>0</v>
      </c>
      <c r="D93" s="141">
        <f t="shared" si="503"/>
        <v>0</v>
      </c>
      <c r="E93" s="141">
        <f t="shared" si="503"/>
        <v>0</v>
      </c>
      <c r="F93" s="141">
        <f t="shared" si="503"/>
        <v>1</v>
      </c>
      <c r="G93" s="141">
        <f t="shared" si="503"/>
        <v>153</v>
      </c>
      <c r="H93" s="141">
        <f t="shared" si="503"/>
        <v>154</v>
      </c>
      <c r="I93" s="141">
        <f t="shared" si="503"/>
        <v>275</v>
      </c>
      <c r="J93" s="141">
        <f t="shared" si="503"/>
        <v>254</v>
      </c>
      <c r="K93" s="141">
        <f t="shared" si="503"/>
        <v>242</v>
      </c>
      <c r="L93" s="141">
        <f t="shared" si="503"/>
        <v>771</v>
      </c>
      <c r="M93" s="141">
        <f t="shared" si="503"/>
        <v>163</v>
      </c>
      <c r="N93" s="141">
        <f t="shared" si="503"/>
        <v>41</v>
      </c>
      <c r="O93" s="141">
        <f t="shared" si="503"/>
        <v>0</v>
      </c>
      <c r="P93" s="141">
        <f t="shared" si="503"/>
        <v>204</v>
      </c>
      <c r="Q93" s="141">
        <f t="shared" si="503"/>
        <v>35</v>
      </c>
      <c r="R93" s="141">
        <f t="shared" si="503"/>
        <v>176</v>
      </c>
      <c r="S93" s="141">
        <f t="shared" si="503"/>
        <v>278</v>
      </c>
      <c r="T93" s="141">
        <f t="shared" si="503"/>
        <v>489</v>
      </c>
      <c r="U93" s="141">
        <f t="shared" si="503"/>
        <v>170</v>
      </c>
      <c r="V93" s="141">
        <f t="shared" si="503"/>
        <v>92</v>
      </c>
      <c r="W93" s="141">
        <f t="shared" si="503"/>
        <v>35</v>
      </c>
      <c r="X93" s="141">
        <f t="shared" si="503"/>
        <v>297</v>
      </c>
      <c r="Y93" s="141">
        <f t="shared" si="503"/>
        <v>1761</v>
      </c>
      <c r="Z93" s="141">
        <f t="shared" si="503"/>
        <v>111</v>
      </c>
      <c r="AA93" s="141">
        <f t="shared" si="503"/>
        <v>27</v>
      </c>
      <c r="AB93" s="141">
        <f t="shared" si="503"/>
        <v>87</v>
      </c>
      <c r="AC93" s="141">
        <f t="shared" si="503"/>
        <v>225</v>
      </c>
      <c r="AD93" s="141">
        <f t="shared" si="503"/>
        <v>390</v>
      </c>
      <c r="AE93" s="141">
        <f t="shared" si="503"/>
        <v>1324</v>
      </c>
      <c r="AF93" s="141">
        <f t="shared" si="503"/>
        <v>2553</v>
      </c>
      <c r="AG93" s="142">
        <f t="shared" si="503"/>
        <v>4267</v>
      </c>
      <c r="AH93" s="141">
        <f t="shared" si="503"/>
        <v>1681</v>
      </c>
      <c r="AI93" s="141">
        <f t="shared" si="503"/>
        <v>765</v>
      </c>
      <c r="AJ93" s="141">
        <f t="shared" si="503"/>
        <v>3991</v>
      </c>
      <c r="AK93" s="142">
        <f t="shared" si="503"/>
        <v>6437</v>
      </c>
      <c r="AL93" s="141">
        <f t="shared" si="503"/>
        <v>4686</v>
      </c>
      <c r="AM93" s="141">
        <f t="shared" si="503"/>
        <v>4993</v>
      </c>
      <c r="AN93" s="141">
        <f t="shared" si="503"/>
        <v>525</v>
      </c>
      <c r="AO93" s="142">
        <f t="shared" si="503"/>
        <v>10204</v>
      </c>
      <c r="AP93" s="142">
        <f t="shared" si="503"/>
        <v>21133</v>
      </c>
      <c r="AQ93" s="142">
        <f t="shared" si="503"/>
        <v>1271</v>
      </c>
      <c r="AR93" s="142">
        <f t="shared" si="503"/>
        <v>3685</v>
      </c>
      <c r="AS93" s="142">
        <f t="shared" si="503"/>
        <v>2439</v>
      </c>
      <c r="AT93" s="142">
        <f t="shared" si="503"/>
        <v>7395</v>
      </c>
      <c r="AU93" s="142">
        <f t="shared" si="503"/>
        <v>2281</v>
      </c>
      <c r="AV93" s="142">
        <f t="shared" si="503"/>
        <v>2756</v>
      </c>
      <c r="AW93" s="142">
        <f t="shared" si="503"/>
        <v>4182</v>
      </c>
      <c r="AX93" s="142">
        <f t="shared" si="503"/>
        <v>9219</v>
      </c>
      <c r="AY93" s="142">
        <f t="shared" si="503"/>
        <v>12873</v>
      </c>
      <c r="AZ93" s="142">
        <f t="shared" si="503"/>
        <v>2503</v>
      </c>
      <c r="BA93" s="142">
        <f t="shared" si="503"/>
        <v>1429</v>
      </c>
      <c r="BB93" s="142">
        <f t="shared" si="503"/>
        <v>16805</v>
      </c>
      <c r="BC93" s="142">
        <f t="shared" si="503"/>
        <v>1169</v>
      </c>
      <c r="BD93" s="142">
        <f t="shared" si="503"/>
        <v>2028</v>
      </c>
      <c r="BE93" s="142">
        <f t="shared" si="503"/>
        <v>1591</v>
      </c>
      <c r="BF93" s="142">
        <f t="shared" si="503"/>
        <v>4788</v>
      </c>
      <c r="BG93" s="142">
        <f t="shared" si="503"/>
        <v>38207</v>
      </c>
      <c r="BH93" s="142">
        <f t="shared" si="503"/>
        <v>4145</v>
      </c>
      <c r="BI93" s="142">
        <f t="shared" si="503"/>
        <v>10947</v>
      </c>
      <c r="BJ93" s="142">
        <f t="shared" si="503"/>
        <v>2700</v>
      </c>
      <c r="BK93" s="142">
        <f t="shared" si="503"/>
        <v>17792</v>
      </c>
      <c r="BL93" s="142">
        <f t="shared" si="503"/>
        <v>14251</v>
      </c>
      <c r="BM93" s="142">
        <f t="shared" si="503"/>
        <v>2815</v>
      </c>
      <c r="BN93" s="142">
        <f t="shared" si="503"/>
        <v>1805</v>
      </c>
      <c r="BO93" s="142">
        <f t="shared" si="503"/>
        <v>18871</v>
      </c>
      <c r="BP93" s="142">
        <f t="shared" si="503"/>
        <v>4865</v>
      </c>
      <c r="BQ93" s="142">
        <f t="shared" si="503"/>
        <v>2848</v>
      </c>
      <c r="BR93" s="142">
        <f t="shared" si="503"/>
        <v>3175</v>
      </c>
      <c r="BS93" s="142">
        <f t="shared" si="503"/>
        <v>10888</v>
      </c>
      <c r="BT93" s="142">
        <f t="shared" si="503"/>
        <v>5245</v>
      </c>
      <c r="BU93" s="142">
        <f t="shared" si="503"/>
        <v>1841</v>
      </c>
      <c r="BV93" s="142">
        <f t="shared" si="503"/>
        <v>491</v>
      </c>
      <c r="BW93" s="142">
        <f t="shared" si="503"/>
        <v>7577</v>
      </c>
      <c r="BX93" s="142">
        <f t="shared" si="503"/>
        <v>55128</v>
      </c>
      <c r="BY93" s="141">
        <f t="shared" si="503"/>
        <v>4234</v>
      </c>
      <c r="BZ93" s="141">
        <f t="shared" si="503"/>
        <v>4204</v>
      </c>
      <c r="CA93" s="141">
        <f t="shared" si="503"/>
        <v>-30</v>
      </c>
      <c r="CB93" s="141">
        <f t="shared" si="503"/>
        <v>6697</v>
      </c>
      <c r="CC93" s="141">
        <f t="shared" si="503"/>
        <v>6645</v>
      </c>
      <c r="CD93" s="141">
        <f t="shared" si="503"/>
        <v>-52</v>
      </c>
      <c r="CE93" s="141">
        <f t="shared" si="503"/>
        <v>185</v>
      </c>
      <c r="CF93" s="141">
        <f t="shared" si="503"/>
        <v>11778</v>
      </c>
      <c r="CG93" s="141">
        <f t="shared" si="503"/>
        <v>11593</v>
      </c>
      <c r="CH93" s="141">
        <f t="shared" si="503"/>
        <v>31501</v>
      </c>
      <c r="CI93" s="141">
        <f t="shared" si="503"/>
        <v>2649</v>
      </c>
      <c r="CJ93" s="141">
        <f t="shared" si="503"/>
        <v>2653</v>
      </c>
      <c r="CK93" s="141">
        <f t="shared" si="503"/>
        <v>4</v>
      </c>
      <c r="CL93" s="141">
        <f t="shared" si="503"/>
        <v>2530</v>
      </c>
      <c r="CM93" s="141">
        <f t="shared" si="503"/>
        <v>2530</v>
      </c>
      <c r="CN93" s="141">
        <f t="shared" si="503"/>
        <v>0</v>
      </c>
      <c r="CO93" s="141">
        <f t="shared" si="503"/>
        <v>931</v>
      </c>
      <c r="CP93" s="141">
        <f t="shared" si="503"/>
        <v>934</v>
      </c>
      <c r="CQ93" s="141">
        <f t="shared" si="503"/>
        <v>3</v>
      </c>
      <c r="CR93" s="141">
        <f t="shared" si="503"/>
        <v>11297</v>
      </c>
      <c r="CS93" s="141">
        <f t="shared" si="503"/>
        <v>1376</v>
      </c>
      <c r="CT93" s="141">
        <f t="shared" si="503"/>
        <v>11518</v>
      </c>
      <c r="CU93" s="141">
        <f t="shared" si="503"/>
        <v>12894</v>
      </c>
      <c r="CV93" s="141">
        <f t="shared" si="503"/>
        <v>0</v>
      </c>
      <c r="CW93" s="141">
        <f t="shared" si="503"/>
        <v>0</v>
      </c>
      <c r="CX93" s="141">
        <f t="shared" si="503"/>
        <v>25788</v>
      </c>
      <c r="CY93" s="141">
        <f t="shared" si="503"/>
        <v>0</v>
      </c>
      <c r="CZ93" s="141">
        <f t="shared" si="503"/>
        <v>0</v>
      </c>
      <c r="DA93" s="141">
        <f t="shared" si="503"/>
        <v>0</v>
      </c>
      <c r="DB93" s="141">
        <f t="shared" si="503"/>
        <v>0</v>
      </c>
      <c r="DC93" s="141">
        <f t="shared" si="503"/>
        <v>68586</v>
      </c>
      <c r="DD93" s="141">
        <f t="shared" si="503"/>
        <v>186695</v>
      </c>
      <c r="DE93" s="6"/>
      <c r="DF93" s="24">
        <f>SUM(AK93,AO93,BG93,BX93,DC93)</f>
        <v>178562</v>
      </c>
      <c r="DG93" s="6"/>
      <c r="DH93" s="6"/>
      <c r="DI93" s="6"/>
      <c r="DJ93" s="6"/>
      <c r="DK93" s="6"/>
      <c r="DL93" s="6"/>
    </row>
    <row r="94" ht="15.75" customHeight="1">
      <c r="A94" s="167" t="s">
        <v>166</v>
      </c>
      <c r="B94" s="179">
        <v>1234.0</v>
      </c>
      <c r="C94" s="154">
        <v>0.0</v>
      </c>
      <c r="D94" s="154">
        <v>0.0</v>
      </c>
      <c r="E94" s="154">
        <v>0.0</v>
      </c>
      <c r="F94" s="154">
        <v>0.0</v>
      </c>
      <c r="G94" s="154">
        <v>6.0</v>
      </c>
      <c r="H94" s="154">
        <f t="shared" ref="H94:H98" si="504">SUM(C94:G94)</f>
        <v>6</v>
      </c>
      <c r="I94" s="154">
        <v>76.0</v>
      </c>
      <c r="J94" s="154">
        <v>82.0</v>
      </c>
      <c r="K94" s="155">
        <v>70.0</v>
      </c>
      <c r="L94" s="156">
        <f t="shared" ref="L94:L98" si="505">SUM(I94:K94)</f>
        <v>228</v>
      </c>
      <c r="M94" s="154">
        <v>61.0</v>
      </c>
      <c r="N94" s="154">
        <v>17.0</v>
      </c>
      <c r="O94" s="154">
        <v>0.0</v>
      </c>
      <c r="P94" s="156">
        <f t="shared" ref="P94:P98" si="506">SUM(M94:O94)</f>
        <v>78</v>
      </c>
      <c r="Q94" s="154">
        <v>29.0</v>
      </c>
      <c r="R94" s="154">
        <v>116.0</v>
      </c>
      <c r="S94" s="154">
        <v>121.0</v>
      </c>
      <c r="T94" s="156">
        <f t="shared" ref="T94:T98" si="507">SUM(Q94:S94)</f>
        <v>266</v>
      </c>
      <c r="U94" s="154">
        <v>61.0</v>
      </c>
      <c r="V94" s="154">
        <v>31.0</v>
      </c>
      <c r="W94" s="154">
        <v>19.0</v>
      </c>
      <c r="X94" s="156">
        <f t="shared" ref="X94:X98" si="508">SUM(U94:W94)</f>
        <v>111</v>
      </c>
      <c r="Y94" s="156">
        <f t="shared" ref="Y94:Y98" si="509">SUM(X94,T94,P94,L94)</f>
        <v>683</v>
      </c>
      <c r="Z94" s="154">
        <v>38.0</v>
      </c>
      <c r="AA94" s="154">
        <v>4.0</v>
      </c>
      <c r="AB94" s="155">
        <v>29.0</v>
      </c>
      <c r="AC94" s="156">
        <f t="shared" ref="AC94:AC98" si="510">SUM(Z94:AB94)</f>
        <v>71</v>
      </c>
      <c r="AD94" s="154">
        <v>164.0</v>
      </c>
      <c r="AE94" s="154">
        <v>231.0</v>
      </c>
      <c r="AF94" s="154">
        <v>387.0</v>
      </c>
      <c r="AG94" s="156">
        <f t="shared" ref="AG94:AG98" si="511">SUM(AD94:AF94)</f>
        <v>782</v>
      </c>
      <c r="AH94" s="154">
        <v>126.0</v>
      </c>
      <c r="AI94" s="154">
        <v>161.0</v>
      </c>
      <c r="AJ94" s="154">
        <v>1808.0</v>
      </c>
      <c r="AK94" s="156">
        <f t="shared" ref="AK94:AK98" si="512">SUM(AH94:AJ94)</f>
        <v>2095</v>
      </c>
      <c r="AL94" s="154">
        <v>1407.0</v>
      </c>
      <c r="AM94" s="154">
        <v>430.0</v>
      </c>
      <c r="AN94" s="154">
        <v>234.0</v>
      </c>
      <c r="AO94" s="156">
        <f t="shared" ref="AO94:AO98" si="513">SUM(AL94:AN94)</f>
        <v>2071</v>
      </c>
      <c r="AP94" s="156">
        <f t="shared" ref="AP94:AP98" si="514">SUM(AO94,AK94,AG94,AC94)</f>
        <v>5019</v>
      </c>
      <c r="AQ94" s="154">
        <v>822.0</v>
      </c>
      <c r="AR94" s="154">
        <v>1015.0</v>
      </c>
      <c r="AS94" s="154">
        <v>1221.0</v>
      </c>
      <c r="AT94" s="154">
        <f t="shared" ref="AT94:AT98" si="515">SUM(AQ94:AS94)</f>
        <v>3058</v>
      </c>
      <c r="AU94" s="154">
        <v>592.0</v>
      </c>
      <c r="AV94" s="154">
        <v>995.0</v>
      </c>
      <c r="AW94" s="154">
        <v>1982.0</v>
      </c>
      <c r="AX94" s="154">
        <f t="shared" ref="AX94:AX98" si="516">SUM(AU94:AW94)</f>
        <v>3569</v>
      </c>
      <c r="AY94" s="154">
        <v>5276.0</v>
      </c>
      <c r="AZ94" s="154">
        <v>950.0</v>
      </c>
      <c r="BA94" s="154">
        <v>459.0</v>
      </c>
      <c r="BB94" s="154">
        <f t="shared" ref="BB94:BB98" si="517">SUM(AY94:BA94)</f>
        <v>6685</v>
      </c>
      <c r="BC94" s="154">
        <v>398.0</v>
      </c>
      <c r="BD94" s="154">
        <v>666.0</v>
      </c>
      <c r="BE94" s="154">
        <v>446.0</v>
      </c>
      <c r="BF94" s="154">
        <f t="shared" ref="BF94:BF98" si="518">SUM(BC94:BE94)</f>
        <v>1510</v>
      </c>
      <c r="BG94" s="154">
        <f t="shared" ref="BG94:BG98" si="519">SUM(AT94,AX94,BB94,BF94)</f>
        <v>14822</v>
      </c>
      <c r="BH94" s="154">
        <v>1362.0</v>
      </c>
      <c r="BI94" s="154">
        <v>2261.0</v>
      </c>
      <c r="BJ94" s="154">
        <v>1114.0</v>
      </c>
      <c r="BK94" s="154">
        <f t="shared" ref="BK94:BK98" si="520">SUM(BH94:BJ94)</f>
        <v>4737</v>
      </c>
      <c r="BL94" s="154">
        <v>914.0</v>
      </c>
      <c r="BM94" s="154">
        <v>1411.0</v>
      </c>
      <c r="BN94" s="154">
        <v>856.0</v>
      </c>
      <c r="BO94" s="154">
        <f t="shared" ref="BO94:BO98" si="521">SUM(BL94:BN94)</f>
        <v>3181</v>
      </c>
      <c r="BP94" s="154">
        <v>2457.0</v>
      </c>
      <c r="BQ94" s="154">
        <v>1552.0</v>
      </c>
      <c r="BR94" s="154">
        <v>1682.0</v>
      </c>
      <c r="BS94" s="154">
        <f t="shared" ref="BS94:BS98" si="522">SUM(BP94:BR94)</f>
        <v>5691</v>
      </c>
      <c r="BT94" s="154">
        <v>2050.0</v>
      </c>
      <c r="BU94" s="154">
        <v>552.0</v>
      </c>
      <c r="BV94" s="154">
        <v>29.0</v>
      </c>
      <c r="BW94" s="154">
        <f t="shared" ref="BW94:BW98" si="523">SUM(BT94:BV94)</f>
        <v>2631</v>
      </c>
      <c r="BX94" s="154">
        <f t="shared" ref="BX94:BX98" si="524">SUM(BK94,BO94,BS94,BW94)</f>
        <v>16240</v>
      </c>
      <c r="BY94" s="154">
        <f>1094+30</f>
        <v>1124</v>
      </c>
      <c r="BZ94" s="154">
        <v>1094.0</v>
      </c>
      <c r="CA94" s="154">
        <f t="shared" ref="CA94:CA98" si="525">BZ94-BY94</f>
        <v>-30</v>
      </c>
      <c r="CB94" s="154">
        <f>1962+52</f>
        <v>2014</v>
      </c>
      <c r="CC94" s="154">
        <v>1962.0</v>
      </c>
      <c r="CD94" s="154">
        <f t="shared" ref="CD94:CD98" si="526">CC94-CB94</f>
        <v>-52</v>
      </c>
      <c r="CE94" s="154">
        <v>43.0</v>
      </c>
      <c r="CF94" s="154">
        <v>2362.0</v>
      </c>
      <c r="CG94" s="154">
        <f t="shared" ref="CG94:CG98" si="527">CF94-CE94</f>
        <v>2319</v>
      </c>
      <c r="CH94" s="154">
        <f t="shared" ref="CH94:CH95" si="528">SUM(BY94:CF94)</f>
        <v>8517</v>
      </c>
      <c r="CI94" s="154">
        <v>451.0</v>
      </c>
      <c r="CJ94" s="154">
        <v>453.0</v>
      </c>
      <c r="CK94" s="154">
        <f t="shared" ref="CK94:CK98" si="529">CJ94-CI94</f>
        <v>2</v>
      </c>
      <c r="CL94" s="154">
        <v>916.0</v>
      </c>
      <c r="CM94" s="154">
        <v>916.0</v>
      </c>
      <c r="CN94" s="154">
        <f t="shared" ref="CN94:CN98" si="530">CM94-CL94</f>
        <v>0</v>
      </c>
      <c r="CO94" s="155">
        <v>340.0</v>
      </c>
      <c r="CP94" s="155">
        <v>341.0</v>
      </c>
      <c r="CQ94" s="154">
        <f t="shared" ref="CQ94:CQ98" si="531">CP94-CO94</f>
        <v>1</v>
      </c>
      <c r="CR94" s="154">
        <f t="shared" ref="CR94:CR98" si="532">SUM(CI94:CO94)</f>
        <v>3078</v>
      </c>
      <c r="CS94" s="154">
        <v>300.0</v>
      </c>
      <c r="CT94" s="154">
        <f t="shared" ref="CT94:CT98" si="533">SUM(CA94,CD94,CG94,CK94,CN94,CQ94)</f>
        <v>2240</v>
      </c>
      <c r="CU94" s="154">
        <f t="shared" ref="CU94:CU98" si="534">CS94+CT94</f>
        <v>2540</v>
      </c>
      <c r="CV94" s="154"/>
      <c r="CW94" s="155"/>
      <c r="CX94" s="154">
        <f t="shared" ref="CX94:CX98" si="535">SUM(CS94:CW94)</f>
        <v>5080</v>
      </c>
      <c r="CY94" s="154"/>
      <c r="CZ94" s="154"/>
      <c r="DA94" s="155"/>
      <c r="DB94" s="154">
        <f t="shared" ref="DB94:DB98" si="536">SUM(CY94:DA94)</f>
        <v>0</v>
      </c>
      <c r="DC94" s="154">
        <f t="shared" ref="DC94:DC98" si="537">SUM(CH94,CR94,CX94,DB94)</f>
        <v>16675</v>
      </c>
      <c r="DD94" s="154">
        <f t="shared" ref="DD94:DD98" si="538">SUM(B94,H94,Y94,AP94,BG94,BX94,DC94)</f>
        <v>54679</v>
      </c>
      <c r="DE94" s="6"/>
      <c r="DF94" s="6"/>
      <c r="DG94" s="6"/>
      <c r="DH94" s="6"/>
      <c r="DI94" s="6"/>
      <c r="DJ94" s="6"/>
      <c r="DK94" s="6"/>
      <c r="DL94" s="6"/>
    </row>
    <row r="95" ht="15.75" customHeight="1">
      <c r="A95" s="167" t="s">
        <v>167</v>
      </c>
      <c r="B95" s="125">
        <v>0.0</v>
      </c>
      <c r="C95" s="154">
        <v>0.0</v>
      </c>
      <c r="D95" s="154">
        <v>0.0</v>
      </c>
      <c r="E95" s="154">
        <v>0.0</v>
      </c>
      <c r="F95" s="154">
        <v>1.0</v>
      </c>
      <c r="G95" s="154">
        <v>84.0</v>
      </c>
      <c r="H95" s="154">
        <f t="shared" si="504"/>
        <v>85</v>
      </c>
      <c r="I95" s="154">
        <v>36.0</v>
      </c>
      <c r="J95" s="154">
        <v>25.0</v>
      </c>
      <c r="K95" s="154">
        <v>38.0</v>
      </c>
      <c r="L95" s="156">
        <f t="shared" si="505"/>
        <v>99</v>
      </c>
      <c r="M95" s="154">
        <v>8.0</v>
      </c>
      <c r="N95" s="154">
        <v>2.0</v>
      </c>
      <c r="O95" s="154">
        <v>0.0</v>
      </c>
      <c r="P95" s="156">
        <f t="shared" si="506"/>
        <v>10</v>
      </c>
      <c r="Q95" s="154">
        <v>0.0</v>
      </c>
      <c r="R95" s="154">
        <v>20.0</v>
      </c>
      <c r="S95" s="154">
        <v>29.0</v>
      </c>
      <c r="T95" s="156">
        <f t="shared" si="507"/>
        <v>49</v>
      </c>
      <c r="U95" s="154">
        <v>26.0</v>
      </c>
      <c r="V95" s="154">
        <v>24.0</v>
      </c>
      <c r="W95" s="154">
        <v>2.0</v>
      </c>
      <c r="X95" s="156">
        <f t="shared" si="508"/>
        <v>52</v>
      </c>
      <c r="Y95" s="156">
        <f t="shared" si="509"/>
        <v>210</v>
      </c>
      <c r="Z95" s="154">
        <v>39.0</v>
      </c>
      <c r="AA95" s="154">
        <v>10.0</v>
      </c>
      <c r="AB95" s="154">
        <v>1.0</v>
      </c>
      <c r="AC95" s="156">
        <f t="shared" si="510"/>
        <v>50</v>
      </c>
      <c r="AD95" s="154">
        <v>30.0</v>
      </c>
      <c r="AE95" s="154">
        <v>110.0</v>
      </c>
      <c r="AF95" s="154">
        <v>63.0</v>
      </c>
      <c r="AG95" s="156">
        <f t="shared" si="511"/>
        <v>203</v>
      </c>
      <c r="AH95" s="154">
        <v>137.0</v>
      </c>
      <c r="AI95" s="154">
        <v>30.0</v>
      </c>
      <c r="AJ95" s="154">
        <v>22.0</v>
      </c>
      <c r="AK95" s="156">
        <f t="shared" si="512"/>
        <v>189</v>
      </c>
      <c r="AL95" s="154">
        <v>60.0</v>
      </c>
      <c r="AM95" s="154">
        <v>36.0</v>
      </c>
      <c r="AN95" s="154">
        <v>16.0</v>
      </c>
      <c r="AO95" s="156">
        <f t="shared" si="513"/>
        <v>112</v>
      </c>
      <c r="AP95" s="156">
        <f t="shared" si="514"/>
        <v>554</v>
      </c>
      <c r="AQ95" s="154">
        <v>9.0</v>
      </c>
      <c r="AR95" s="154">
        <v>379.0</v>
      </c>
      <c r="AS95" s="154">
        <v>102.0</v>
      </c>
      <c r="AT95" s="154">
        <f t="shared" si="515"/>
        <v>490</v>
      </c>
      <c r="AU95" s="154">
        <v>101.0</v>
      </c>
      <c r="AV95" s="154">
        <v>203.0</v>
      </c>
      <c r="AW95" s="154">
        <v>330.0</v>
      </c>
      <c r="AX95" s="154">
        <f t="shared" si="516"/>
        <v>634</v>
      </c>
      <c r="AY95" s="154">
        <v>1375.0</v>
      </c>
      <c r="AZ95" s="154">
        <v>270.0</v>
      </c>
      <c r="BA95" s="154">
        <v>249.0</v>
      </c>
      <c r="BB95" s="154">
        <f t="shared" si="517"/>
        <v>1894</v>
      </c>
      <c r="BC95" s="154">
        <v>201.0</v>
      </c>
      <c r="BD95" s="154">
        <v>482.0</v>
      </c>
      <c r="BE95" s="154">
        <v>338.0</v>
      </c>
      <c r="BF95" s="154">
        <f t="shared" si="518"/>
        <v>1021</v>
      </c>
      <c r="BG95" s="154">
        <f t="shared" si="519"/>
        <v>4039</v>
      </c>
      <c r="BH95" s="154">
        <v>885.0</v>
      </c>
      <c r="BI95" s="154">
        <v>579.0</v>
      </c>
      <c r="BJ95" s="154">
        <v>254.0</v>
      </c>
      <c r="BK95" s="154">
        <f t="shared" si="520"/>
        <v>1718</v>
      </c>
      <c r="BL95" s="154">
        <v>335.0</v>
      </c>
      <c r="BM95" s="154">
        <v>163.0</v>
      </c>
      <c r="BN95" s="154">
        <v>84.0</v>
      </c>
      <c r="BO95" s="154">
        <f t="shared" si="521"/>
        <v>582</v>
      </c>
      <c r="BP95" s="154">
        <v>640.0</v>
      </c>
      <c r="BQ95" s="154">
        <v>332.0</v>
      </c>
      <c r="BR95" s="154">
        <v>541.0</v>
      </c>
      <c r="BS95" s="154">
        <f t="shared" si="522"/>
        <v>1513</v>
      </c>
      <c r="BT95" s="154">
        <v>767.0</v>
      </c>
      <c r="BU95" s="154">
        <v>238.0</v>
      </c>
      <c r="BV95" s="154">
        <v>137.0</v>
      </c>
      <c r="BW95" s="154">
        <f t="shared" si="523"/>
        <v>1142</v>
      </c>
      <c r="BX95" s="154">
        <f t="shared" si="524"/>
        <v>4955</v>
      </c>
      <c r="BY95" s="154">
        <v>358.0</v>
      </c>
      <c r="BZ95" s="154">
        <v>358.0</v>
      </c>
      <c r="CA95" s="154">
        <f t="shared" si="525"/>
        <v>0</v>
      </c>
      <c r="CB95" s="154">
        <v>546.0</v>
      </c>
      <c r="CC95" s="154">
        <v>546.0</v>
      </c>
      <c r="CD95" s="154">
        <f t="shared" si="526"/>
        <v>0</v>
      </c>
      <c r="CE95" s="154">
        <v>13.0</v>
      </c>
      <c r="CF95" s="154">
        <v>881.0</v>
      </c>
      <c r="CG95" s="154">
        <f t="shared" si="527"/>
        <v>868</v>
      </c>
      <c r="CH95" s="154">
        <f t="shared" si="528"/>
        <v>2702</v>
      </c>
      <c r="CI95" s="154">
        <v>212.0</v>
      </c>
      <c r="CJ95" s="154">
        <v>212.0</v>
      </c>
      <c r="CK95" s="154">
        <f t="shared" si="529"/>
        <v>0</v>
      </c>
      <c r="CL95" s="154">
        <v>462.0</v>
      </c>
      <c r="CM95" s="154">
        <v>462.0</v>
      </c>
      <c r="CN95" s="154">
        <f t="shared" si="530"/>
        <v>0</v>
      </c>
      <c r="CO95" s="154">
        <v>195.0</v>
      </c>
      <c r="CP95" s="154">
        <v>195.0</v>
      </c>
      <c r="CQ95" s="154">
        <f t="shared" si="531"/>
        <v>0</v>
      </c>
      <c r="CR95" s="154">
        <f t="shared" si="532"/>
        <v>1543</v>
      </c>
      <c r="CS95" s="154">
        <v>87.0</v>
      </c>
      <c r="CT95" s="154">
        <f t="shared" si="533"/>
        <v>868</v>
      </c>
      <c r="CU95" s="154">
        <f t="shared" si="534"/>
        <v>955</v>
      </c>
      <c r="CV95" s="154"/>
      <c r="CW95" s="154"/>
      <c r="CX95" s="154">
        <f t="shared" si="535"/>
        <v>1910</v>
      </c>
      <c r="CY95" s="154"/>
      <c r="CZ95" s="154"/>
      <c r="DA95" s="154"/>
      <c r="DB95" s="154">
        <f t="shared" si="536"/>
        <v>0</v>
      </c>
      <c r="DC95" s="154">
        <f t="shared" si="537"/>
        <v>6155</v>
      </c>
      <c r="DD95" s="154">
        <f t="shared" si="538"/>
        <v>15998</v>
      </c>
      <c r="DE95" s="6"/>
      <c r="DF95" s="6"/>
      <c r="DG95" s="6"/>
      <c r="DH95" s="6"/>
      <c r="DI95" s="6"/>
      <c r="DJ95" s="6"/>
      <c r="DK95" s="6"/>
      <c r="DL95" s="6"/>
    </row>
    <row r="96" ht="15.75" customHeight="1">
      <c r="A96" s="169" t="s">
        <v>168</v>
      </c>
      <c r="B96" s="154">
        <v>22.0</v>
      </c>
      <c r="C96" s="154">
        <v>0.0</v>
      </c>
      <c r="D96" s="154">
        <v>0.0</v>
      </c>
      <c r="E96" s="154">
        <v>0.0</v>
      </c>
      <c r="F96" s="154">
        <v>0.0</v>
      </c>
      <c r="G96" s="154">
        <v>59.0</v>
      </c>
      <c r="H96" s="154">
        <f t="shared" si="504"/>
        <v>59</v>
      </c>
      <c r="I96" s="154">
        <v>41.0</v>
      </c>
      <c r="J96" s="154">
        <v>30.0</v>
      </c>
      <c r="K96" s="154">
        <v>52.0</v>
      </c>
      <c r="L96" s="156">
        <f t="shared" si="505"/>
        <v>123</v>
      </c>
      <c r="M96" s="154">
        <v>26.0</v>
      </c>
      <c r="N96" s="154">
        <v>5.0</v>
      </c>
      <c r="O96" s="154">
        <v>0.0</v>
      </c>
      <c r="P96" s="156">
        <f t="shared" si="506"/>
        <v>31</v>
      </c>
      <c r="Q96" s="154">
        <v>0.0</v>
      </c>
      <c r="R96" s="154">
        <v>8.0</v>
      </c>
      <c r="S96" s="154">
        <v>54.0</v>
      </c>
      <c r="T96" s="156">
        <f t="shared" si="507"/>
        <v>62</v>
      </c>
      <c r="U96" s="154">
        <v>33.0</v>
      </c>
      <c r="V96" s="154">
        <v>19.0</v>
      </c>
      <c r="W96" s="154">
        <v>8.0</v>
      </c>
      <c r="X96" s="156">
        <f t="shared" si="508"/>
        <v>60</v>
      </c>
      <c r="Y96" s="156">
        <f t="shared" si="509"/>
        <v>276</v>
      </c>
      <c r="Z96" s="154">
        <v>20.0</v>
      </c>
      <c r="AA96" s="154">
        <v>4.0</v>
      </c>
      <c r="AB96" s="154">
        <v>20.0</v>
      </c>
      <c r="AC96" s="156">
        <f t="shared" si="510"/>
        <v>44</v>
      </c>
      <c r="AD96" s="154">
        <v>82.0</v>
      </c>
      <c r="AE96" s="154">
        <v>487.0</v>
      </c>
      <c r="AF96" s="154">
        <v>1514.0</v>
      </c>
      <c r="AG96" s="156">
        <f t="shared" si="511"/>
        <v>2083</v>
      </c>
      <c r="AH96" s="154">
        <v>306.0</v>
      </c>
      <c r="AI96" s="154">
        <v>66.0</v>
      </c>
      <c r="AJ96" s="154">
        <v>31.0</v>
      </c>
      <c r="AK96" s="156">
        <f t="shared" si="512"/>
        <v>403</v>
      </c>
      <c r="AL96" s="154">
        <v>90.0</v>
      </c>
      <c r="AM96" s="154">
        <v>77.0</v>
      </c>
      <c r="AN96" s="154">
        <v>71.0</v>
      </c>
      <c r="AO96" s="156">
        <f t="shared" si="513"/>
        <v>238</v>
      </c>
      <c r="AP96" s="156">
        <f t="shared" si="514"/>
        <v>2768</v>
      </c>
      <c r="AQ96" s="154">
        <v>90.0</v>
      </c>
      <c r="AR96" s="154">
        <v>523.0</v>
      </c>
      <c r="AS96" s="154">
        <v>239.0</v>
      </c>
      <c r="AT96" s="154">
        <f t="shared" si="515"/>
        <v>852</v>
      </c>
      <c r="AU96" s="154">
        <v>54.0</v>
      </c>
      <c r="AV96" s="154">
        <v>348.0</v>
      </c>
      <c r="AW96" s="154">
        <v>556.0</v>
      </c>
      <c r="AX96" s="154">
        <f t="shared" si="516"/>
        <v>958</v>
      </c>
      <c r="AY96" s="154">
        <v>1615.0</v>
      </c>
      <c r="AZ96" s="154">
        <v>241.0</v>
      </c>
      <c r="BA96" s="154">
        <v>204.0</v>
      </c>
      <c r="BB96" s="154">
        <f t="shared" si="517"/>
        <v>2060</v>
      </c>
      <c r="BC96" s="154">
        <v>140.0</v>
      </c>
      <c r="BD96" s="154">
        <v>306.0</v>
      </c>
      <c r="BE96" s="154">
        <v>291.0</v>
      </c>
      <c r="BF96" s="154">
        <f t="shared" si="518"/>
        <v>737</v>
      </c>
      <c r="BG96" s="154">
        <f t="shared" si="519"/>
        <v>4607</v>
      </c>
      <c r="BH96" s="154">
        <v>546.0</v>
      </c>
      <c r="BI96" s="154">
        <v>797.0</v>
      </c>
      <c r="BJ96" s="154">
        <v>363.0</v>
      </c>
      <c r="BK96" s="154">
        <f t="shared" si="520"/>
        <v>1706</v>
      </c>
      <c r="BL96" s="154">
        <v>373.0</v>
      </c>
      <c r="BM96" s="154">
        <v>396.0</v>
      </c>
      <c r="BN96" s="154">
        <v>330.0</v>
      </c>
      <c r="BO96" s="154">
        <f t="shared" si="521"/>
        <v>1099</v>
      </c>
      <c r="BP96" s="154">
        <v>556.0</v>
      </c>
      <c r="BQ96" s="154">
        <v>367.0</v>
      </c>
      <c r="BR96" s="154">
        <v>482.0</v>
      </c>
      <c r="BS96" s="154">
        <f t="shared" si="522"/>
        <v>1405</v>
      </c>
      <c r="BT96" s="154">
        <v>906.0</v>
      </c>
      <c r="BU96" s="154">
        <v>356.0</v>
      </c>
      <c r="BV96" s="154">
        <v>127.0</v>
      </c>
      <c r="BW96" s="154">
        <f t="shared" si="523"/>
        <v>1389</v>
      </c>
      <c r="BX96" s="154">
        <f t="shared" si="524"/>
        <v>5599</v>
      </c>
      <c r="BY96" s="154">
        <v>734.0</v>
      </c>
      <c r="BZ96" s="154">
        <f>720+14</f>
        <v>734</v>
      </c>
      <c r="CA96" s="154">
        <f t="shared" si="525"/>
        <v>0</v>
      </c>
      <c r="CB96" s="154">
        <v>1641.0</v>
      </c>
      <c r="CC96" s="154">
        <f>1467+174</f>
        <v>1641</v>
      </c>
      <c r="CD96" s="154">
        <f t="shared" si="526"/>
        <v>0</v>
      </c>
      <c r="CE96" s="154">
        <v>14.0</v>
      </c>
      <c r="CF96" s="154">
        <f>2085+75</f>
        <v>2160</v>
      </c>
      <c r="CG96" s="154">
        <f t="shared" si="527"/>
        <v>2146</v>
      </c>
      <c r="CH96" s="154">
        <f>SUM(BY96:CE96)</f>
        <v>4764</v>
      </c>
      <c r="CI96" s="154">
        <v>591.0</v>
      </c>
      <c r="CJ96" s="154">
        <f>590+1</f>
        <v>591</v>
      </c>
      <c r="CK96" s="154">
        <f t="shared" si="529"/>
        <v>0</v>
      </c>
      <c r="CL96" s="154">
        <f t="shared" ref="CL96:CM96" si="539">558+45</f>
        <v>603</v>
      </c>
      <c r="CM96" s="154">
        <f t="shared" si="539"/>
        <v>603</v>
      </c>
      <c r="CN96" s="154">
        <f t="shared" si="530"/>
        <v>0</v>
      </c>
      <c r="CO96" s="154">
        <f t="shared" ref="CO96:CP96" si="540">165+5</f>
        <v>170</v>
      </c>
      <c r="CP96" s="154">
        <f t="shared" si="540"/>
        <v>170</v>
      </c>
      <c r="CQ96" s="154">
        <f t="shared" si="531"/>
        <v>0</v>
      </c>
      <c r="CR96" s="154">
        <f t="shared" si="532"/>
        <v>2558</v>
      </c>
      <c r="CS96" s="154">
        <f>155+4</f>
        <v>159</v>
      </c>
      <c r="CT96" s="154">
        <f t="shared" si="533"/>
        <v>2146</v>
      </c>
      <c r="CU96" s="154">
        <f t="shared" si="534"/>
        <v>2305</v>
      </c>
      <c r="CV96" s="154"/>
      <c r="CW96" s="154"/>
      <c r="CX96" s="154">
        <f t="shared" si="535"/>
        <v>4610</v>
      </c>
      <c r="CY96" s="154"/>
      <c r="CZ96" s="154"/>
      <c r="DA96" s="154"/>
      <c r="DB96" s="154">
        <f t="shared" si="536"/>
        <v>0</v>
      </c>
      <c r="DC96" s="154">
        <f t="shared" si="537"/>
        <v>11932</v>
      </c>
      <c r="DD96" s="154">
        <f t="shared" si="538"/>
        <v>25263</v>
      </c>
      <c r="DE96" s="6"/>
      <c r="DF96" s="6"/>
      <c r="DG96" s="6"/>
      <c r="DH96" s="6"/>
      <c r="DI96" s="6"/>
      <c r="DJ96" s="6"/>
      <c r="DK96" s="6"/>
      <c r="DL96" s="6"/>
    </row>
    <row r="97" ht="15.75" customHeight="1">
      <c r="A97" s="167" t="s">
        <v>169</v>
      </c>
      <c r="B97" s="154">
        <v>470.0</v>
      </c>
      <c r="C97" s="154">
        <v>0.0</v>
      </c>
      <c r="D97" s="154">
        <v>0.0</v>
      </c>
      <c r="E97" s="154">
        <v>0.0</v>
      </c>
      <c r="F97" s="154">
        <v>0.0</v>
      </c>
      <c r="G97" s="154">
        <v>2.0</v>
      </c>
      <c r="H97" s="154">
        <f t="shared" si="504"/>
        <v>2</v>
      </c>
      <c r="I97" s="154">
        <v>120.0</v>
      </c>
      <c r="J97" s="154">
        <v>114.0</v>
      </c>
      <c r="K97" s="154">
        <v>79.0</v>
      </c>
      <c r="L97" s="156">
        <f t="shared" si="505"/>
        <v>313</v>
      </c>
      <c r="M97" s="154">
        <v>68.0</v>
      </c>
      <c r="N97" s="154">
        <v>17.0</v>
      </c>
      <c r="O97" s="154">
        <v>0.0</v>
      </c>
      <c r="P97" s="156">
        <f t="shared" si="506"/>
        <v>85</v>
      </c>
      <c r="Q97" s="154">
        <v>6.0</v>
      </c>
      <c r="R97" s="154">
        <v>32.0</v>
      </c>
      <c r="S97" s="154">
        <v>74.0</v>
      </c>
      <c r="T97" s="156">
        <f t="shared" si="507"/>
        <v>112</v>
      </c>
      <c r="U97" s="154">
        <v>50.0</v>
      </c>
      <c r="V97" s="154">
        <v>13.0</v>
      </c>
      <c r="W97" s="154">
        <v>4.0</v>
      </c>
      <c r="X97" s="156">
        <f t="shared" si="508"/>
        <v>67</v>
      </c>
      <c r="Y97" s="156">
        <f t="shared" si="509"/>
        <v>577</v>
      </c>
      <c r="Z97" s="154">
        <v>13.0</v>
      </c>
      <c r="AA97" s="154">
        <v>4.0</v>
      </c>
      <c r="AB97" s="154">
        <v>22.0</v>
      </c>
      <c r="AC97" s="156">
        <f t="shared" si="510"/>
        <v>39</v>
      </c>
      <c r="AD97" s="154">
        <v>111.0</v>
      </c>
      <c r="AE97" s="154">
        <v>493.0</v>
      </c>
      <c r="AF97" s="154">
        <v>588.0</v>
      </c>
      <c r="AG97" s="156">
        <f t="shared" si="511"/>
        <v>1192</v>
      </c>
      <c r="AH97" s="154">
        <v>1112.0</v>
      </c>
      <c r="AI97" s="154">
        <v>508.0</v>
      </c>
      <c r="AJ97" s="154">
        <v>2130.0</v>
      </c>
      <c r="AK97" s="156">
        <f t="shared" si="512"/>
        <v>3750</v>
      </c>
      <c r="AL97" s="154">
        <v>3124.0</v>
      </c>
      <c r="AM97" s="154">
        <v>4449.0</v>
      </c>
      <c r="AN97" s="154">
        <v>167.0</v>
      </c>
      <c r="AO97" s="156">
        <f t="shared" si="513"/>
        <v>7740</v>
      </c>
      <c r="AP97" s="156">
        <f t="shared" si="514"/>
        <v>12721</v>
      </c>
      <c r="AQ97" s="154">
        <v>350.0</v>
      </c>
      <c r="AR97" s="154">
        <v>1758.0</v>
      </c>
      <c r="AS97" s="154">
        <v>860.0</v>
      </c>
      <c r="AT97" s="154">
        <f t="shared" si="515"/>
        <v>2968</v>
      </c>
      <c r="AU97" s="154">
        <v>1533.0</v>
      </c>
      <c r="AV97" s="154">
        <v>1210.0</v>
      </c>
      <c r="AW97" s="154">
        <v>1195.0</v>
      </c>
      <c r="AX97" s="154">
        <f t="shared" si="516"/>
        <v>3938</v>
      </c>
      <c r="AY97" s="154">
        <v>4386.0</v>
      </c>
      <c r="AZ97" s="154">
        <v>809.0</v>
      </c>
      <c r="BA97" s="154">
        <v>478.0</v>
      </c>
      <c r="BB97" s="154">
        <f t="shared" si="517"/>
        <v>5673</v>
      </c>
      <c r="BC97" s="154">
        <v>373.0</v>
      </c>
      <c r="BD97" s="154">
        <v>470.0</v>
      </c>
      <c r="BE97" s="154">
        <v>302.0</v>
      </c>
      <c r="BF97" s="154">
        <f t="shared" si="518"/>
        <v>1145</v>
      </c>
      <c r="BG97" s="154">
        <f t="shared" si="519"/>
        <v>13724</v>
      </c>
      <c r="BH97" s="154">
        <v>1325.0</v>
      </c>
      <c r="BI97" s="154">
        <v>1361.0</v>
      </c>
      <c r="BJ97" s="154">
        <v>344.0</v>
      </c>
      <c r="BK97" s="154">
        <f t="shared" si="520"/>
        <v>3030</v>
      </c>
      <c r="BL97" s="154">
        <v>713.0</v>
      </c>
      <c r="BM97" s="154">
        <v>483.0</v>
      </c>
      <c r="BN97" s="154">
        <v>510.0</v>
      </c>
      <c r="BO97" s="154">
        <f t="shared" si="521"/>
        <v>1706</v>
      </c>
      <c r="BP97" s="154">
        <v>1099.0</v>
      </c>
      <c r="BQ97" s="154">
        <v>575.0</v>
      </c>
      <c r="BR97" s="154">
        <v>418.0</v>
      </c>
      <c r="BS97" s="154">
        <f t="shared" si="522"/>
        <v>2092</v>
      </c>
      <c r="BT97" s="154">
        <v>1495.0</v>
      </c>
      <c r="BU97" s="154">
        <v>690.0</v>
      </c>
      <c r="BV97" s="154">
        <v>184.0</v>
      </c>
      <c r="BW97" s="154">
        <f t="shared" si="523"/>
        <v>2369</v>
      </c>
      <c r="BX97" s="154">
        <f t="shared" si="524"/>
        <v>9197</v>
      </c>
      <c r="BY97" s="154">
        <v>2018.0</v>
      </c>
      <c r="BZ97" s="154">
        <v>2018.0</v>
      </c>
      <c r="CA97" s="154">
        <f t="shared" si="525"/>
        <v>0</v>
      </c>
      <c r="CB97" s="154">
        <v>2496.0</v>
      </c>
      <c r="CC97" s="154">
        <v>2496.0</v>
      </c>
      <c r="CD97" s="154">
        <f t="shared" si="526"/>
        <v>0</v>
      </c>
      <c r="CE97" s="154">
        <v>115.0</v>
      </c>
      <c r="CF97" s="154">
        <v>6375.0</v>
      </c>
      <c r="CG97" s="154">
        <f t="shared" si="527"/>
        <v>6260</v>
      </c>
      <c r="CH97" s="154">
        <f t="shared" ref="CH97:CH98" si="541">SUM(BY97:CF97)</f>
        <v>15518</v>
      </c>
      <c r="CI97" s="154">
        <v>1395.0</v>
      </c>
      <c r="CJ97" s="154">
        <v>1397.0</v>
      </c>
      <c r="CK97" s="154">
        <f t="shared" si="529"/>
        <v>2</v>
      </c>
      <c r="CL97" s="154">
        <v>549.0</v>
      </c>
      <c r="CM97" s="154">
        <v>549.0</v>
      </c>
      <c r="CN97" s="154">
        <f t="shared" si="530"/>
        <v>0</v>
      </c>
      <c r="CO97" s="154">
        <v>226.0</v>
      </c>
      <c r="CP97" s="154">
        <v>228.0</v>
      </c>
      <c r="CQ97" s="154">
        <f t="shared" si="531"/>
        <v>2</v>
      </c>
      <c r="CR97" s="154">
        <f t="shared" si="532"/>
        <v>4118</v>
      </c>
      <c r="CS97" s="154">
        <v>830.0</v>
      </c>
      <c r="CT97" s="154">
        <f t="shared" si="533"/>
        <v>6264</v>
      </c>
      <c r="CU97" s="154">
        <f t="shared" si="534"/>
        <v>7094</v>
      </c>
      <c r="CV97" s="154"/>
      <c r="CW97" s="154"/>
      <c r="CX97" s="154">
        <f t="shared" si="535"/>
        <v>14188</v>
      </c>
      <c r="CY97" s="154"/>
      <c r="CZ97" s="154"/>
      <c r="DA97" s="154"/>
      <c r="DB97" s="154">
        <f t="shared" si="536"/>
        <v>0</v>
      </c>
      <c r="DC97" s="154">
        <f t="shared" si="537"/>
        <v>33824</v>
      </c>
      <c r="DD97" s="154">
        <f t="shared" si="538"/>
        <v>70515</v>
      </c>
      <c r="DE97" s="6"/>
      <c r="DF97" s="6"/>
      <c r="DG97" s="6"/>
      <c r="DH97" s="6"/>
      <c r="DI97" s="6"/>
      <c r="DJ97" s="6"/>
      <c r="DK97" s="6"/>
      <c r="DL97" s="6"/>
    </row>
    <row r="98" ht="15.75" customHeight="1">
      <c r="A98" s="192" t="s">
        <v>170</v>
      </c>
      <c r="B98" s="154">
        <v>0.0</v>
      </c>
      <c r="C98" s="154">
        <v>0.0</v>
      </c>
      <c r="D98" s="154">
        <v>0.0</v>
      </c>
      <c r="E98" s="154">
        <v>0.0</v>
      </c>
      <c r="F98" s="154">
        <v>0.0</v>
      </c>
      <c r="G98" s="154">
        <v>2.0</v>
      </c>
      <c r="H98" s="154">
        <f t="shared" si="504"/>
        <v>2</v>
      </c>
      <c r="I98" s="154">
        <v>2.0</v>
      </c>
      <c r="J98" s="154">
        <v>3.0</v>
      </c>
      <c r="K98" s="154">
        <v>3.0</v>
      </c>
      <c r="L98" s="156">
        <f t="shared" si="505"/>
        <v>8</v>
      </c>
      <c r="M98" s="154">
        <v>0.0</v>
      </c>
      <c r="N98" s="154">
        <v>0.0</v>
      </c>
      <c r="O98" s="154">
        <v>0.0</v>
      </c>
      <c r="P98" s="156">
        <f t="shared" si="506"/>
        <v>0</v>
      </c>
      <c r="Q98" s="154">
        <v>0.0</v>
      </c>
      <c r="R98" s="154">
        <v>0.0</v>
      </c>
      <c r="S98" s="154">
        <v>0.0</v>
      </c>
      <c r="T98" s="156">
        <f t="shared" si="507"/>
        <v>0</v>
      </c>
      <c r="U98" s="154">
        <v>0.0</v>
      </c>
      <c r="V98" s="154">
        <v>5.0</v>
      </c>
      <c r="W98" s="154">
        <v>2.0</v>
      </c>
      <c r="X98" s="156">
        <f t="shared" si="508"/>
        <v>7</v>
      </c>
      <c r="Y98" s="156">
        <f t="shared" si="509"/>
        <v>15</v>
      </c>
      <c r="Z98" s="154">
        <v>1.0</v>
      </c>
      <c r="AA98" s="154">
        <v>5.0</v>
      </c>
      <c r="AB98" s="154">
        <v>15.0</v>
      </c>
      <c r="AC98" s="156">
        <f t="shared" si="510"/>
        <v>21</v>
      </c>
      <c r="AD98" s="154">
        <v>3.0</v>
      </c>
      <c r="AE98" s="154">
        <v>3.0</v>
      </c>
      <c r="AF98" s="154">
        <v>1.0</v>
      </c>
      <c r="AG98" s="156">
        <f t="shared" si="511"/>
        <v>7</v>
      </c>
      <c r="AH98" s="154">
        <v>0.0</v>
      </c>
      <c r="AI98" s="154">
        <v>0.0</v>
      </c>
      <c r="AJ98" s="154">
        <v>0.0</v>
      </c>
      <c r="AK98" s="156">
        <f t="shared" si="512"/>
        <v>0</v>
      </c>
      <c r="AL98" s="154">
        <v>5.0</v>
      </c>
      <c r="AM98" s="154">
        <v>1.0</v>
      </c>
      <c r="AN98" s="154">
        <v>37.0</v>
      </c>
      <c r="AO98" s="156">
        <f t="shared" si="513"/>
        <v>43</v>
      </c>
      <c r="AP98" s="156">
        <f t="shared" si="514"/>
        <v>71</v>
      </c>
      <c r="AQ98" s="154">
        <v>0.0</v>
      </c>
      <c r="AR98" s="154">
        <v>10.0</v>
      </c>
      <c r="AS98" s="154">
        <v>17.0</v>
      </c>
      <c r="AT98" s="154">
        <f t="shared" si="515"/>
        <v>27</v>
      </c>
      <c r="AU98" s="154">
        <v>1.0</v>
      </c>
      <c r="AV98" s="154">
        <v>0.0</v>
      </c>
      <c r="AW98" s="154">
        <v>119.0</v>
      </c>
      <c r="AX98" s="154">
        <f t="shared" si="516"/>
        <v>120</v>
      </c>
      <c r="AY98" s="154">
        <v>221.0</v>
      </c>
      <c r="AZ98" s="154">
        <v>233.0</v>
      </c>
      <c r="BA98" s="154">
        <v>39.0</v>
      </c>
      <c r="BB98" s="154">
        <f t="shared" si="517"/>
        <v>493</v>
      </c>
      <c r="BC98" s="154">
        <v>57.0</v>
      </c>
      <c r="BD98" s="154">
        <v>104.0</v>
      </c>
      <c r="BE98" s="154">
        <v>214.0</v>
      </c>
      <c r="BF98" s="154">
        <f t="shared" si="518"/>
        <v>375</v>
      </c>
      <c r="BG98" s="154">
        <f t="shared" si="519"/>
        <v>1015</v>
      </c>
      <c r="BH98" s="154">
        <v>27.0</v>
      </c>
      <c r="BI98" s="154">
        <v>5949.0</v>
      </c>
      <c r="BJ98" s="154">
        <v>625.0</v>
      </c>
      <c r="BK98" s="154">
        <f t="shared" si="520"/>
        <v>6601</v>
      </c>
      <c r="BL98" s="154">
        <v>11916.0</v>
      </c>
      <c r="BM98" s="154">
        <v>362.0</v>
      </c>
      <c r="BN98" s="154">
        <v>25.0</v>
      </c>
      <c r="BO98" s="154">
        <f t="shared" si="521"/>
        <v>12303</v>
      </c>
      <c r="BP98" s="154">
        <v>113.0</v>
      </c>
      <c r="BQ98" s="154">
        <v>22.0</v>
      </c>
      <c r="BR98" s="154">
        <v>52.0</v>
      </c>
      <c r="BS98" s="154">
        <f t="shared" si="522"/>
        <v>187</v>
      </c>
      <c r="BT98" s="154">
        <v>27.0</v>
      </c>
      <c r="BU98" s="154">
        <v>5.0</v>
      </c>
      <c r="BV98" s="154">
        <v>14.0</v>
      </c>
      <c r="BW98" s="154">
        <f t="shared" si="523"/>
        <v>46</v>
      </c>
      <c r="BX98" s="154">
        <f t="shared" si="524"/>
        <v>19137</v>
      </c>
      <c r="BY98" s="154">
        <v>0.0</v>
      </c>
      <c r="BZ98" s="154">
        <v>0.0</v>
      </c>
      <c r="CA98" s="154">
        <f t="shared" si="525"/>
        <v>0</v>
      </c>
      <c r="CB98" s="154">
        <v>0.0</v>
      </c>
      <c r="CC98" s="125">
        <v>0.0</v>
      </c>
      <c r="CD98" s="154">
        <f t="shared" si="526"/>
        <v>0</v>
      </c>
      <c r="CE98" s="125">
        <v>0.0</v>
      </c>
      <c r="CF98" s="125">
        <v>0.0</v>
      </c>
      <c r="CG98" s="154">
        <f t="shared" si="527"/>
        <v>0</v>
      </c>
      <c r="CH98" s="154">
        <f t="shared" si="541"/>
        <v>0</v>
      </c>
      <c r="CI98" s="154">
        <v>0.0</v>
      </c>
      <c r="CJ98" s="154">
        <v>0.0</v>
      </c>
      <c r="CK98" s="154">
        <f t="shared" si="529"/>
        <v>0</v>
      </c>
      <c r="CL98" s="154">
        <v>0.0</v>
      </c>
      <c r="CM98" s="154">
        <v>0.0</v>
      </c>
      <c r="CN98" s="154">
        <f t="shared" si="530"/>
        <v>0</v>
      </c>
      <c r="CO98" s="154">
        <v>0.0</v>
      </c>
      <c r="CP98" s="154">
        <v>0.0</v>
      </c>
      <c r="CQ98" s="154">
        <f t="shared" si="531"/>
        <v>0</v>
      </c>
      <c r="CR98" s="154">
        <f t="shared" si="532"/>
        <v>0</v>
      </c>
      <c r="CS98" s="154">
        <v>0.0</v>
      </c>
      <c r="CT98" s="154">
        <f t="shared" si="533"/>
        <v>0</v>
      </c>
      <c r="CU98" s="154">
        <f t="shared" si="534"/>
        <v>0</v>
      </c>
      <c r="CV98" s="154"/>
      <c r="CW98" s="154"/>
      <c r="CX98" s="154">
        <f t="shared" si="535"/>
        <v>0</v>
      </c>
      <c r="CY98" s="154"/>
      <c r="CZ98" s="154"/>
      <c r="DA98" s="154"/>
      <c r="DB98" s="154">
        <f t="shared" si="536"/>
        <v>0</v>
      </c>
      <c r="DC98" s="154">
        <f t="shared" si="537"/>
        <v>0</v>
      </c>
      <c r="DD98" s="154">
        <f t="shared" si="538"/>
        <v>20240</v>
      </c>
      <c r="DE98" s="6"/>
      <c r="DF98" s="6"/>
      <c r="DG98" s="6"/>
      <c r="DH98" s="6"/>
      <c r="DI98" s="6"/>
      <c r="DJ98" s="6"/>
      <c r="DK98" s="6"/>
      <c r="DL98" s="6"/>
    </row>
    <row r="99" ht="15.75" customHeight="1">
      <c r="A99" s="137" t="s">
        <v>171</v>
      </c>
      <c r="B99" s="141">
        <f t="shared" ref="B99:DD99" si="542">SUM(B100:B104)</f>
        <v>8626</v>
      </c>
      <c r="C99" s="141">
        <f t="shared" si="542"/>
        <v>0</v>
      </c>
      <c r="D99" s="141">
        <f t="shared" si="542"/>
        <v>0</v>
      </c>
      <c r="E99" s="141">
        <f t="shared" si="542"/>
        <v>0</v>
      </c>
      <c r="F99" s="141">
        <f t="shared" si="542"/>
        <v>74</v>
      </c>
      <c r="G99" s="141">
        <f t="shared" si="542"/>
        <v>163</v>
      </c>
      <c r="H99" s="141">
        <f t="shared" si="542"/>
        <v>237</v>
      </c>
      <c r="I99" s="141">
        <f t="shared" si="542"/>
        <v>37</v>
      </c>
      <c r="J99" s="141">
        <f t="shared" si="542"/>
        <v>148</v>
      </c>
      <c r="K99" s="141">
        <f t="shared" si="542"/>
        <v>85</v>
      </c>
      <c r="L99" s="141">
        <f t="shared" si="542"/>
        <v>270</v>
      </c>
      <c r="M99" s="141">
        <f t="shared" si="542"/>
        <v>92</v>
      </c>
      <c r="N99" s="141">
        <f t="shared" si="542"/>
        <v>16</v>
      </c>
      <c r="O99" s="141">
        <f t="shared" si="542"/>
        <v>0</v>
      </c>
      <c r="P99" s="141">
        <f t="shared" si="542"/>
        <v>108</v>
      </c>
      <c r="Q99" s="141">
        <f t="shared" si="542"/>
        <v>2</v>
      </c>
      <c r="R99" s="141">
        <f t="shared" si="542"/>
        <v>34</v>
      </c>
      <c r="S99" s="141">
        <f t="shared" si="542"/>
        <v>842</v>
      </c>
      <c r="T99" s="141">
        <f t="shared" si="542"/>
        <v>878</v>
      </c>
      <c r="U99" s="141">
        <f t="shared" si="542"/>
        <v>841</v>
      </c>
      <c r="V99" s="141">
        <f t="shared" si="542"/>
        <v>1060</v>
      </c>
      <c r="W99" s="141">
        <f t="shared" si="542"/>
        <v>574</v>
      </c>
      <c r="X99" s="141">
        <f t="shared" si="542"/>
        <v>2475</v>
      </c>
      <c r="Y99" s="141">
        <f t="shared" si="542"/>
        <v>3731</v>
      </c>
      <c r="Z99" s="141">
        <f t="shared" si="542"/>
        <v>167</v>
      </c>
      <c r="AA99" s="141">
        <f t="shared" si="542"/>
        <v>33</v>
      </c>
      <c r="AB99" s="141">
        <f t="shared" si="542"/>
        <v>45</v>
      </c>
      <c r="AC99" s="142">
        <f t="shared" si="542"/>
        <v>245</v>
      </c>
      <c r="AD99" s="141">
        <f t="shared" si="542"/>
        <v>390</v>
      </c>
      <c r="AE99" s="141">
        <f t="shared" si="542"/>
        <v>1198</v>
      </c>
      <c r="AF99" s="141">
        <f t="shared" si="542"/>
        <v>712</v>
      </c>
      <c r="AG99" s="142">
        <f t="shared" si="542"/>
        <v>2300</v>
      </c>
      <c r="AH99" s="141">
        <f t="shared" si="542"/>
        <v>876</v>
      </c>
      <c r="AI99" s="141">
        <f t="shared" si="542"/>
        <v>896</v>
      </c>
      <c r="AJ99" s="141">
        <f t="shared" si="542"/>
        <v>932</v>
      </c>
      <c r="AK99" s="142">
        <f t="shared" si="542"/>
        <v>2704</v>
      </c>
      <c r="AL99" s="141">
        <f t="shared" si="542"/>
        <v>587</v>
      </c>
      <c r="AM99" s="141">
        <f t="shared" si="542"/>
        <v>485</v>
      </c>
      <c r="AN99" s="141">
        <f t="shared" si="542"/>
        <v>538</v>
      </c>
      <c r="AO99" s="142">
        <f t="shared" si="542"/>
        <v>1610</v>
      </c>
      <c r="AP99" s="142">
        <f t="shared" si="542"/>
        <v>6859</v>
      </c>
      <c r="AQ99" s="142">
        <f t="shared" si="542"/>
        <v>133</v>
      </c>
      <c r="AR99" s="142">
        <f t="shared" si="542"/>
        <v>217</v>
      </c>
      <c r="AS99" s="142">
        <f t="shared" si="542"/>
        <v>1793</v>
      </c>
      <c r="AT99" s="142">
        <f t="shared" si="542"/>
        <v>2143</v>
      </c>
      <c r="AU99" s="142">
        <f t="shared" si="542"/>
        <v>1211</v>
      </c>
      <c r="AV99" s="142">
        <f t="shared" si="542"/>
        <v>1773</v>
      </c>
      <c r="AW99" s="142">
        <f t="shared" si="542"/>
        <v>312</v>
      </c>
      <c r="AX99" s="142">
        <f t="shared" si="542"/>
        <v>3296</v>
      </c>
      <c r="AY99" s="142">
        <f t="shared" si="542"/>
        <v>5245</v>
      </c>
      <c r="AZ99" s="142">
        <f t="shared" si="542"/>
        <v>9930</v>
      </c>
      <c r="BA99" s="142">
        <f t="shared" si="542"/>
        <v>5389</v>
      </c>
      <c r="BB99" s="142">
        <f t="shared" si="542"/>
        <v>20564</v>
      </c>
      <c r="BC99" s="142">
        <f t="shared" si="542"/>
        <v>1604</v>
      </c>
      <c r="BD99" s="142">
        <f t="shared" si="542"/>
        <v>6410</v>
      </c>
      <c r="BE99" s="142">
        <f t="shared" si="542"/>
        <v>7871</v>
      </c>
      <c r="BF99" s="142">
        <f t="shared" si="542"/>
        <v>15885</v>
      </c>
      <c r="BG99" s="142">
        <f t="shared" si="542"/>
        <v>41888</v>
      </c>
      <c r="BH99" s="142">
        <f t="shared" si="542"/>
        <v>1079</v>
      </c>
      <c r="BI99" s="142">
        <f t="shared" si="542"/>
        <v>1693</v>
      </c>
      <c r="BJ99" s="142">
        <f t="shared" si="542"/>
        <v>913</v>
      </c>
      <c r="BK99" s="142">
        <f t="shared" si="542"/>
        <v>3685</v>
      </c>
      <c r="BL99" s="142">
        <f t="shared" si="542"/>
        <v>1219</v>
      </c>
      <c r="BM99" s="142">
        <f t="shared" si="542"/>
        <v>1800</v>
      </c>
      <c r="BN99" s="142">
        <f t="shared" si="542"/>
        <v>819</v>
      </c>
      <c r="BO99" s="142">
        <f t="shared" si="542"/>
        <v>3838</v>
      </c>
      <c r="BP99" s="142">
        <f t="shared" si="542"/>
        <v>1664</v>
      </c>
      <c r="BQ99" s="142">
        <f t="shared" si="542"/>
        <v>1304</v>
      </c>
      <c r="BR99" s="142">
        <f t="shared" si="542"/>
        <v>1926</v>
      </c>
      <c r="BS99" s="142">
        <f t="shared" si="542"/>
        <v>4894</v>
      </c>
      <c r="BT99" s="142">
        <f t="shared" si="542"/>
        <v>1356</v>
      </c>
      <c r="BU99" s="142">
        <f t="shared" si="542"/>
        <v>1093</v>
      </c>
      <c r="BV99" s="142">
        <f t="shared" si="542"/>
        <v>232</v>
      </c>
      <c r="BW99" s="142">
        <f t="shared" si="542"/>
        <v>2681</v>
      </c>
      <c r="BX99" s="142">
        <f t="shared" si="542"/>
        <v>15098</v>
      </c>
      <c r="BY99" s="141">
        <f t="shared" si="542"/>
        <v>1422</v>
      </c>
      <c r="BZ99" s="141">
        <f t="shared" si="542"/>
        <v>1422</v>
      </c>
      <c r="CA99" s="141">
        <f t="shared" si="542"/>
        <v>0</v>
      </c>
      <c r="CB99" s="141">
        <f t="shared" si="542"/>
        <v>2316</v>
      </c>
      <c r="CC99" s="141">
        <f t="shared" si="542"/>
        <v>2316</v>
      </c>
      <c r="CD99" s="141">
        <f t="shared" si="542"/>
        <v>0</v>
      </c>
      <c r="CE99" s="141">
        <f t="shared" si="542"/>
        <v>49</v>
      </c>
      <c r="CF99" s="141">
        <f t="shared" si="542"/>
        <v>3685</v>
      </c>
      <c r="CG99" s="141">
        <f t="shared" si="542"/>
        <v>3636</v>
      </c>
      <c r="CH99" s="141">
        <f t="shared" si="542"/>
        <v>10911</v>
      </c>
      <c r="CI99" s="141">
        <f t="shared" si="542"/>
        <v>2009</v>
      </c>
      <c r="CJ99" s="141">
        <f t="shared" si="542"/>
        <v>4311</v>
      </c>
      <c r="CK99" s="141">
        <f t="shared" si="542"/>
        <v>2302</v>
      </c>
      <c r="CL99" s="141">
        <f t="shared" si="542"/>
        <v>3079</v>
      </c>
      <c r="CM99" s="141">
        <f t="shared" si="542"/>
        <v>3079</v>
      </c>
      <c r="CN99" s="141">
        <f t="shared" si="542"/>
        <v>0</v>
      </c>
      <c r="CO99" s="141">
        <f t="shared" si="542"/>
        <v>940</v>
      </c>
      <c r="CP99" s="141">
        <f t="shared" si="542"/>
        <v>958</v>
      </c>
      <c r="CQ99" s="141">
        <f t="shared" si="542"/>
        <v>18</v>
      </c>
      <c r="CR99" s="141">
        <f t="shared" si="542"/>
        <v>15720</v>
      </c>
      <c r="CS99" s="141">
        <f t="shared" si="542"/>
        <v>2769</v>
      </c>
      <c r="CT99" s="141">
        <f t="shared" si="542"/>
        <v>5956</v>
      </c>
      <c r="CU99" s="141">
        <f t="shared" si="542"/>
        <v>8725</v>
      </c>
      <c r="CV99" s="141">
        <f t="shared" si="542"/>
        <v>0</v>
      </c>
      <c r="CW99" s="141">
        <f t="shared" si="542"/>
        <v>0</v>
      </c>
      <c r="CX99" s="141">
        <f t="shared" si="542"/>
        <v>17450</v>
      </c>
      <c r="CY99" s="141">
        <f t="shared" si="542"/>
        <v>0</v>
      </c>
      <c r="CZ99" s="141">
        <f t="shared" si="542"/>
        <v>0</v>
      </c>
      <c r="DA99" s="141">
        <f t="shared" si="542"/>
        <v>0</v>
      </c>
      <c r="DB99" s="141">
        <f t="shared" si="542"/>
        <v>0</v>
      </c>
      <c r="DC99" s="141">
        <f t="shared" si="542"/>
        <v>44081</v>
      </c>
      <c r="DD99" s="141">
        <f t="shared" si="542"/>
        <v>120520</v>
      </c>
      <c r="DE99" s="6"/>
      <c r="DF99" s="24">
        <f>SUM(AK99,AO99,BG99,BX99,DC99)</f>
        <v>105381</v>
      </c>
      <c r="DG99" s="6"/>
      <c r="DH99" s="6"/>
      <c r="DI99" s="6"/>
      <c r="DJ99" s="6"/>
      <c r="DK99" s="6"/>
      <c r="DL99" s="6"/>
    </row>
    <row r="100" ht="15.75" customHeight="1">
      <c r="A100" s="169" t="s">
        <v>172</v>
      </c>
      <c r="B100" s="179">
        <v>4620.0</v>
      </c>
      <c r="C100" s="154">
        <v>0.0</v>
      </c>
      <c r="D100" s="154">
        <v>0.0</v>
      </c>
      <c r="E100" s="154">
        <v>0.0</v>
      </c>
      <c r="F100" s="154">
        <v>0.0</v>
      </c>
      <c r="G100" s="154">
        <v>52.0</v>
      </c>
      <c r="H100" s="154">
        <f t="shared" ref="H100:H104" si="544">SUM(C100:G100)</f>
        <v>52</v>
      </c>
      <c r="I100" s="154">
        <v>8.0</v>
      </c>
      <c r="J100" s="154">
        <v>70.0</v>
      </c>
      <c r="K100" s="154">
        <v>14.0</v>
      </c>
      <c r="L100" s="156">
        <f t="shared" ref="L100:L104" si="545">SUM(I100:K100)</f>
        <v>92</v>
      </c>
      <c r="M100" s="154">
        <v>13.0</v>
      </c>
      <c r="N100" s="154">
        <v>4.0</v>
      </c>
      <c r="O100" s="154">
        <v>0.0</v>
      </c>
      <c r="P100" s="156">
        <f t="shared" ref="P100:P104" si="546">SUM(M100:O100)</f>
        <v>17</v>
      </c>
      <c r="Q100" s="154">
        <v>0.0</v>
      </c>
      <c r="R100" s="154">
        <v>7.0</v>
      </c>
      <c r="S100" s="154">
        <v>87.0</v>
      </c>
      <c r="T100" s="156">
        <f t="shared" ref="T100:T104" si="547">SUM(Q100:S100)</f>
        <v>94</v>
      </c>
      <c r="U100" s="154">
        <v>387.0</v>
      </c>
      <c r="V100" s="154">
        <v>296.0</v>
      </c>
      <c r="W100" s="154">
        <v>528.0</v>
      </c>
      <c r="X100" s="156">
        <f t="shared" ref="X100:X104" si="548">SUM(U100:W100)</f>
        <v>1211</v>
      </c>
      <c r="Y100" s="156">
        <f t="shared" ref="Y100:Y104" si="549">SUM(X100,T100,P100,L100)</f>
        <v>1414</v>
      </c>
      <c r="Z100" s="154">
        <v>101.0</v>
      </c>
      <c r="AA100" s="154">
        <v>16.0</v>
      </c>
      <c r="AB100" s="154">
        <v>22.0</v>
      </c>
      <c r="AC100" s="156">
        <f t="shared" ref="AC100:AC104" si="550">SUM(Z100:AB100)</f>
        <v>139</v>
      </c>
      <c r="AD100" s="154">
        <v>55.0</v>
      </c>
      <c r="AE100" s="154">
        <v>653.0</v>
      </c>
      <c r="AF100" s="154">
        <v>117.0</v>
      </c>
      <c r="AG100" s="156">
        <f t="shared" ref="AG100:AG104" si="551">SUM(AD100:AF100)</f>
        <v>825</v>
      </c>
      <c r="AH100" s="154">
        <v>253.0</v>
      </c>
      <c r="AI100" s="154">
        <v>231.0</v>
      </c>
      <c r="AJ100" s="154">
        <v>526.0</v>
      </c>
      <c r="AK100" s="156">
        <f t="shared" ref="AK100:AK104" si="552">SUM(AH100:AJ100)</f>
        <v>1010</v>
      </c>
      <c r="AL100" s="154">
        <v>132.0</v>
      </c>
      <c r="AM100" s="154">
        <v>145.0</v>
      </c>
      <c r="AN100" s="154">
        <v>149.0</v>
      </c>
      <c r="AO100" s="156">
        <f t="shared" ref="AO100:AO104" si="553">SUM(AL100:AN100)</f>
        <v>426</v>
      </c>
      <c r="AP100" s="156">
        <f t="shared" ref="AP100:AP104" si="554">SUM(AO100,AK100,AG100,AC100)</f>
        <v>2400</v>
      </c>
      <c r="AQ100" s="154">
        <v>62.0</v>
      </c>
      <c r="AR100" s="154">
        <v>28.0</v>
      </c>
      <c r="AS100" s="154">
        <v>266.0</v>
      </c>
      <c r="AT100" s="154">
        <f t="shared" ref="AT100:AT104" si="555">SUM(AQ100:AS100)</f>
        <v>356</v>
      </c>
      <c r="AU100" s="154">
        <v>96.0</v>
      </c>
      <c r="AV100" s="154">
        <v>348.0</v>
      </c>
      <c r="AW100" s="154">
        <v>97.0</v>
      </c>
      <c r="AX100" s="154">
        <f t="shared" ref="AX100:AX104" si="556">SUM(AU100:AW100)</f>
        <v>541</v>
      </c>
      <c r="AY100" s="154">
        <v>1033.0</v>
      </c>
      <c r="AZ100" s="154">
        <v>2004.0</v>
      </c>
      <c r="BA100" s="154">
        <v>564.0</v>
      </c>
      <c r="BB100" s="154">
        <f t="shared" ref="BB100:BB104" si="557">SUM(AY100:BA100)</f>
        <v>3601</v>
      </c>
      <c r="BC100" s="154">
        <v>288.0</v>
      </c>
      <c r="BD100" s="154">
        <v>751.0</v>
      </c>
      <c r="BE100" s="154">
        <v>221.0</v>
      </c>
      <c r="BF100" s="154">
        <f t="shared" ref="BF100:BF104" si="558">SUM(BC100:BE100)</f>
        <v>1260</v>
      </c>
      <c r="BG100" s="154">
        <f t="shared" ref="BG100:BG104" si="559">SUM(AT100,AX100,BB100,BF100)</f>
        <v>5758</v>
      </c>
      <c r="BH100" s="154">
        <v>85.0</v>
      </c>
      <c r="BI100" s="154">
        <v>205.0</v>
      </c>
      <c r="BJ100" s="154">
        <v>146.0</v>
      </c>
      <c r="BK100" s="154">
        <f t="shared" ref="BK100:BK104" si="560">SUM(BH100:BJ100)</f>
        <v>436</v>
      </c>
      <c r="BL100" s="154">
        <v>225.0</v>
      </c>
      <c r="BM100" s="154">
        <v>348.0</v>
      </c>
      <c r="BN100" s="154">
        <v>111.0</v>
      </c>
      <c r="BO100" s="154">
        <f t="shared" ref="BO100:BO104" si="561">SUM(BL100:BN100)</f>
        <v>684</v>
      </c>
      <c r="BP100" s="154">
        <v>36.0</v>
      </c>
      <c r="BQ100" s="154">
        <v>160.0</v>
      </c>
      <c r="BR100" s="154">
        <v>305.0</v>
      </c>
      <c r="BS100" s="154">
        <f t="shared" ref="BS100:BS104" si="562">SUM(BP100:BR100)</f>
        <v>501</v>
      </c>
      <c r="BT100" s="154">
        <v>208.0</v>
      </c>
      <c r="BU100" s="154">
        <v>143.0</v>
      </c>
      <c r="BV100" s="154">
        <v>44.0</v>
      </c>
      <c r="BW100" s="154">
        <f t="shared" ref="BW100:BW104" si="563">SUM(BT100:BV100)</f>
        <v>395</v>
      </c>
      <c r="BX100" s="154">
        <f t="shared" ref="BX100:BX104" si="564">SUM(BK100,BO100,BS100,BW100)</f>
        <v>2016</v>
      </c>
      <c r="BY100" s="154">
        <v>191.0</v>
      </c>
      <c r="BZ100" s="154">
        <v>191.0</v>
      </c>
      <c r="CA100" s="154">
        <f t="shared" ref="CA100:CA104" si="565">BZ100-BY100</f>
        <v>0</v>
      </c>
      <c r="CB100" s="154">
        <v>362.0</v>
      </c>
      <c r="CC100" s="154">
        <v>362.0</v>
      </c>
      <c r="CD100" s="154">
        <f t="shared" ref="CD100:CD104" si="566">CC100-CB100</f>
        <v>0</v>
      </c>
      <c r="CE100" s="154">
        <v>1.0</v>
      </c>
      <c r="CF100" s="154">
        <f>242+57</f>
        <v>299</v>
      </c>
      <c r="CG100" s="154">
        <f t="shared" ref="CG100:CG104" si="567">CF100-CE100</f>
        <v>298</v>
      </c>
      <c r="CH100" s="154">
        <f>SUM(BY100:CE100)</f>
        <v>1107</v>
      </c>
      <c r="CI100" s="154">
        <v>288.0</v>
      </c>
      <c r="CJ100" s="154">
        <f>279+32</f>
        <v>311</v>
      </c>
      <c r="CK100" s="154">
        <f t="shared" ref="CK100:CK104" si="568">CJ100-CI100</f>
        <v>23</v>
      </c>
      <c r="CL100" s="154">
        <f t="shared" ref="CL100:CM100" si="543">89+97</f>
        <v>186</v>
      </c>
      <c r="CM100" s="154">
        <f t="shared" si="543"/>
        <v>186</v>
      </c>
      <c r="CN100" s="154">
        <f t="shared" ref="CN100:CN104" si="569">CM100-CL100</f>
        <v>0</v>
      </c>
      <c r="CO100" s="154">
        <f>38+78</f>
        <v>116</v>
      </c>
      <c r="CP100" s="154">
        <f>38+84</f>
        <v>122</v>
      </c>
      <c r="CQ100" s="154">
        <f t="shared" ref="CQ100:CQ104" si="570">CP100-CO100</f>
        <v>6</v>
      </c>
      <c r="CR100" s="154">
        <f t="shared" ref="CR100:CR104" si="571">SUM(CI100:CO100)</f>
        <v>1110</v>
      </c>
      <c r="CS100" s="154">
        <f>139+138</f>
        <v>277</v>
      </c>
      <c r="CT100" s="154">
        <f t="shared" ref="CT100:CT104" si="572">SUM(CA100,CD100,CG100,CK100,CN100,CQ100)</f>
        <v>327</v>
      </c>
      <c r="CU100" s="154">
        <f t="shared" ref="CU100:CU104" si="573">CS100+CT100</f>
        <v>604</v>
      </c>
      <c r="CV100" s="154"/>
      <c r="CW100" s="154"/>
      <c r="CX100" s="154">
        <f t="shared" ref="CX100:CX104" si="574">SUM(CS100:CW100)</f>
        <v>1208</v>
      </c>
      <c r="CY100" s="154"/>
      <c r="CZ100" s="154"/>
      <c r="DA100" s="154"/>
      <c r="DB100" s="154">
        <f t="shared" ref="DB100:DB104" si="575">SUM(CY100:DA100)</f>
        <v>0</v>
      </c>
      <c r="DC100" s="154">
        <f t="shared" ref="DC100:DC104" si="576">SUM(CH100,CR100,CX100,DB100)</f>
        <v>3425</v>
      </c>
      <c r="DD100" s="154">
        <f t="shared" ref="DD100:DD104" si="577">SUM(B100,H100,Y100,AP100,BG100,BX100,DC100)</f>
        <v>19685</v>
      </c>
      <c r="DE100" s="6"/>
      <c r="DF100" s="6"/>
      <c r="DG100" s="6"/>
      <c r="DH100" s="6"/>
      <c r="DI100" s="6"/>
      <c r="DJ100" s="6"/>
      <c r="DK100" s="6"/>
      <c r="DL100" s="6"/>
    </row>
    <row r="101" ht="15.75" customHeight="1">
      <c r="A101" s="167" t="s">
        <v>173</v>
      </c>
      <c r="B101" s="154">
        <v>1478.0</v>
      </c>
      <c r="C101" s="154">
        <v>0.0</v>
      </c>
      <c r="D101" s="154">
        <v>0.0</v>
      </c>
      <c r="E101" s="154">
        <v>0.0</v>
      </c>
      <c r="F101" s="154">
        <v>0.0</v>
      </c>
      <c r="G101" s="154">
        <v>6.0</v>
      </c>
      <c r="H101" s="154">
        <f t="shared" si="544"/>
        <v>6</v>
      </c>
      <c r="I101" s="154">
        <v>10.0</v>
      </c>
      <c r="J101" s="154">
        <v>35.0</v>
      </c>
      <c r="K101" s="154">
        <v>29.0</v>
      </c>
      <c r="L101" s="156">
        <f t="shared" si="545"/>
        <v>74</v>
      </c>
      <c r="M101" s="154">
        <v>52.0</v>
      </c>
      <c r="N101" s="154">
        <v>7.0</v>
      </c>
      <c r="O101" s="154">
        <v>0.0</v>
      </c>
      <c r="P101" s="156">
        <f t="shared" si="546"/>
        <v>59</v>
      </c>
      <c r="Q101" s="154">
        <v>0.0</v>
      </c>
      <c r="R101" s="154">
        <v>13.0</v>
      </c>
      <c r="S101" s="154">
        <v>437.0</v>
      </c>
      <c r="T101" s="156">
        <f t="shared" si="547"/>
        <v>450</v>
      </c>
      <c r="U101" s="154">
        <v>27.0</v>
      </c>
      <c r="V101" s="154">
        <v>87.0</v>
      </c>
      <c r="W101" s="154">
        <v>30.0</v>
      </c>
      <c r="X101" s="156">
        <f t="shared" si="548"/>
        <v>144</v>
      </c>
      <c r="Y101" s="156">
        <f t="shared" si="549"/>
        <v>727</v>
      </c>
      <c r="Z101" s="154">
        <v>62.0</v>
      </c>
      <c r="AA101" s="154">
        <v>12.0</v>
      </c>
      <c r="AB101" s="154">
        <v>16.0</v>
      </c>
      <c r="AC101" s="156">
        <f t="shared" si="550"/>
        <v>90</v>
      </c>
      <c r="AD101" s="154">
        <v>17.0</v>
      </c>
      <c r="AE101" s="154">
        <v>156.0</v>
      </c>
      <c r="AF101" s="154">
        <v>238.0</v>
      </c>
      <c r="AG101" s="156">
        <f t="shared" si="551"/>
        <v>411</v>
      </c>
      <c r="AH101" s="154">
        <v>351.0</v>
      </c>
      <c r="AI101" s="154">
        <v>185.0</v>
      </c>
      <c r="AJ101" s="154">
        <v>140.0</v>
      </c>
      <c r="AK101" s="156">
        <f t="shared" si="552"/>
        <v>676</v>
      </c>
      <c r="AL101" s="154">
        <v>27.0</v>
      </c>
      <c r="AM101" s="154">
        <v>63.0</v>
      </c>
      <c r="AN101" s="154">
        <v>111.0</v>
      </c>
      <c r="AO101" s="156">
        <f t="shared" si="553"/>
        <v>201</v>
      </c>
      <c r="AP101" s="156">
        <f t="shared" si="554"/>
        <v>1378</v>
      </c>
      <c r="AQ101" s="154">
        <v>52.0</v>
      </c>
      <c r="AR101" s="154">
        <v>79.0</v>
      </c>
      <c r="AS101" s="154">
        <v>408.0</v>
      </c>
      <c r="AT101" s="154">
        <f t="shared" si="555"/>
        <v>539</v>
      </c>
      <c r="AU101" s="154">
        <v>121.0</v>
      </c>
      <c r="AV101" s="154">
        <v>394.0</v>
      </c>
      <c r="AW101" s="154">
        <v>77.0</v>
      </c>
      <c r="AX101" s="154">
        <f t="shared" si="556"/>
        <v>592</v>
      </c>
      <c r="AY101" s="154">
        <v>1242.0</v>
      </c>
      <c r="AZ101" s="154">
        <v>2911.0</v>
      </c>
      <c r="BA101" s="154">
        <v>3111.0</v>
      </c>
      <c r="BB101" s="154">
        <f t="shared" si="557"/>
        <v>7264</v>
      </c>
      <c r="BC101" s="154">
        <v>411.0</v>
      </c>
      <c r="BD101" s="154">
        <v>3179.0</v>
      </c>
      <c r="BE101" s="154">
        <v>3510.0</v>
      </c>
      <c r="BF101" s="154">
        <f t="shared" si="558"/>
        <v>7100</v>
      </c>
      <c r="BG101" s="154">
        <f t="shared" si="559"/>
        <v>15495</v>
      </c>
      <c r="BH101" s="154">
        <v>632.0</v>
      </c>
      <c r="BI101" s="154">
        <v>668.0</v>
      </c>
      <c r="BJ101" s="154">
        <v>312.0</v>
      </c>
      <c r="BK101" s="154">
        <f t="shared" si="560"/>
        <v>1612</v>
      </c>
      <c r="BL101" s="154">
        <v>340.0</v>
      </c>
      <c r="BM101" s="154">
        <v>556.0</v>
      </c>
      <c r="BN101" s="154">
        <v>133.0</v>
      </c>
      <c r="BO101" s="154">
        <f t="shared" si="561"/>
        <v>1029</v>
      </c>
      <c r="BP101" s="154">
        <v>997.0</v>
      </c>
      <c r="BQ101" s="154">
        <v>296.0</v>
      </c>
      <c r="BR101" s="154">
        <v>755.0</v>
      </c>
      <c r="BS101" s="154">
        <f t="shared" si="562"/>
        <v>2048</v>
      </c>
      <c r="BT101" s="154">
        <v>522.0</v>
      </c>
      <c r="BU101" s="154">
        <v>345.0</v>
      </c>
      <c r="BV101" s="154">
        <v>53.0</v>
      </c>
      <c r="BW101" s="154">
        <f t="shared" si="563"/>
        <v>920</v>
      </c>
      <c r="BX101" s="154">
        <f t="shared" si="564"/>
        <v>5609</v>
      </c>
      <c r="BY101" s="154">
        <v>244.0</v>
      </c>
      <c r="BZ101" s="154">
        <v>244.0</v>
      </c>
      <c r="CA101" s="154">
        <f t="shared" si="565"/>
        <v>0</v>
      </c>
      <c r="CB101" s="154">
        <v>902.0</v>
      </c>
      <c r="CC101" s="154">
        <v>902.0</v>
      </c>
      <c r="CD101" s="154">
        <f t="shared" si="566"/>
        <v>0</v>
      </c>
      <c r="CE101" s="154">
        <v>2.0</v>
      </c>
      <c r="CF101" s="154">
        <v>1452.0</v>
      </c>
      <c r="CG101" s="154">
        <f t="shared" si="567"/>
        <v>1450</v>
      </c>
      <c r="CH101" s="154">
        <f t="shared" ref="CH101:CH104" si="578">SUM(BY101:CF101)</f>
        <v>3746</v>
      </c>
      <c r="CI101" s="154">
        <v>1000.0</v>
      </c>
      <c r="CJ101" s="154">
        <v>2279.0</v>
      </c>
      <c r="CK101" s="154">
        <f t="shared" si="568"/>
        <v>1279</v>
      </c>
      <c r="CL101" s="154">
        <v>1176.0</v>
      </c>
      <c r="CM101" s="154">
        <v>1176.0</v>
      </c>
      <c r="CN101" s="154">
        <f t="shared" si="569"/>
        <v>0</v>
      </c>
      <c r="CO101" s="154">
        <v>187.0</v>
      </c>
      <c r="CP101" s="154">
        <v>189.0</v>
      </c>
      <c r="CQ101" s="154">
        <f t="shared" si="570"/>
        <v>2</v>
      </c>
      <c r="CR101" s="154">
        <f t="shared" si="571"/>
        <v>7097</v>
      </c>
      <c r="CS101" s="154">
        <v>1094.0</v>
      </c>
      <c r="CT101" s="154">
        <f t="shared" si="572"/>
        <v>2731</v>
      </c>
      <c r="CU101" s="154">
        <f t="shared" si="573"/>
        <v>3825</v>
      </c>
      <c r="CV101" s="154"/>
      <c r="CW101" s="154"/>
      <c r="CX101" s="154">
        <f t="shared" si="574"/>
        <v>7650</v>
      </c>
      <c r="CY101" s="154"/>
      <c r="CZ101" s="154"/>
      <c r="DA101" s="154"/>
      <c r="DB101" s="154">
        <f t="shared" si="575"/>
        <v>0</v>
      </c>
      <c r="DC101" s="154">
        <f t="shared" si="576"/>
        <v>18493</v>
      </c>
      <c r="DD101" s="154">
        <f t="shared" si="577"/>
        <v>43186</v>
      </c>
      <c r="DE101" s="6"/>
      <c r="DF101" s="6"/>
      <c r="DG101" s="6"/>
      <c r="DH101" s="6"/>
      <c r="DI101" s="6"/>
      <c r="DJ101" s="6"/>
      <c r="DK101" s="6"/>
      <c r="DL101" s="6"/>
    </row>
    <row r="102" ht="15.75" customHeight="1">
      <c r="A102" s="167" t="s">
        <v>174</v>
      </c>
      <c r="B102" s="125">
        <v>0.0</v>
      </c>
      <c r="C102" s="154">
        <v>0.0</v>
      </c>
      <c r="D102" s="154">
        <v>0.0</v>
      </c>
      <c r="E102" s="154">
        <v>0.0</v>
      </c>
      <c r="F102" s="154">
        <v>0.0</v>
      </c>
      <c r="G102" s="154">
        <v>0.0</v>
      </c>
      <c r="H102" s="154">
        <f t="shared" si="544"/>
        <v>0</v>
      </c>
      <c r="I102" s="154">
        <v>0.0</v>
      </c>
      <c r="J102" s="154">
        <v>3.0</v>
      </c>
      <c r="K102" s="155">
        <v>0.0</v>
      </c>
      <c r="L102" s="156">
        <f t="shared" si="545"/>
        <v>3</v>
      </c>
      <c r="M102" s="154">
        <v>0.0</v>
      </c>
      <c r="N102" s="154">
        <v>0.0</v>
      </c>
      <c r="O102" s="154">
        <v>0.0</v>
      </c>
      <c r="P102" s="156">
        <f t="shared" si="546"/>
        <v>0</v>
      </c>
      <c r="Q102" s="154">
        <v>0.0</v>
      </c>
      <c r="R102" s="154">
        <v>0.0</v>
      </c>
      <c r="S102" s="154">
        <v>0.0</v>
      </c>
      <c r="T102" s="156">
        <f t="shared" si="547"/>
        <v>0</v>
      </c>
      <c r="U102" s="154">
        <v>51.0</v>
      </c>
      <c r="V102" s="154">
        <v>15.0</v>
      </c>
      <c r="W102" s="154">
        <v>0.0</v>
      </c>
      <c r="X102" s="156">
        <f t="shared" si="548"/>
        <v>66</v>
      </c>
      <c r="Y102" s="156">
        <f t="shared" si="549"/>
        <v>69</v>
      </c>
      <c r="Z102" s="154">
        <v>0.0</v>
      </c>
      <c r="AA102" s="154">
        <v>0.0</v>
      </c>
      <c r="AB102" s="155">
        <v>0.0</v>
      </c>
      <c r="AC102" s="156">
        <f t="shared" si="550"/>
        <v>0</v>
      </c>
      <c r="AD102" s="154">
        <v>5.0</v>
      </c>
      <c r="AE102" s="154">
        <v>26.0</v>
      </c>
      <c r="AF102" s="154">
        <v>14.0</v>
      </c>
      <c r="AG102" s="156">
        <f t="shared" si="551"/>
        <v>45</v>
      </c>
      <c r="AH102" s="154">
        <v>0.0</v>
      </c>
      <c r="AI102" s="154">
        <v>14.0</v>
      </c>
      <c r="AJ102" s="154">
        <v>3.0</v>
      </c>
      <c r="AK102" s="156">
        <f t="shared" si="552"/>
        <v>17</v>
      </c>
      <c r="AL102" s="154">
        <v>30.0</v>
      </c>
      <c r="AM102" s="154">
        <v>6.0</v>
      </c>
      <c r="AN102" s="154">
        <v>7.0</v>
      </c>
      <c r="AO102" s="156">
        <f t="shared" si="553"/>
        <v>43</v>
      </c>
      <c r="AP102" s="156">
        <f t="shared" si="554"/>
        <v>105</v>
      </c>
      <c r="AQ102" s="154">
        <v>0.0</v>
      </c>
      <c r="AR102" s="154">
        <v>1.0</v>
      </c>
      <c r="AS102" s="154">
        <v>334.0</v>
      </c>
      <c r="AT102" s="154">
        <f t="shared" si="555"/>
        <v>335</v>
      </c>
      <c r="AU102" s="154">
        <v>197.0</v>
      </c>
      <c r="AV102" s="154">
        <v>49.0</v>
      </c>
      <c r="AW102" s="154">
        <v>0.0</v>
      </c>
      <c r="AX102" s="154">
        <f t="shared" si="556"/>
        <v>246</v>
      </c>
      <c r="AY102" s="154">
        <v>185.0</v>
      </c>
      <c r="AZ102" s="154">
        <v>342.0</v>
      </c>
      <c r="BA102" s="154">
        <v>219.0</v>
      </c>
      <c r="BB102" s="154">
        <f t="shared" si="557"/>
        <v>746</v>
      </c>
      <c r="BC102" s="154">
        <v>189.0</v>
      </c>
      <c r="BD102" s="154">
        <v>512.0</v>
      </c>
      <c r="BE102" s="154">
        <v>144.0</v>
      </c>
      <c r="BF102" s="154">
        <f t="shared" si="558"/>
        <v>845</v>
      </c>
      <c r="BG102" s="154">
        <f t="shared" si="559"/>
        <v>2172</v>
      </c>
      <c r="BH102" s="154">
        <v>50.0</v>
      </c>
      <c r="BI102" s="154">
        <v>36.0</v>
      </c>
      <c r="BJ102" s="154">
        <v>26.0</v>
      </c>
      <c r="BK102" s="154">
        <f t="shared" si="560"/>
        <v>112</v>
      </c>
      <c r="BL102" s="154">
        <v>4.0</v>
      </c>
      <c r="BM102" s="154">
        <v>60.0</v>
      </c>
      <c r="BN102" s="154">
        <v>68.0</v>
      </c>
      <c r="BO102" s="154">
        <f t="shared" si="561"/>
        <v>132</v>
      </c>
      <c r="BP102" s="154">
        <v>15.0</v>
      </c>
      <c r="BQ102" s="154">
        <v>253.0</v>
      </c>
      <c r="BR102" s="154">
        <v>94.0</v>
      </c>
      <c r="BS102" s="154">
        <f t="shared" si="562"/>
        <v>362</v>
      </c>
      <c r="BT102" s="154">
        <v>29.0</v>
      </c>
      <c r="BU102" s="154">
        <v>22.0</v>
      </c>
      <c r="BV102" s="154">
        <v>8.0</v>
      </c>
      <c r="BW102" s="154">
        <f t="shared" si="563"/>
        <v>59</v>
      </c>
      <c r="BX102" s="154">
        <f t="shared" si="564"/>
        <v>665</v>
      </c>
      <c r="BY102" s="154">
        <v>199.0</v>
      </c>
      <c r="BZ102" s="154">
        <v>199.0</v>
      </c>
      <c r="CA102" s="154">
        <f t="shared" si="565"/>
        <v>0</v>
      </c>
      <c r="CB102" s="154">
        <v>68.0</v>
      </c>
      <c r="CC102" s="154">
        <v>68.0</v>
      </c>
      <c r="CD102" s="154">
        <f t="shared" si="566"/>
        <v>0</v>
      </c>
      <c r="CE102" s="154">
        <v>22.0</v>
      </c>
      <c r="CF102" s="154">
        <v>672.0</v>
      </c>
      <c r="CG102" s="154">
        <f t="shared" si="567"/>
        <v>650</v>
      </c>
      <c r="CH102" s="154">
        <f t="shared" si="578"/>
        <v>1228</v>
      </c>
      <c r="CI102" s="154">
        <v>100.0</v>
      </c>
      <c r="CJ102" s="154">
        <v>404.0</v>
      </c>
      <c r="CK102" s="154">
        <f t="shared" si="568"/>
        <v>304</v>
      </c>
      <c r="CL102" s="154">
        <v>89.0</v>
      </c>
      <c r="CM102" s="154">
        <v>89.0</v>
      </c>
      <c r="CN102" s="154">
        <f t="shared" si="569"/>
        <v>0</v>
      </c>
      <c r="CO102" s="155">
        <v>5.0</v>
      </c>
      <c r="CP102" s="155">
        <v>5.0</v>
      </c>
      <c r="CQ102" s="154">
        <f t="shared" si="570"/>
        <v>0</v>
      </c>
      <c r="CR102" s="154">
        <f t="shared" si="571"/>
        <v>991</v>
      </c>
      <c r="CS102" s="154">
        <v>4.0</v>
      </c>
      <c r="CT102" s="154">
        <f t="shared" si="572"/>
        <v>954</v>
      </c>
      <c r="CU102" s="154">
        <f t="shared" si="573"/>
        <v>958</v>
      </c>
      <c r="CV102" s="154"/>
      <c r="CW102" s="155"/>
      <c r="CX102" s="154">
        <f t="shared" si="574"/>
        <v>1916</v>
      </c>
      <c r="CY102" s="154"/>
      <c r="CZ102" s="154"/>
      <c r="DA102" s="155"/>
      <c r="DB102" s="154">
        <f t="shared" si="575"/>
        <v>0</v>
      </c>
      <c r="DC102" s="154">
        <f t="shared" si="576"/>
        <v>4135</v>
      </c>
      <c r="DD102" s="154">
        <f t="shared" si="577"/>
        <v>7146</v>
      </c>
      <c r="DE102" s="6"/>
      <c r="DF102" s="6"/>
      <c r="DG102" s="6"/>
      <c r="DH102" s="6"/>
      <c r="DI102" s="6"/>
      <c r="DJ102" s="6"/>
      <c r="DK102" s="6"/>
      <c r="DL102" s="6"/>
    </row>
    <row r="103" ht="15.75" customHeight="1">
      <c r="A103" s="167" t="s">
        <v>175</v>
      </c>
      <c r="B103" s="154">
        <v>16.0</v>
      </c>
      <c r="C103" s="154">
        <v>0.0</v>
      </c>
      <c r="D103" s="154">
        <v>0.0</v>
      </c>
      <c r="E103" s="154">
        <v>0.0</v>
      </c>
      <c r="F103" s="154">
        <v>0.0</v>
      </c>
      <c r="G103" s="154">
        <v>4.0</v>
      </c>
      <c r="H103" s="154">
        <f t="shared" si="544"/>
        <v>4</v>
      </c>
      <c r="I103" s="154">
        <v>0.0</v>
      </c>
      <c r="J103" s="154">
        <v>28.0</v>
      </c>
      <c r="K103" s="154">
        <v>25.0</v>
      </c>
      <c r="L103" s="156">
        <f t="shared" si="545"/>
        <v>53</v>
      </c>
      <c r="M103" s="154">
        <v>17.0</v>
      </c>
      <c r="N103" s="154">
        <v>3.0</v>
      </c>
      <c r="O103" s="154">
        <v>0.0</v>
      </c>
      <c r="P103" s="156">
        <f t="shared" si="546"/>
        <v>20</v>
      </c>
      <c r="Q103" s="154">
        <v>2.0</v>
      </c>
      <c r="R103" s="154">
        <v>10.0</v>
      </c>
      <c r="S103" s="154">
        <v>0.0</v>
      </c>
      <c r="T103" s="156">
        <f t="shared" si="547"/>
        <v>12</v>
      </c>
      <c r="U103" s="154">
        <v>343.0</v>
      </c>
      <c r="V103" s="154">
        <v>51.0</v>
      </c>
      <c r="W103" s="154">
        <v>8.0</v>
      </c>
      <c r="X103" s="156">
        <f t="shared" si="548"/>
        <v>402</v>
      </c>
      <c r="Y103" s="156">
        <f t="shared" si="549"/>
        <v>487</v>
      </c>
      <c r="Z103" s="154">
        <v>3.0</v>
      </c>
      <c r="AA103" s="154">
        <v>0.0</v>
      </c>
      <c r="AB103" s="154">
        <v>3.0</v>
      </c>
      <c r="AC103" s="156">
        <f t="shared" si="550"/>
        <v>6</v>
      </c>
      <c r="AD103" s="154">
        <v>8.0</v>
      </c>
      <c r="AE103" s="154">
        <v>5.0</v>
      </c>
      <c r="AF103" s="154">
        <v>104.0</v>
      </c>
      <c r="AG103" s="156">
        <f t="shared" si="551"/>
        <v>117</v>
      </c>
      <c r="AH103" s="154">
        <v>119.0</v>
      </c>
      <c r="AI103" s="154">
        <v>159.0</v>
      </c>
      <c r="AJ103" s="154">
        <v>75.0</v>
      </c>
      <c r="AK103" s="156">
        <f t="shared" si="552"/>
        <v>353</v>
      </c>
      <c r="AL103" s="154">
        <v>63.0</v>
      </c>
      <c r="AM103" s="154">
        <v>167.0</v>
      </c>
      <c r="AN103" s="154">
        <v>265.0</v>
      </c>
      <c r="AO103" s="156">
        <f t="shared" si="553"/>
        <v>495</v>
      </c>
      <c r="AP103" s="156">
        <f t="shared" si="554"/>
        <v>971</v>
      </c>
      <c r="AQ103" s="154">
        <v>17.0</v>
      </c>
      <c r="AR103" s="154">
        <v>18.0</v>
      </c>
      <c r="AS103" s="154">
        <v>326.0</v>
      </c>
      <c r="AT103" s="154">
        <f t="shared" si="555"/>
        <v>361</v>
      </c>
      <c r="AU103" s="154">
        <v>211.0</v>
      </c>
      <c r="AV103" s="154">
        <v>564.0</v>
      </c>
      <c r="AW103" s="154">
        <v>41.0</v>
      </c>
      <c r="AX103" s="154">
        <f t="shared" si="556"/>
        <v>816</v>
      </c>
      <c r="AY103" s="154">
        <v>846.0</v>
      </c>
      <c r="AZ103" s="154">
        <v>1527.0</v>
      </c>
      <c r="BA103" s="154">
        <v>335.0</v>
      </c>
      <c r="BB103" s="154">
        <f t="shared" si="557"/>
        <v>2708</v>
      </c>
      <c r="BC103" s="154">
        <v>417.0</v>
      </c>
      <c r="BD103" s="154">
        <v>637.0</v>
      </c>
      <c r="BE103" s="154">
        <v>1467.0</v>
      </c>
      <c r="BF103" s="154">
        <f t="shared" si="558"/>
        <v>2521</v>
      </c>
      <c r="BG103" s="154">
        <f t="shared" si="559"/>
        <v>6406</v>
      </c>
      <c r="BH103" s="154">
        <v>135.0</v>
      </c>
      <c r="BI103" s="154">
        <v>255.0</v>
      </c>
      <c r="BJ103" s="154">
        <v>232.0</v>
      </c>
      <c r="BK103" s="154">
        <f t="shared" si="560"/>
        <v>622</v>
      </c>
      <c r="BL103" s="154">
        <v>383.0</v>
      </c>
      <c r="BM103" s="154">
        <v>355.0</v>
      </c>
      <c r="BN103" s="154">
        <v>284.0</v>
      </c>
      <c r="BO103" s="154">
        <f t="shared" si="561"/>
        <v>1022</v>
      </c>
      <c r="BP103" s="154">
        <v>138.0</v>
      </c>
      <c r="BQ103" s="154">
        <v>371.0</v>
      </c>
      <c r="BR103" s="154">
        <v>263.0</v>
      </c>
      <c r="BS103" s="154">
        <f t="shared" si="562"/>
        <v>772</v>
      </c>
      <c r="BT103" s="154">
        <v>375.0</v>
      </c>
      <c r="BU103" s="154">
        <v>253.0</v>
      </c>
      <c r="BV103" s="154">
        <v>55.0</v>
      </c>
      <c r="BW103" s="154">
        <f t="shared" si="563"/>
        <v>683</v>
      </c>
      <c r="BX103" s="154">
        <f t="shared" si="564"/>
        <v>3099</v>
      </c>
      <c r="BY103" s="154">
        <v>478.0</v>
      </c>
      <c r="BZ103" s="154">
        <v>478.0</v>
      </c>
      <c r="CA103" s="154">
        <f t="shared" si="565"/>
        <v>0</v>
      </c>
      <c r="CB103" s="154">
        <v>495.0</v>
      </c>
      <c r="CC103" s="154">
        <v>495.0</v>
      </c>
      <c r="CD103" s="154">
        <f t="shared" si="566"/>
        <v>0</v>
      </c>
      <c r="CE103" s="154">
        <v>2.0</v>
      </c>
      <c r="CF103" s="154">
        <v>544.0</v>
      </c>
      <c r="CG103" s="154">
        <f t="shared" si="567"/>
        <v>542</v>
      </c>
      <c r="CH103" s="154">
        <f t="shared" si="578"/>
        <v>2492</v>
      </c>
      <c r="CI103" s="154">
        <v>321.0</v>
      </c>
      <c r="CJ103" s="154">
        <v>622.0</v>
      </c>
      <c r="CK103" s="154">
        <f t="shared" si="568"/>
        <v>301</v>
      </c>
      <c r="CL103" s="154">
        <v>200.0</v>
      </c>
      <c r="CM103" s="154">
        <v>200.0</v>
      </c>
      <c r="CN103" s="154">
        <f t="shared" si="569"/>
        <v>0</v>
      </c>
      <c r="CO103" s="154">
        <v>73.0</v>
      </c>
      <c r="CP103" s="154">
        <v>76.0</v>
      </c>
      <c r="CQ103" s="154">
        <f t="shared" si="570"/>
        <v>3</v>
      </c>
      <c r="CR103" s="154">
        <f t="shared" si="571"/>
        <v>1717</v>
      </c>
      <c r="CS103" s="154">
        <v>322.0</v>
      </c>
      <c r="CT103" s="154">
        <f t="shared" si="572"/>
        <v>846</v>
      </c>
      <c r="CU103" s="154">
        <f t="shared" si="573"/>
        <v>1168</v>
      </c>
      <c r="CV103" s="154"/>
      <c r="CW103" s="154"/>
      <c r="CX103" s="154">
        <f t="shared" si="574"/>
        <v>2336</v>
      </c>
      <c r="CY103" s="154"/>
      <c r="CZ103" s="154"/>
      <c r="DA103" s="154"/>
      <c r="DB103" s="154">
        <f t="shared" si="575"/>
        <v>0</v>
      </c>
      <c r="DC103" s="154">
        <f t="shared" si="576"/>
        <v>6545</v>
      </c>
      <c r="DD103" s="154">
        <f t="shared" si="577"/>
        <v>17528</v>
      </c>
      <c r="DE103" s="6"/>
      <c r="DF103" s="6"/>
      <c r="DG103" s="6"/>
      <c r="DH103" s="6"/>
      <c r="DI103" s="6"/>
      <c r="DJ103" s="6"/>
      <c r="DK103" s="6"/>
      <c r="DL103" s="6"/>
    </row>
    <row r="104" ht="15.75" customHeight="1">
      <c r="A104" s="167" t="s">
        <v>176</v>
      </c>
      <c r="B104" s="154">
        <v>2512.0</v>
      </c>
      <c r="C104" s="154">
        <v>0.0</v>
      </c>
      <c r="D104" s="154">
        <v>0.0</v>
      </c>
      <c r="E104" s="154">
        <v>0.0</v>
      </c>
      <c r="F104" s="154">
        <v>74.0</v>
      </c>
      <c r="G104" s="154">
        <v>101.0</v>
      </c>
      <c r="H104" s="154">
        <f t="shared" si="544"/>
        <v>175</v>
      </c>
      <c r="I104" s="154">
        <v>19.0</v>
      </c>
      <c r="J104" s="154">
        <v>12.0</v>
      </c>
      <c r="K104" s="154">
        <v>17.0</v>
      </c>
      <c r="L104" s="156">
        <f t="shared" si="545"/>
        <v>48</v>
      </c>
      <c r="M104" s="154">
        <v>10.0</v>
      </c>
      <c r="N104" s="154">
        <v>2.0</v>
      </c>
      <c r="O104" s="154">
        <v>0.0</v>
      </c>
      <c r="P104" s="156">
        <f t="shared" si="546"/>
        <v>12</v>
      </c>
      <c r="Q104" s="154">
        <v>0.0</v>
      </c>
      <c r="R104" s="154">
        <v>4.0</v>
      </c>
      <c r="S104" s="154">
        <v>318.0</v>
      </c>
      <c r="T104" s="156">
        <f t="shared" si="547"/>
        <v>322</v>
      </c>
      <c r="U104" s="154">
        <v>33.0</v>
      </c>
      <c r="V104" s="154">
        <v>611.0</v>
      </c>
      <c r="W104" s="154">
        <v>8.0</v>
      </c>
      <c r="X104" s="156">
        <f t="shared" si="548"/>
        <v>652</v>
      </c>
      <c r="Y104" s="156">
        <f t="shared" si="549"/>
        <v>1034</v>
      </c>
      <c r="Z104" s="154">
        <v>1.0</v>
      </c>
      <c r="AA104" s="154">
        <v>5.0</v>
      </c>
      <c r="AB104" s="154">
        <v>4.0</v>
      </c>
      <c r="AC104" s="156">
        <f t="shared" si="550"/>
        <v>10</v>
      </c>
      <c r="AD104" s="154">
        <v>305.0</v>
      </c>
      <c r="AE104" s="154">
        <v>358.0</v>
      </c>
      <c r="AF104" s="154">
        <v>239.0</v>
      </c>
      <c r="AG104" s="156">
        <f t="shared" si="551"/>
        <v>902</v>
      </c>
      <c r="AH104" s="154">
        <v>153.0</v>
      </c>
      <c r="AI104" s="154">
        <v>307.0</v>
      </c>
      <c r="AJ104" s="154">
        <v>188.0</v>
      </c>
      <c r="AK104" s="156">
        <f t="shared" si="552"/>
        <v>648</v>
      </c>
      <c r="AL104" s="154">
        <v>335.0</v>
      </c>
      <c r="AM104" s="154">
        <v>104.0</v>
      </c>
      <c r="AN104" s="154">
        <v>6.0</v>
      </c>
      <c r="AO104" s="156">
        <f t="shared" si="553"/>
        <v>445</v>
      </c>
      <c r="AP104" s="156">
        <f t="shared" si="554"/>
        <v>2005</v>
      </c>
      <c r="AQ104" s="154">
        <v>2.0</v>
      </c>
      <c r="AR104" s="154">
        <v>91.0</v>
      </c>
      <c r="AS104" s="154">
        <v>459.0</v>
      </c>
      <c r="AT104" s="154">
        <f t="shared" si="555"/>
        <v>552</v>
      </c>
      <c r="AU104" s="154">
        <v>586.0</v>
      </c>
      <c r="AV104" s="154">
        <v>418.0</v>
      </c>
      <c r="AW104" s="154">
        <v>97.0</v>
      </c>
      <c r="AX104" s="154">
        <f t="shared" si="556"/>
        <v>1101</v>
      </c>
      <c r="AY104" s="154">
        <v>1939.0</v>
      </c>
      <c r="AZ104" s="154">
        <v>3146.0</v>
      </c>
      <c r="BA104" s="154">
        <v>1160.0</v>
      </c>
      <c r="BB104" s="154">
        <f t="shared" si="557"/>
        <v>6245</v>
      </c>
      <c r="BC104" s="154">
        <v>299.0</v>
      </c>
      <c r="BD104" s="154">
        <v>1331.0</v>
      </c>
      <c r="BE104" s="154">
        <v>2529.0</v>
      </c>
      <c r="BF104" s="154">
        <f t="shared" si="558"/>
        <v>4159</v>
      </c>
      <c r="BG104" s="154">
        <f t="shared" si="559"/>
        <v>12057</v>
      </c>
      <c r="BH104" s="154">
        <v>177.0</v>
      </c>
      <c r="BI104" s="154">
        <v>529.0</v>
      </c>
      <c r="BJ104" s="154">
        <v>197.0</v>
      </c>
      <c r="BK104" s="154">
        <f t="shared" si="560"/>
        <v>903</v>
      </c>
      <c r="BL104" s="154">
        <v>267.0</v>
      </c>
      <c r="BM104" s="154">
        <v>481.0</v>
      </c>
      <c r="BN104" s="154">
        <v>223.0</v>
      </c>
      <c r="BO104" s="154">
        <f t="shared" si="561"/>
        <v>971</v>
      </c>
      <c r="BP104" s="154">
        <v>478.0</v>
      </c>
      <c r="BQ104" s="154">
        <v>224.0</v>
      </c>
      <c r="BR104" s="154">
        <v>509.0</v>
      </c>
      <c r="BS104" s="154">
        <f t="shared" si="562"/>
        <v>1211</v>
      </c>
      <c r="BT104" s="154">
        <v>222.0</v>
      </c>
      <c r="BU104" s="154">
        <v>330.0</v>
      </c>
      <c r="BV104" s="154">
        <v>72.0</v>
      </c>
      <c r="BW104" s="154">
        <f t="shared" si="563"/>
        <v>624</v>
      </c>
      <c r="BX104" s="154">
        <f t="shared" si="564"/>
        <v>3709</v>
      </c>
      <c r="BY104" s="154">
        <v>310.0</v>
      </c>
      <c r="BZ104" s="154">
        <v>310.0</v>
      </c>
      <c r="CA104" s="154">
        <f t="shared" si="565"/>
        <v>0</v>
      </c>
      <c r="CB104" s="154">
        <v>489.0</v>
      </c>
      <c r="CC104" s="154">
        <v>489.0</v>
      </c>
      <c r="CD104" s="154">
        <f t="shared" si="566"/>
        <v>0</v>
      </c>
      <c r="CE104" s="154">
        <v>22.0</v>
      </c>
      <c r="CF104" s="154">
        <v>718.0</v>
      </c>
      <c r="CG104" s="154">
        <f t="shared" si="567"/>
        <v>696</v>
      </c>
      <c r="CH104" s="154">
        <f t="shared" si="578"/>
        <v>2338</v>
      </c>
      <c r="CI104" s="154">
        <v>300.0</v>
      </c>
      <c r="CJ104" s="154">
        <v>695.0</v>
      </c>
      <c r="CK104" s="154">
        <f t="shared" si="568"/>
        <v>395</v>
      </c>
      <c r="CL104" s="154">
        <v>1428.0</v>
      </c>
      <c r="CM104" s="154">
        <v>1428.0</v>
      </c>
      <c r="CN104" s="154">
        <f t="shared" si="569"/>
        <v>0</v>
      </c>
      <c r="CO104" s="154">
        <v>559.0</v>
      </c>
      <c r="CP104" s="154">
        <v>566.0</v>
      </c>
      <c r="CQ104" s="154">
        <f t="shared" si="570"/>
        <v>7</v>
      </c>
      <c r="CR104" s="154">
        <f t="shared" si="571"/>
        <v>4805</v>
      </c>
      <c r="CS104" s="154">
        <v>1072.0</v>
      </c>
      <c r="CT104" s="154">
        <f t="shared" si="572"/>
        <v>1098</v>
      </c>
      <c r="CU104" s="154">
        <f t="shared" si="573"/>
        <v>2170</v>
      </c>
      <c r="CV104" s="154"/>
      <c r="CW104" s="154"/>
      <c r="CX104" s="154">
        <f t="shared" si="574"/>
        <v>4340</v>
      </c>
      <c r="CY104" s="154"/>
      <c r="CZ104" s="154"/>
      <c r="DA104" s="154"/>
      <c r="DB104" s="154">
        <f t="shared" si="575"/>
        <v>0</v>
      </c>
      <c r="DC104" s="154">
        <f t="shared" si="576"/>
        <v>11483</v>
      </c>
      <c r="DD104" s="154">
        <f t="shared" si="577"/>
        <v>32975</v>
      </c>
      <c r="DE104" s="6"/>
      <c r="DF104" s="6"/>
      <c r="DG104" s="6"/>
      <c r="DH104" s="6"/>
      <c r="DI104" s="6"/>
      <c r="DJ104" s="6"/>
      <c r="DK104" s="6"/>
      <c r="DL104" s="6"/>
    </row>
    <row r="105" ht="15.75" customHeight="1">
      <c r="A105" s="137" t="s">
        <v>177</v>
      </c>
      <c r="B105" s="141">
        <f t="shared" ref="B105:D105" si="579">SUM(B106:B110)</f>
        <v>0</v>
      </c>
      <c r="C105" s="141">
        <f t="shared" si="579"/>
        <v>0</v>
      </c>
      <c r="D105" s="141">
        <f t="shared" si="579"/>
        <v>0</v>
      </c>
      <c r="E105" s="141">
        <f t="shared" ref="E105:BY105" si="580">SUM(E106:E111)</f>
        <v>0</v>
      </c>
      <c r="F105" s="141">
        <f t="shared" si="580"/>
        <v>0</v>
      </c>
      <c r="G105" s="141">
        <f t="shared" si="580"/>
        <v>1</v>
      </c>
      <c r="H105" s="141">
        <f t="shared" si="580"/>
        <v>1</v>
      </c>
      <c r="I105" s="141">
        <f t="shared" si="580"/>
        <v>38</v>
      </c>
      <c r="J105" s="141">
        <f t="shared" si="580"/>
        <v>18</v>
      </c>
      <c r="K105" s="141">
        <f t="shared" si="580"/>
        <v>4</v>
      </c>
      <c r="L105" s="141">
        <f t="shared" si="580"/>
        <v>60</v>
      </c>
      <c r="M105" s="141">
        <f t="shared" si="580"/>
        <v>24</v>
      </c>
      <c r="N105" s="141">
        <f t="shared" si="580"/>
        <v>1</v>
      </c>
      <c r="O105" s="141">
        <f t="shared" si="580"/>
        <v>0</v>
      </c>
      <c r="P105" s="141">
        <f t="shared" si="580"/>
        <v>25</v>
      </c>
      <c r="Q105" s="141">
        <f t="shared" si="580"/>
        <v>0</v>
      </c>
      <c r="R105" s="141">
        <f t="shared" si="580"/>
        <v>8</v>
      </c>
      <c r="S105" s="141">
        <f t="shared" si="580"/>
        <v>8</v>
      </c>
      <c r="T105" s="141">
        <f t="shared" si="580"/>
        <v>16</v>
      </c>
      <c r="U105" s="141">
        <f t="shared" si="580"/>
        <v>19</v>
      </c>
      <c r="V105" s="141">
        <f t="shared" si="580"/>
        <v>6</v>
      </c>
      <c r="W105" s="141">
        <f t="shared" si="580"/>
        <v>6</v>
      </c>
      <c r="X105" s="141">
        <f t="shared" si="580"/>
        <v>31</v>
      </c>
      <c r="Y105" s="141">
        <f t="shared" si="580"/>
        <v>132</v>
      </c>
      <c r="Z105" s="141">
        <f t="shared" si="580"/>
        <v>1</v>
      </c>
      <c r="AA105" s="141">
        <f t="shared" si="580"/>
        <v>7</v>
      </c>
      <c r="AB105" s="141">
        <f t="shared" si="580"/>
        <v>11</v>
      </c>
      <c r="AC105" s="141">
        <f t="shared" si="580"/>
        <v>19</v>
      </c>
      <c r="AD105" s="141">
        <f t="shared" si="580"/>
        <v>7</v>
      </c>
      <c r="AE105" s="141">
        <f t="shared" si="580"/>
        <v>41</v>
      </c>
      <c r="AF105" s="141">
        <f t="shared" si="580"/>
        <v>47</v>
      </c>
      <c r="AG105" s="141">
        <f t="shared" si="580"/>
        <v>95</v>
      </c>
      <c r="AH105" s="141">
        <f t="shared" si="580"/>
        <v>94</v>
      </c>
      <c r="AI105" s="141">
        <f t="shared" si="580"/>
        <v>87</v>
      </c>
      <c r="AJ105" s="141">
        <f t="shared" si="580"/>
        <v>201</v>
      </c>
      <c r="AK105" s="141">
        <f t="shared" si="580"/>
        <v>382</v>
      </c>
      <c r="AL105" s="141">
        <f t="shared" si="580"/>
        <v>26</v>
      </c>
      <c r="AM105" s="141">
        <f t="shared" si="580"/>
        <v>37</v>
      </c>
      <c r="AN105" s="141">
        <f t="shared" si="580"/>
        <v>672</v>
      </c>
      <c r="AO105" s="141">
        <f t="shared" si="580"/>
        <v>735</v>
      </c>
      <c r="AP105" s="141">
        <f t="shared" si="580"/>
        <v>1231</v>
      </c>
      <c r="AQ105" s="141">
        <f t="shared" si="580"/>
        <v>27</v>
      </c>
      <c r="AR105" s="141">
        <f t="shared" si="580"/>
        <v>50</v>
      </c>
      <c r="AS105" s="141">
        <f t="shared" si="580"/>
        <v>37</v>
      </c>
      <c r="AT105" s="141">
        <f t="shared" si="580"/>
        <v>114</v>
      </c>
      <c r="AU105" s="141">
        <f t="shared" si="580"/>
        <v>7</v>
      </c>
      <c r="AV105" s="141">
        <f t="shared" si="580"/>
        <v>518</v>
      </c>
      <c r="AW105" s="141">
        <f t="shared" si="580"/>
        <v>444</v>
      </c>
      <c r="AX105" s="141">
        <f t="shared" si="580"/>
        <v>969</v>
      </c>
      <c r="AY105" s="141">
        <f t="shared" si="580"/>
        <v>743</v>
      </c>
      <c r="AZ105" s="141">
        <f t="shared" si="580"/>
        <v>550</v>
      </c>
      <c r="BA105" s="141">
        <f t="shared" si="580"/>
        <v>143</v>
      </c>
      <c r="BB105" s="141">
        <f t="shared" si="580"/>
        <v>1436</v>
      </c>
      <c r="BC105" s="141">
        <f t="shared" si="580"/>
        <v>22</v>
      </c>
      <c r="BD105" s="141">
        <f t="shared" si="580"/>
        <v>20</v>
      </c>
      <c r="BE105" s="141">
        <f t="shared" si="580"/>
        <v>4825</v>
      </c>
      <c r="BF105" s="141">
        <f t="shared" si="580"/>
        <v>4867</v>
      </c>
      <c r="BG105" s="141">
        <f t="shared" si="580"/>
        <v>7386</v>
      </c>
      <c r="BH105" s="141">
        <f t="shared" si="580"/>
        <v>19671</v>
      </c>
      <c r="BI105" s="141">
        <f t="shared" si="580"/>
        <v>6367</v>
      </c>
      <c r="BJ105" s="141">
        <f t="shared" si="580"/>
        <v>134</v>
      </c>
      <c r="BK105" s="141">
        <f t="shared" si="580"/>
        <v>26172</v>
      </c>
      <c r="BL105" s="141">
        <f t="shared" si="580"/>
        <v>8146</v>
      </c>
      <c r="BM105" s="141">
        <f t="shared" si="580"/>
        <v>4228</v>
      </c>
      <c r="BN105" s="141">
        <f t="shared" si="580"/>
        <v>2846</v>
      </c>
      <c r="BO105" s="141">
        <f t="shared" si="580"/>
        <v>15220</v>
      </c>
      <c r="BP105" s="141">
        <f t="shared" si="580"/>
        <v>805</v>
      </c>
      <c r="BQ105" s="141">
        <f t="shared" si="580"/>
        <v>68</v>
      </c>
      <c r="BR105" s="141">
        <f t="shared" si="580"/>
        <v>508</v>
      </c>
      <c r="BS105" s="141">
        <f t="shared" si="580"/>
        <v>1381</v>
      </c>
      <c r="BT105" s="141">
        <f t="shared" si="580"/>
        <v>156</v>
      </c>
      <c r="BU105" s="141">
        <f t="shared" si="580"/>
        <v>108</v>
      </c>
      <c r="BV105" s="141">
        <f t="shared" si="580"/>
        <v>12</v>
      </c>
      <c r="BW105" s="141">
        <f t="shared" si="580"/>
        <v>276</v>
      </c>
      <c r="BX105" s="141">
        <f t="shared" si="580"/>
        <v>43049</v>
      </c>
      <c r="BY105" s="141">
        <f t="shared" si="580"/>
        <v>23</v>
      </c>
      <c r="BZ105" s="141"/>
      <c r="CA105" s="141"/>
      <c r="CB105" s="141">
        <f>SUM(CB106:CB111)</f>
        <v>221</v>
      </c>
      <c r="CC105" s="141"/>
      <c r="CD105" s="141"/>
      <c r="CE105" s="141">
        <f>SUM(CE106:CE111)</f>
        <v>1</v>
      </c>
      <c r="CF105" s="141"/>
      <c r="CG105" s="193"/>
      <c r="CH105" s="141">
        <f t="shared" ref="CH105:CI105" si="581">SUM(CH106:CH111)</f>
        <v>245</v>
      </c>
      <c r="CI105" s="141">
        <f t="shared" si="581"/>
        <v>0</v>
      </c>
      <c r="CJ105" s="141"/>
      <c r="CK105" s="193"/>
      <c r="CL105" s="141">
        <f>SUM(CL106:CL111)</f>
        <v>0</v>
      </c>
      <c r="CM105" s="141"/>
      <c r="CN105" s="193"/>
      <c r="CO105" s="141">
        <f>SUM(CO106:CO111)</f>
        <v>0</v>
      </c>
      <c r="CP105" s="141"/>
      <c r="CQ105" s="193"/>
      <c r="CR105" s="141">
        <f t="shared" ref="CR105:CS105" si="582">SUM(CR106:CR111)</f>
        <v>0</v>
      </c>
      <c r="CS105" s="141">
        <f t="shared" si="582"/>
        <v>0</v>
      </c>
      <c r="CT105" s="141"/>
      <c r="CU105" s="141"/>
      <c r="CV105" s="141">
        <f t="shared" ref="CV105:DD105" si="583">SUM(CV106:CV111)</f>
        <v>0</v>
      </c>
      <c r="CW105" s="141">
        <f t="shared" si="583"/>
        <v>0</v>
      </c>
      <c r="CX105" s="141">
        <f t="shared" si="583"/>
        <v>0</v>
      </c>
      <c r="CY105" s="141">
        <f t="shared" si="583"/>
        <v>0</v>
      </c>
      <c r="CZ105" s="141">
        <f t="shared" si="583"/>
        <v>0</v>
      </c>
      <c r="DA105" s="141">
        <f t="shared" si="583"/>
        <v>0</v>
      </c>
      <c r="DB105" s="141">
        <f t="shared" si="583"/>
        <v>0</v>
      </c>
      <c r="DC105" s="141">
        <f t="shared" si="583"/>
        <v>245</v>
      </c>
      <c r="DD105" s="141">
        <f t="shared" si="583"/>
        <v>52044</v>
      </c>
      <c r="DE105" s="6"/>
      <c r="DF105" s="6"/>
      <c r="DG105" s="6"/>
      <c r="DH105" s="6"/>
      <c r="DI105" s="6"/>
      <c r="DJ105" s="6"/>
      <c r="DK105" s="6"/>
      <c r="DL105" s="6"/>
    </row>
    <row r="106" ht="15.75" customHeight="1">
      <c r="A106" s="167" t="s">
        <v>178</v>
      </c>
      <c r="B106" s="154">
        <v>0.0</v>
      </c>
      <c r="C106" s="154">
        <v>0.0</v>
      </c>
      <c r="D106" s="154">
        <v>0.0</v>
      </c>
      <c r="E106" s="154">
        <v>0.0</v>
      </c>
      <c r="F106" s="154">
        <v>0.0</v>
      </c>
      <c r="G106" s="154">
        <v>0.0</v>
      </c>
      <c r="H106" s="154">
        <f t="shared" ref="H106:H112" si="584">SUM(C106:G106)</f>
        <v>0</v>
      </c>
      <c r="I106" s="154">
        <v>0.0</v>
      </c>
      <c r="J106" s="154">
        <v>0.0</v>
      </c>
      <c r="K106" s="154">
        <v>0.0</v>
      </c>
      <c r="L106" s="156">
        <f t="shared" ref="L106:L112" si="585">SUM(I106:K106)</f>
        <v>0</v>
      </c>
      <c r="M106" s="154">
        <v>0.0</v>
      </c>
      <c r="N106" s="154">
        <v>0.0</v>
      </c>
      <c r="O106" s="154">
        <v>0.0</v>
      </c>
      <c r="P106" s="156">
        <f t="shared" ref="P106:P112" si="586">SUM(M106:O106)</f>
        <v>0</v>
      </c>
      <c r="Q106" s="154">
        <v>0.0</v>
      </c>
      <c r="R106" s="154">
        <v>0.0</v>
      </c>
      <c r="S106" s="154">
        <v>0.0</v>
      </c>
      <c r="T106" s="156">
        <f t="shared" ref="T106:T112" si="587">SUM(Q106:S106)</f>
        <v>0</v>
      </c>
      <c r="U106" s="154">
        <v>0.0</v>
      </c>
      <c r="V106" s="154">
        <v>0.0</v>
      </c>
      <c r="W106" s="154">
        <v>0.0</v>
      </c>
      <c r="X106" s="156">
        <f t="shared" ref="X106:X112" si="588">SUM(U106:W106)</f>
        <v>0</v>
      </c>
      <c r="Y106" s="156">
        <f t="shared" ref="Y106:Y112" si="589">SUM(X106,T106,P106,L106)</f>
        <v>0</v>
      </c>
      <c r="Z106" s="154">
        <v>0.0</v>
      </c>
      <c r="AA106" s="154">
        <v>0.0</v>
      </c>
      <c r="AB106" s="154">
        <v>0.0</v>
      </c>
      <c r="AC106" s="156">
        <f t="shared" ref="AC106:AC112" si="590">SUM(Z106:AB106)</f>
        <v>0</v>
      </c>
      <c r="AD106" s="154">
        <v>0.0</v>
      </c>
      <c r="AE106" s="154">
        <v>0.0</v>
      </c>
      <c r="AF106" s="154">
        <v>0.0</v>
      </c>
      <c r="AG106" s="156">
        <f t="shared" ref="AG106:AG112" si="591">SUM(AD106:AF106)</f>
        <v>0</v>
      </c>
      <c r="AH106" s="154">
        <v>0.0</v>
      </c>
      <c r="AI106" s="154">
        <v>0.0</v>
      </c>
      <c r="AJ106" s="154">
        <v>0.0</v>
      </c>
      <c r="AK106" s="156">
        <f t="shared" ref="AK106:AK112" si="592">SUM(AH106:AJ106)</f>
        <v>0</v>
      </c>
      <c r="AL106" s="154">
        <v>2.0</v>
      </c>
      <c r="AM106" s="154">
        <v>0.0</v>
      </c>
      <c r="AN106" s="154">
        <v>1.0</v>
      </c>
      <c r="AO106" s="156">
        <f t="shared" ref="AO106:AO112" si="593">SUM(AL106:AN106)</f>
        <v>3</v>
      </c>
      <c r="AP106" s="156">
        <f t="shared" ref="AP106:AP112" si="594">SUM(AO106,AK106,AG106,AC106)</f>
        <v>3</v>
      </c>
      <c r="AQ106" s="154">
        <v>3.0</v>
      </c>
      <c r="AR106" s="154">
        <v>1.0</v>
      </c>
      <c r="AS106" s="154">
        <v>0.0</v>
      </c>
      <c r="AT106" s="154">
        <f t="shared" ref="AT106:AT112" si="595">SUM(AQ106:AS106)</f>
        <v>4</v>
      </c>
      <c r="AU106" s="154">
        <v>0.0</v>
      </c>
      <c r="AV106" s="154">
        <v>0.0</v>
      </c>
      <c r="AW106" s="154">
        <v>1.0</v>
      </c>
      <c r="AX106" s="154">
        <f t="shared" ref="AX106:AX112" si="596">SUM(AU106:AW106)</f>
        <v>1</v>
      </c>
      <c r="AY106" s="154">
        <v>11.0</v>
      </c>
      <c r="AZ106" s="154">
        <v>145.0</v>
      </c>
      <c r="BA106" s="154">
        <v>0.0</v>
      </c>
      <c r="BB106" s="154">
        <f t="shared" ref="BB106:BB112" si="597">SUM(AY106:BA106)</f>
        <v>156</v>
      </c>
      <c r="BC106" s="154">
        <v>0.0</v>
      </c>
      <c r="BD106" s="154">
        <v>2.0</v>
      </c>
      <c r="BE106" s="154">
        <v>18.0</v>
      </c>
      <c r="BF106" s="154">
        <f t="shared" ref="BF106:BF112" si="598">SUM(BC106:BE106)</f>
        <v>20</v>
      </c>
      <c r="BG106" s="154">
        <f t="shared" ref="BG106:BG111" si="599">SUM(AT106,AX106,BB106,BF106)</f>
        <v>181</v>
      </c>
      <c r="BH106" s="154">
        <v>0.0</v>
      </c>
      <c r="BI106" s="154">
        <v>0.0</v>
      </c>
      <c r="BJ106" s="154">
        <v>0.0</v>
      </c>
      <c r="BK106" s="154">
        <f t="shared" ref="BK106:BK112" si="600">SUM(BH106:BJ106)</f>
        <v>0</v>
      </c>
      <c r="BL106" s="154">
        <v>1471.0</v>
      </c>
      <c r="BM106" s="154">
        <v>774.0</v>
      </c>
      <c r="BN106" s="154">
        <v>1102.0</v>
      </c>
      <c r="BO106" s="154">
        <f t="shared" ref="BO106:BO112" si="601">SUM(BL106:BN106)</f>
        <v>3347</v>
      </c>
      <c r="BP106" s="154">
        <v>0.0</v>
      </c>
      <c r="BQ106" s="154">
        <v>0.0</v>
      </c>
      <c r="BR106" s="154">
        <v>0.0</v>
      </c>
      <c r="BS106" s="154">
        <f t="shared" ref="BS106:BS112" si="602">SUM(BP106:BR106)</f>
        <v>0</v>
      </c>
      <c r="BT106" s="154">
        <v>0.0</v>
      </c>
      <c r="BU106" s="154">
        <v>0.0</v>
      </c>
      <c r="BV106" s="154">
        <v>0.0</v>
      </c>
      <c r="BW106" s="154">
        <f t="shared" ref="BW106:BW112" si="603">SUM(BT106:BV106)</f>
        <v>0</v>
      </c>
      <c r="BX106" s="154">
        <f t="shared" ref="BX106:BX111" si="604">SUM(BK106,BO106,BS106,BW106)</f>
        <v>3347</v>
      </c>
      <c r="BY106" s="154">
        <v>0.0</v>
      </c>
      <c r="BZ106" s="154"/>
      <c r="CA106" s="154"/>
      <c r="CB106" s="154">
        <v>17.0</v>
      </c>
      <c r="CC106" s="125"/>
      <c r="CD106" s="154"/>
      <c r="CE106" s="125"/>
      <c r="CF106" s="125"/>
      <c r="CG106" s="194"/>
      <c r="CH106" s="154">
        <f t="shared" ref="CH106:CH112" si="605">SUM(BY106:CE106)</f>
        <v>17</v>
      </c>
      <c r="CI106" s="154"/>
      <c r="CJ106" s="154"/>
      <c r="CK106" s="194"/>
      <c r="CL106" s="154"/>
      <c r="CM106" s="154"/>
      <c r="CN106" s="194"/>
      <c r="CO106" s="154"/>
      <c r="CP106" s="154"/>
      <c r="CQ106" s="194"/>
      <c r="CR106" s="154">
        <f t="shared" ref="CR106:CR112" si="606">SUM(CI106:CO106)</f>
        <v>0</v>
      </c>
      <c r="CS106" s="154"/>
      <c r="CT106" s="154"/>
      <c r="CU106" s="154"/>
      <c r="CV106" s="154"/>
      <c r="CW106" s="154"/>
      <c r="CX106" s="154">
        <f t="shared" ref="CX106:CX112" si="607">SUM(CS106:CW106)</f>
        <v>0</v>
      </c>
      <c r="CY106" s="154"/>
      <c r="CZ106" s="154"/>
      <c r="DA106" s="154"/>
      <c r="DB106" s="154">
        <f t="shared" ref="DB106:DB112" si="608">SUM(CY106:DA106)</f>
        <v>0</v>
      </c>
      <c r="DC106" s="154">
        <f t="shared" ref="DC106:DC111" si="609">SUM(CH106,CR106,CX106,DB106)</f>
        <v>17</v>
      </c>
      <c r="DD106" s="154">
        <f t="shared" ref="DD106:DD111" si="610">SUM(B106,H106,Y106,AP106,BG106,BX106,DC106)</f>
        <v>3548</v>
      </c>
      <c r="DE106" s="6"/>
      <c r="DF106" s="6"/>
      <c r="DG106" s="6"/>
      <c r="DH106" s="6"/>
      <c r="DI106" s="6"/>
      <c r="DJ106" s="6"/>
      <c r="DK106" s="6"/>
      <c r="DL106" s="6"/>
    </row>
    <row r="107" ht="15.75" customHeight="1">
      <c r="A107" s="167" t="s">
        <v>179</v>
      </c>
      <c r="B107" s="125">
        <v>0.0</v>
      </c>
      <c r="C107" s="154">
        <v>0.0</v>
      </c>
      <c r="D107" s="154">
        <v>0.0</v>
      </c>
      <c r="E107" s="154">
        <v>0.0</v>
      </c>
      <c r="F107" s="154">
        <v>0.0</v>
      </c>
      <c r="G107" s="154">
        <v>0.0</v>
      </c>
      <c r="H107" s="154">
        <f t="shared" si="584"/>
        <v>0</v>
      </c>
      <c r="I107" s="154">
        <v>0.0</v>
      </c>
      <c r="J107" s="154">
        <v>0.0</v>
      </c>
      <c r="K107" s="154">
        <v>0.0</v>
      </c>
      <c r="L107" s="156">
        <f t="shared" si="585"/>
        <v>0</v>
      </c>
      <c r="M107" s="154">
        <v>0.0</v>
      </c>
      <c r="N107" s="154">
        <v>0.0</v>
      </c>
      <c r="O107" s="154">
        <v>0.0</v>
      </c>
      <c r="P107" s="156">
        <f t="shared" si="586"/>
        <v>0</v>
      </c>
      <c r="Q107" s="154">
        <v>0.0</v>
      </c>
      <c r="R107" s="154">
        <v>0.0</v>
      </c>
      <c r="S107" s="154">
        <v>1.0</v>
      </c>
      <c r="T107" s="156">
        <f t="shared" si="587"/>
        <v>1</v>
      </c>
      <c r="U107" s="154">
        <v>0.0</v>
      </c>
      <c r="V107" s="154">
        <v>2.0</v>
      </c>
      <c r="W107" s="154">
        <v>3.0</v>
      </c>
      <c r="X107" s="156">
        <f t="shared" si="588"/>
        <v>5</v>
      </c>
      <c r="Y107" s="156">
        <f t="shared" si="589"/>
        <v>6</v>
      </c>
      <c r="Z107" s="154">
        <v>1.0</v>
      </c>
      <c r="AA107" s="154">
        <v>2.0</v>
      </c>
      <c r="AB107" s="154">
        <v>2.0</v>
      </c>
      <c r="AC107" s="156">
        <f t="shared" si="590"/>
        <v>5</v>
      </c>
      <c r="AD107" s="154">
        <v>1.0</v>
      </c>
      <c r="AE107" s="154">
        <v>0.0</v>
      </c>
      <c r="AF107" s="154">
        <v>3.0</v>
      </c>
      <c r="AG107" s="156">
        <f t="shared" si="591"/>
        <v>4</v>
      </c>
      <c r="AH107" s="154">
        <v>78.0</v>
      </c>
      <c r="AI107" s="154">
        <v>22.0</v>
      </c>
      <c r="AJ107" s="154">
        <v>5.0</v>
      </c>
      <c r="AK107" s="156">
        <f t="shared" si="592"/>
        <v>105</v>
      </c>
      <c r="AL107" s="154">
        <v>0.0</v>
      </c>
      <c r="AM107" s="154">
        <v>23.0</v>
      </c>
      <c r="AN107" s="154">
        <v>110.0</v>
      </c>
      <c r="AO107" s="156">
        <f t="shared" si="593"/>
        <v>133</v>
      </c>
      <c r="AP107" s="156">
        <f t="shared" si="594"/>
        <v>247</v>
      </c>
      <c r="AQ107" s="154">
        <v>9.0</v>
      </c>
      <c r="AR107" s="154">
        <v>0.0</v>
      </c>
      <c r="AS107" s="154">
        <v>6.0</v>
      </c>
      <c r="AT107" s="154">
        <f t="shared" si="595"/>
        <v>15</v>
      </c>
      <c r="AU107" s="154">
        <v>3.0</v>
      </c>
      <c r="AV107" s="154">
        <v>0.0</v>
      </c>
      <c r="AW107" s="154">
        <v>29.0</v>
      </c>
      <c r="AX107" s="154">
        <f t="shared" si="596"/>
        <v>32</v>
      </c>
      <c r="AY107" s="154">
        <v>75.0</v>
      </c>
      <c r="AZ107" s="154">
        <v>133.0</v>
      </c>
      <c r="BA107" s="154">
        <v>50.0</v>
      </c>
      <c r="BB107" s="154">
        <f t="shared" si="597"/>
        <v>258</v>
      </c>
      <c r="BC107" s="154">
        <v>0.0</v>
      </c>
      <c r="BD107" s="154">
        <v>0.0</v>
      </c>
      <c r="BE107" s="154">
        <v>30.0</v>
      </c>
      <c r="BF107" s="154">
        <f t="shared" si="598"/>
        <v>30</v>
      </c>
      <c r="BG107" s="154">
        <f t="shared" si="599"/>
        <v>335</v>
      </c>
      <c r="BH107" s="154">
        <v>0.0</v>
      </c>
      <c r="BI107" s="154">
        <v>1.0</v>
      </c>
      <c r="BJ107" s="154">
        <v>25.0</v>
      </c>
      <c r="BK107" s="154">
        <f t="shared" si="600"/>
        <v>26</v>
      </c>
      <c r="BL107" s="154">
        <v>2594.0</v>
      </c>
      <c r="BM107" s="154">
        <v>1833.0</v>
      </c>
      <c r="BN107" s="154">
        <v>1122.0</v>
      </c>
      <c r="BO107" s="154">
        <f t="shared" si="601"/>
        <v>5549</v>
      </c>
      <c r="BP107" s="154">
        <v>0.0</v>
      </c>
      <c r="BQ107" s="154">
        <v>0.0</v>
      </c>
      <c r="BR107" s="154">
        <v>0.0</v>
      </c>
      <c r="BS107" s="154">
        <f t="shared" si="602"/>
        <v>0</v>
      </c>
      <c r="BT107" s="154">
        <v>0.0</v>
      </c>
      <c r="BU107" s="154">
        <v>0.0</v>
      </c>
      <c r="BV107" s="154">
        <v>0.0</v>
      </c>
      <c r="BW107" s="154">
        <f t="shared" si="603"/>
        <v>0</v>
      </c>
      <c r="BX107" s="154">
        <f t="shared" si="604"/>
        <v>5575</v>
      </c>
      <c r="BY107" s="154">
        <v>3.0</v>
      </c>
      <c r="BZ107" s="154"/>
      <c r="CA107" s="154"/>
      <c r="CB107" s="154">
        <v>28.0</v>
      </c>
      <c r="CC107" s="125"/>
      <c r="CD107" s="154"/>
      <c r="CE107" s="125"/>
      <c r="CF107" s="125"/>
      <c r="CG107" s="194"/>
      <c r="CH107" s="154">
        <f t="shared" si="605"/>
        <v>31</v>
      </c>
      <c r="CI107" s="154"/>
      <c r="CJ107" s="154"/>
      <c r="CK107" s="194"/>
      <c r="CL107" s="154"/>
      <c r="CM107" s="154"/>
      <c r="CN107" s="194"/>
      <c r="CO107" s="154"/>
      <c r="CP107" s="154"/>
      <c r="CQ107" s="194"/>
      <c r="CR107" s="154">
        <f t="shared" si="606"/>
        <v>0</v>
      </c>
      <c r="CS107" s="154"/>
      <c r="CT107" s="154"/>
      <c r="CU107" s="154"/>
      <c r="CV107" s="154"/>
      <c r="CW107" s="154"/>
      <c r="CX107" s="154">
        <f t="shared" si="607"/>
        <v>0</v>
      </c>
      <c r="CY107" s="154"/>
      <c r="CZ107" s="154"/>
      <c r="DA107" s="154"/>
      <c r="DB107" s="154">
        <f t="shared" si="608"/>
        <v>0</v>
      </c>
      <c r="DC107" s="154">
        <f t="shared" si="609"/>
        <v>31</v>
      </c>
      <c r="DD107" s="154">
        <f t="shared" si="610"/>
        <v>6194</v>
      </c>
      <c r="DE107" s="6"/>
      <c r="DF107" s="6"/>
      <c r="DG107" s="6"/>
      <c r="DH107" s="6"/>
      <c r="DI107" s="6"/>
      <c r="DJ107" s="6"/>
      <c r="DK107" s="6"/>
      <c r="DL107" s="6"/>
    </row>
    <row r="108" ht="15.75" customHeight="1">
      <c r="A108" s="167" t="s">
        <v>180</v>
      </c>
      <c r="B108" s="125">
        <v>0.0</v>
      </c>
      <c r="C108" s="154">
        <v>0.0</v>
      </c>
      <c r="D108" s="154">
        <v>0.0</v>
      </c>
      <c r="E108" s="154">
        <v>0.0</v>
      </c>
      <c r="F108" s="154">
        <v>0.0</v>
      </c>
      <c r="G108" s="154">
        <v>0.0</v>
      </c>
      <c r="H108" s="154">
        <f t="shared" si="584"/>
        <v>0</v>
      </c>
      <c r="I108" s="154">
        <v>1.0</v>
      </c>
      <c r="J108" s="154">
        <v>6.0</v>
      </c>
      <c r="K108" s="154">
        <v>0.0</v>
      </c>
      <c r="L108" s="156">
        <f t="shared" si="585"/>
        <v>7</v>
      </c>
      <c r="M108" s="154">
        <v>0.0</v>
      </c>
      <c r="N108" s="154">
        <v>0.0</v>
      </c>
      <c r="O108" s="154">
        <v>0.0</v>
      </c>
      <c r="P108" s="156">
        <f t="shared" si="586"/>
        <v>0</v>
      </c>
      <c r="Q108" s="154">
        <v>0.0</v>
      </c>
      <c r="R108" s="154">
        <v>7.0</v>
      </c>
      <c r="S108" s="154">
        <v>6.0</v>
      </c>
      <c r="T108" s="156">
        <f t="shared" si="587"/>
        <v>13</v>
      </c>
      <c r="U108" s="154">
        <v>2.0</v>
      </c>
      <c r="V108" s="154">
        <v>2.0</v>
      </c>
      <c r="W108" s="154">
        <v>3.0</v>
      </c>
      <c r="X108" s="156">
        <f t="shared" si="588"/>
        <v>7</v>
      </c>
      <c r="Y108" s="156">
        <f t="shared" si="589"/>
        <v>27</v>
      </c>
      <c r="Z108" s="154">
        <v>0.0</v>
      </c>
      <c r="AA108" s="154">
        <v>5.0</v>
      </c>
      <c r="AB108" s="154">
        <v>7.0</v>
      </c>
      <c r="AC108" s="156">
        <f t="shared" si="590"/>
        <v>12</v>
      </c>
      <c r="AD108" s="154">
        <v>6.0</v>
      </c>
      <c r="AE108" s="154">
        <v>0.0</v>
      </c>
      <c r="AF108" s="154">
        <v>8.0</v>
      </c>
      <c r="AG108" s="156">
        <f t="shared" si="591"/>
        <v>14</v>
      </c>
      <c r="AH108" s="154">
        <v>8.0</v>
      </c>
      <c r="AI108" s="154">
        <v>54.0</v>
      </c>
      <c r="AJ108" s="154">
        <v>11.0</v>
      </c>
      <c r="AK108" s="156">
        <f t="shared" si="592"/>
        <v>73</v>
      </c>
      <c r="AL108" s="154">
        <v>6.0</v>
      </c>
      <c r="AM108" s="154">
        <v>6.0</v>
      </c>
      <c r="AN108" s="154">
        <v>553.0</v>
      </c>
      <c r="AO108" s="156">
        <f t="shared" si="593"/>
        <v>565</v>
      </c>
      <c r="AP108" s="156">
        <f t="shared" si="594"/>
        <v>664</v>
      </c>
      <c r="AQ108" s="154">
        <v>14.0</v>
      </c>
      <c r="AR108" s="154">
        <v>48.0</v>
      </c>
      <c r="AS108" s="154">
        <v>24.0</v>
      </c>
      <c r="AT108" s="154">
        <f t="shared" si="595"/>
        <v>86</v>
      </c>
      <c r="AU108" s="154">
        <v>1.0</v>
      </c>
      <c r="AV108" s="154">
        <v>0.0</v>
      </c>
      <c r="AW108" s="154">
        <v>289.0</v>
      </c>
      <c r="AX108" s="154">
        <f t="shared" si="596"/>
        <v>290</v>
      </c>
      <c r="AY108" s="154">
        <v>114.0</v>
      </c>
      <c r="AZ108" s="154">
        <v>178.0</v>
      </c>
      <c r="BA108" s="154">
        <v>71.0</v>
      </c>
      <c r="BB108" s="154">
        <f t="shared" si="597"/>
        <v>363</v>
      </c>
      <c r="BC108" s="154">
        <v>20.0</v>
      </c>
      <c r="BD108" s="154">
        <v>14.0</v>
      </c>
      <c r="BE108" s="154">
        <v>4732.0</v>
      </c>
      <c r="BF108" s="154">
        <f t="shared" si="598"/>
        <v>4766</v>
      </c>
      <c r="BG108" s="154">
        <f t="shared" si="599"/>
        <v>5505</v>
      </c>
      <c r="BH108" s="154">
        <v>19658.0</v>
      </c>
      <c r="BI108" s="154">
        <v>6335.0</v>
      </c>
      <c r="BJ108" s="154">
        <v>106.0</v>
      </c>
      <c r="BK108" s="154">
        <f t="shared" si="600"/>
        <v>26099</v>
      </c>
      <c r="BL108" s="154">
        <v>2453.0</v>
      </c>
      <c r="BM108" s="154">
        <v>298.0</v>
      </c>
      <c r="BN108" s="154">
        <v>76.0</v>
      </c>
      <c r="BO108" s="154">
        <f t="shared" si="601"/>
        <v>2827</v>
      </c>
      <c r="BP108" s="154">
        <v>805.0</v>
      </c>
      <c r="BQ108" s="154">
        <v>68.0</v>
      </c>
      <c r="BR108" s="154">
        <v>508.0</v>
      </c>
      <c r="BS108" s="154">
        <f t="shared" si="602"/>
        <v>1381</v>
      </c>
      <c r="BT108" s="154">
        <v>156.0</v>
      </c>
      <c r="BU108" s="154">
        <v>93.0</v>
      </c>
      <c r="BV108" s="154">
        <v>12.0</v>
      </c>
      <c r="BW108" s="154">
        <f t="shared" si="603"/>
        <v>261</v>
      </c>
      <c r="BX108" s="154">
        <f t="shared" si="604"/>
        <v>30568</v>
      </c>
      <c r="BY108" s="154">
        <v>8.0</v>
      </c>
      <c r="BZ108" s="154"/>
      <c r="CA108" s="154"/>
      <c r="CB108" s="154">
        <v>75.0</v>
      </c>
      <c r="CC108" s="125"/>
      <c r="CD108" s="154"/>
      <c r="CE108" s="125"/>
      <c r="CF108" s="125"/>
      <c r="CG108" s="194"/>
      <c r="CH108" s="154">
        <f t="shared" si="605"/>
        <v>83</v>
      </c>
      <c r="CI108" s="154"/>
      <c r="CJ108" s="154"/>
      <c r="CK108" s="194"/>
      <c r="CL108" s="154"/>
      <c r="CM108" s="154"/>
      <c r="CN108" s="194"/>
      <c r="CO108" s="154"/>
      <c r="CP108" s="154"/>
      <c r="CQ108" s="194"/>
      <c r="CR108" s="154">
        <f t="shared" si="606"/>
        <v>0</v>
      </c>
      <c r="CS108" s="154"/>
      <c r="CT108" s="154"/>
      <c r="CU108" s="154"/>
      <c r="CV108" s="154"/>
      <c r="CW108" s="154"/>
      <c r="CX108" s="154">
        <f t="shared" si="607"/>
        <v>0</v>
      </c>
      <c r="CY108" s="154"/>
      <c r="CZ108" s="154"/>
      <c r="DA108" s="154"/>
      <c r="DB108" s="154">
        <f t="shared" si="608"/>
        <v>0</v>
      </c>
      <c r="DC108" s="154">
        <f t="shared" si="609"/>
        <v>83</v>
      </c>
      <c r="DD108" s="154">
        <f t="shared" si="610"/>
        <v>36847</v>
      </c>
      <c r="DE108" s="6"/>
      <c r="DF108" s="6"/>
      <c r="DG108" s="6"/>
      <c r="DH108" s="6"/>
      <c r="DI108" s="6"/>
      <c r="DJ108" s="6"/>
      <c r="DK108" s="6"/>
      <c r="DL108" s="6"/>
    </row>
    <row r="109" ht="15.75" customHeight="1">
      <c r="A109" s="167" t="s">
        <v>181</v>
      </c>
      <c r="B109" s="125">
        <v>0.0</v>
      </c>
      <c r="C109" s="154">
        <v>0.0</v>
      </c>
      <c r="D109" s="154">
        <v>0.0</v>
      </c>
      <c r="E109" s="154">
        <v>0.0</v>
      </c>
      <c r="F109" s="154">
        <v>0.0</v>
      </c>
      <c r="G109" s="154">
        <v>0.0</v>
      </c>
      <c r="H109" s="154">
        <f t="shared" si="584"/>
        <v>0</v>
      </c>
      <c r="I109" s="154">
        <v>0.0</v>
      </c>
      <c r="J109" s="154">
        <v>0.0</v>
      </c>
      <c r="K109" s="154">
        <v>0.0</v>
      </c>
      <c r="L109" s="156">
        <f t="shared" si="585"/>
        <v>0</v>
      </c>
      <c r="M109" s="154">
        <v>0.0</v>
      </c>
      <c r="N109" s="154">
        <v>0.0</v>
      </c>
      <c r="O109" s="154">
        <v>0.0</v>
      </c>
      <c r="P109" s="156">
        <f t="shared" si="586"/>
        <v>0</v>
      </c>
      <c r="Q109" s="154">
        <v>0.0</v>
      </c>
      <c r="R109" s="154">
        <v>0.0</v>
      </c>
      <c r="S109" s="154">
        <v>0.0</v>
      </c>
      <c r="T109" s="156">
        <f t="shared" si="587"/>
        <v>0</v>
      </c>
      <c r="U109" s="154">
        <v>0.0</v>
      </c>
      <c r="V109" s="154">
        <v>0.0</v>
      </c>
      <c r="W109" s="154">
        <v>0.0</v>
      </c>
      <c r="X109" s="156">
        <f t="shared" si="588"/>
        <v>0</v>
      </c>
      <c r="Y109" s="156">
        <f t="shared" si="589"/>
        <v>0</v>
      </c>
      <c r="Z109" s="154">
        <v>0.0</v>
      </c>
      <c r="AA109" s="154">
        <v>0.0</v>
      </c>
      <c r="AB109" s="154">
        <v>0.0</v>
      </c>
      <c r="AC109" s="156">
        <f t="shared" si="590"/>
        <v>0</v>
      </c>
      <c r="AD109" s="154">
        <v>0.0</v>
      </c>
      <c r="AE109" s="154">
        <v>0.0</v>
      </c>
      <c r="AF109" s="154">
        <v>0.0</v>
      </c>
      <c r="AG109" s="156">
        <f t="shared" si="591"/>
        <v>0</v>
      </c>
      <c r="AH109" s="154">
        <v>0.0</v>
      </c>
      <c r="AI109" s="154">
        <v>0.0</v>
      </c>
      <c r="AJ109" s="154">
        <v>0.0</v>
      </c>
      <c r="AK109" s="156">
        <f t="shared" si="592"/>
        <v>0</v>
      </c>
      <c r="AL109" s="154">
        <v>0.0</v>
      </c>
      <c r="AM109" s="154">
        <v>0.0</v>
      </c>
      <c r="AN109" s="154">
        <v>0.0</v>
      </c>
      <c r="AO109" s="156">
        <f t="shared" si="593"/>
        <v>0</v>
      </c>
      <c r="AP109" s="156">
        <f t="shared" si="594"/>
        <v>0</v>
      </c>
      <c r="AQ109" s="154">
        <v>0.0</v>
      </c>
      <c r="AR109" s="154">
        <v>0.0</v>
      </c>
      <c r="AS109" s="154">
        <v>2.0</v>
      </c>
      <c r="AT109" s="154">
        <f t="shared" si="595"/>
        <v>2</v>
      </c>
      <c r="AU109" s="154">
        <v>0.0</v>
      </c>
      <c r="AV109" s="154">
        <v>0.0</v>
      </c>
      <c r="AW109" s="154">
        <v>0.0</v>
      </c>
      <c r="AX109" s="154">
        <f t="shared" si="596"/>
        <v>0</v>
      </c>
      <c r="AY109" s="154">
        <v>1.0</v>
      </c>
      <c r="AZ109" s="154">
        <v>1.0</v>
      </c>
      <c r="BA109" s="154">
        <v>0.0</v>
      </c>
      <c r="BB109" s="154">
        <f t="shared" si="597"/>
        <v>2</v>
      </c>
      <c r="BC109" s="154">
        <v>0.0</v>
      </c>
      <c r="BD109" s="154">
        <v>0.0</v>
      </c>
      <c r="BE109" s="154">
        <v>8.0</v>
      </c>
      <c r="BF109" s="154">
        <f t="shared" si="598"/>
        <v>8</v>
      </c>
      <c r="BG109" s="154">
        <f t="shared" si="599"/>
        <v>12</v>
      </c>
      <c r="BH109" s="154">
        <v>0.0</v>
      </c>
      <c r="BI109" s="154">
        <v>23.0</v>
      </c>
      <c r="BJ109" s="154">
        <v>0.0</v>
      </c>
      <c r="BK109" s="154">
        <f t="shared" si="600"/>
        <v>23</v>
      </c>
      <c r="BL109" s="154">
        <v>255.0</v>
      </c>
      <c r="BM109" s="154">
        <v>0.0</v>
      </c>
      <c r="BN109" s="154">
        <v>0.0</v>
      </c>
      <c r="BO109" s="154">
        <f t="shared" si="601"/>
        <v>255</v>
      </c>
      <c r="BP109" s="154">
        <v>0.0</v>
      </c>
      <c r="BQ109" s="154">
        <v>0.0</v>
      </c>
      <c r="BR109" s="154">
        <v>0.0</v>
      </c>
      <c r="BS109" s="154">
        <f t="shared" si="602"/>
        <v>0</v>
      </c>
      <c r="BT109" s="154">
        <v>0.0</v>
      </c>
      <c r="BU109" s="154">
        <v>15.0</v>
      </c>
      <c r="BV109" s="154">
        <v>0.0</v>
      </c>
      <c r="BW109" s="154">
        <f t="shared" si="603"/>
        <v>15</v>
      </c>
      <c r="BX109" s="154">
        <f t="shared" si="604"/>
        <v>293</v>
      </c>
      <c r="BY109" s="154">
        <v>0.0</v>
      </c>
      <c r="BZ109" s="154"/>
      <c r="CA109" s="154"/>
      <c r="CB109" s="154">
        <v>70.0</v>
      </c>
      <c r="CC109" s="125"/>
      <c r="CD109" s="154"/>
      <c r="CE109" s="125"/>
      <c r="CF109" s="125"/>
      <c r="CG109" s="194"/>
      <c r="CH109" s="154">
        <f t="shared" si="605"/>
        <v>70</v>
      </c>
      <c r="CI109" s="125"/>
      <c r="CJ109" s="125"/>
      <c r="CK109" s="194"/>
      <c r="CL109" s="125"/>
      <c r="CM109" s="125"/>
      <c r="CN109" s="194"/>
      <c r="CO109" s="125"/>
      <c r="CP109" s="125"/>
      <c r="CQ109" s="194"/>
      <c r="CR109" s="154">
        <f t="shared" si="606"/>
        <v>0</v>
      </c>
      <c r="CS109" s="125"/>
      <c r="CT109" s="125"/>
      <c r="CU109" s="125"/>
      <c r="CV109" s="125"/>
      <c r="CW109" s="125"/>
      <c r="CX109" s="154">
        <f t="shared" si="607"/>
        <v>0</v>
      </c>
      <c r="CY109" s="125"/>
      <c r="CZ109" s="125"/>
      <c r="DA109" s="125"/>
      <c r="DB109" s="154">
        <f t="shared" si="608"/>
        <v>0</v>
      </c>
      <c r="DC109" s="154">
        <f t="shared" si="609"/>
        <v>70</v>
      </c>
      <c r="DD109" s="154">
        <f t="shared" si="610"/>
        <v>375</v>
      </c>
      <c r="DE109" s="6"/>
      <c r="DF109" s="6"/>
      <c r="DG109" s="6"/>
      <c r="DH109" s="6"/>
      <c r="DI109" s="6"/>
      <c r="DJ109" s="6"/>
      <c r="DK109" s="6"/>
      <c r="DL109" s="6"/>
    </row>
    <row r="110" ht="15.75" customHeight="1">
      <c r="A110" s="167" t="s">
        <v>182</v>
      </c>
      <c r="B110" s="125">
        <v>0.0</v>
      </c>
      <c r="C110" s="154">
        <v>0.0</v>
      </c>
      <c r="D110" s="154">
        <v>0.0</v>
      </c>
      <c r="E110" s="154">
        <v>0.0</v>
      </c>
      <c r="F110" s="154">
        <v>0.0</v>
      </c>
      <c r="G110" s="154">
        <v>0.0</v>
      </c>
      <c r="H110" s="154">
        <f t="shared" si="584"/>
        <v>0</v>
      </c>
      <c r="I110" s="154">
        <v>0.0</v>
      </c>
      <c r="J110" s="154">
        <v>0.0</v>
      </c>
      <c r="K110" s="154">
        <v>0.0</v>
      </c>
      <c r="L110" s="156">
        <f t="shared" si="585"/>
        <v>0</v>
      </c>
      <c r="M110" s="154">
        <v>0.0</v>
      </c>
      <c r="N110" s="154">
        <v>0.0</v>
      </c>
      <c r="O110" s="154">
        <v>0.0</v>
      </c>
      <c r="P110" s="156">
        <f t="shared" si="586"/>
        <v>0</v>
      </c>
      <c r="Q110" s="154">
        <v>0.0</v>
      </c>
      <c r="R110" s="154">
        <v>0.0</v>
      </c>
      <c r="S110" s="154">
        <v>0.0</v>
      </c>
      <c r="T110" s="156">
        <f t="shared" si="587"/>
        <v>0</v>
      </c>
      <c r="U110" s="154">
        <v>0.0</v>
      </c>
      <c r="V110" s="154">
        <v>0.0</v>
      </c>
      <c r="W110" s="154">
        <v>0.0</v>
      </c>
      <c r="X110" s="156">
        <f t="shared" si="588"/>
        <v>0</v>
      </c>
      <c r="Y110" s="156">
        <f t="shared" si="589"/>
        <v>0</v>
      </c>
      <c r="Z110" s="154">
        <v>0.0</v>
      </c>
      <c r="AA110" s="154">
        <v>0.0</v>
      </c>
      <c r="AB110" s="154">
        <v>0.0</v>
      </c>
      <c r="AC110" s="156">
        <f t="shared" si="590"/>
        <v>0</v>
      </c>
      <c r="AD110" s="154">
        <v>0.0</v>
      </c>
      <c r="AE110" s="154">
        <v>0.0</v>
      </c>
      <c r="AF110" s="154">
        <v>0.0</v>
      </c>
      <c r="AG110" s="156">
        <f t="shared" si="591"/>
        <v>0</v>
      </c>
      <c r="AH110" s="154">
        <v>0.0</v>
      </c>
      <c r="AI110" s="154">
        <v>0.0</v>
      </c>
      <c r="AJ110" s="154">
        <v>0.0</v>
      </c>
      <c r="AK110" s="156">
        <f t="shared" si="592"/>
        <v>0</v>
      </c>
      <c r="AL110" s="154">
        <v>0.0</v>
      </c>
      <c r="AM110" s="154">
        <v>0.0</v>
      </c>
      <c r="AN110" s="154">
        <v>0.0</v>
      </c>
      <c r="AO110" s="156">
        <f t="shared" si="593"/>
        <v>0</v>
      </c>
      <c r="AP110" s="156">
        <f t="shared" si="594"/>
        <v>0</v>
      </c>
      <c r="AQ110" s="154">
        <v>0.0</v>
      </c>
      <c r="AR110" s="154">
        <v>1.0</v>
      </c>
      <c r="AS110" s="154">
        <v>5.0</v>
      </c>
      <c r="AT110" s="154">
        <f t="shared" si="595"/>
        <v>6</v>
      </c>
      <c r="AU110" s="154">
        <v>0.0</v>
      </c>
      <c r="AV110" s="154">
        <v>0.0</v>
      </c>
      <c r="AW110" s="154">
        <v>0.0</v>
      </c>
      <c r="AX110" s="154">
        <f t="shared" si="596"/>
        <v>0</v>
      </c>
      <c r="AY110" s="154">
        <v>13.0</v>
      </c>
      <c r="AZ110" s="154">
        <v>18.0</v>
      </c>
      <c r="BA110" s="154">
        <v>1.0</v>
      </c>
      <c r="BB110" s="154">
        <f t="shared" si="597"/>
        <v>32</v>
      </c>
      <c r="BC110" s="154">
        <v>0.0</v>
      </c>
      <c r="BD110" s="154">
        <v>0.0</v>
      </c>
      <c r="BE110" s="154">
        <v>4.0</v>
      </c>
      <c r="BF110" s="154">
        <f t="shared" si="598"/>
        <v>4</v>
      </c>
      <c r="BG110" s="154">
        <f t="shared" si="599"/>
        <v>42</v>
      </c>
      <c r="BH110" s="154">
        <v>0.0</v>
      </c>
      <c r="BI110" s="154">
        <v>0.0</v>
      </c>
      <c r="BJ110" s="154">
        <v>0.0</v>
      </c>
      <c r="BK110" s="154">
        <f t="shared" si="600"/>
        <v>0</v>
      </c>
      <c r="BL110" s="154">
        <v>991.0</v>
      </c>
      <c r="BM110" s="154">
        <v>830.0</v>
      </c>
      <c r="BN110" s="154">
        <v>481.0</v>
      </c>
      <c r="BO110" s="154">
        <f t="shared" si="601"/>
        <v>2302</v>
      </c>
      <c r="BP110" s="154">
        <v>0.0</v>
      </c>
      <c r="BQ110" s="154">
        <v>0.0</v>
      </c>
      <c r="BR110" s="154">
        <v>0.0</v>
      </c>
      <c r="BS110" s="154">
        <f t="shared" si="602"/>
        <v>0</v>
      </c>
      <c r="BT110" s="154">
        <v>0.0</v>
      </c>
      <c r="BU110" s="154">
        <v>0.0</v>
      </c>
      <c r="BV110" s="154">
        <v>0.0</v>
      </c>
      <c r="BW110" s="154">
        <f t="shared" si="603"/>
        <v>0</v>
      </c>
      <c r="BX110" s="154">
        <f t="shared" si="604"/>
        <v>2302</v>
      </c>
      <c r="BY110" s="154">
        <v>0.0</v>
      </c>
      <c r="BZ110" s="154"/>
      <c r="CA110" s="154"/>
      <c r="CB110" s="154">
        <v>0.0</v>
      </c>
      <c r="CC110" s="125"/>
      <c r="CD110" s="154"/>
      <c r="CE110" s="125"/>
      <c r="CF110" s="125"/>
      <c r="CG110" s="194"/>
      <c r="CH110" s="154">
        <f t="shared" si="605"/>
        <v>0</v>
      </c>
      <c r="CI110" s="125"/>
      <c r="CJ110" s="125"/>
      <c r="CK110" s="194"/>
      <c r="CL110" s="125"/>
      <c r="CM110" s="125"/>
      <c r="CN110" s="194"/>
      <c r="CO110" s="125"/>
      <c r="CP110" s="125"/>
      <c r="CQ110" s="194"/>
      <c r="CR110" s="154">
        <f t="shared" si="606"/>
        <v>0</v>
      </c>
      <c r="CS110" s="125"/>
      <c r="CT110" s="125"/>
      <c r="CU110" s="125"/>
      <c r="CV110" s="125"/>
      <c r="CW110" s="125"/>
      <c r="CX110" s="154">
        <f t="shared" si="607"/>
        <v>0</v>
      </c>
      <c r="CY110" s="125"/>
      <c r="CZ110" s="125"/>
      <c r="DA110" s="125"/>
      <c r="DB110" s="154">
        <f t="shared" si="608"/>
        <v>0</v>
      </c>
      <c r="DC110" s="154">
        <f t="shared" si="609"/>
        <v>0</v>
      </c>
      <c r="DD110" s="154">
        <f t="shared" si="610"/>
        <v>2344</v>
      </c>
      <c r="DE110" s="6"/>
      <c r="DF110" s="6"/>
      <c r="DG110" s="6"/>
      <c r="DH110" s="6"/>
      <c r="DI110" s="6"/>
      <c r="DJ110" s="6"/>
      <c r="DK110" s="6"/>
      <c r="DL110" s="6"/>
    </row>
    <row r="111" ht="15.75" customHeight="1">
      <c r="A111" s="167" t="s">
        <v>183</v>
      </c>
      <c r="B111" s="125">
        <v>0.0</v>
      </c>
      <c r="C111" s="154">
        <v>0.0</v>
      </c>
      <c r="D111" s="154">
        <v>0.0</v>
      </c>
      <c r="E111" s="154">
        <v>0.0</v>
      </c>
      <c r="F111" s="154">
        <v>0.0</v>
      </c>
      <c r="G111" s="154">
        <v>1.0</v>
      </c>
      <c r="H111" s="154">
        <f t="shared" si="584"/>
        <v>1</v>
      </c>
      <c r="I111" s="154">
        <v>37.0</v>
      </c>
      <c r="J111" s="154">
        <v>12.0</v>
      </c>
      <c r="K111" s="154">
        <v>4.0</v>
      </c>
      <c r="L111" s="156">
        <f t="shared" si="585"/>
        <v>53</v>
      </c>
      <c r="M111" s="154">
        <v>24.0</v>
      </c>
      <c r="N111" s="154">
        <v>1.0</v>
      </c>
      <c r="O111" s="154">
        <v>0.0</v>
      </c>
      <c r="P111" s="156">
        <f t="shared" si="586"/>
        <v>25</v>
      </c>
      <c r="Q111" s="154">
        <v>0.0</v>
      </c>
      <c r="R111" s="154">
        <v>1.0</v>
      </c>
      <c r="S111" s="154">
        <v>1.0</v>
      </c>
      <c r="T111" s="156">
        <f t="shared" si="587"/>
        <v>2</v>
      </c>
      <c r="U111" s="154">
        <v>17.0</v>
      </c>
      <c r="V111" s="154">
        <v>2.0</v>
      </c>
      <c r="W111" s="154">
        <v>0.0</v>
      </c>
      <c r="X111" s="156">
        <f t="shared" si="588"/>
        <v>19</v>
      </c>
      <c r="Y111" s="156">
        <f t="shared" si="589"/>
        <v>99</v>
      </c>
      <c r="Z111" s="154">
        <v>0.0</v>
      </c>
      <c r="AA111" s="154">
        <v>0.0</v>
      </c>
      <c r="AB111" s="154">
        <v>2.0</v>
      </c>
      <c r="AC111" s="156">
        <f t="shared" si="590"/>
        <v>2</v>
      </c>
      <c r="AD111" s="154">
        <v>0.0</v>
      </c>
      <c r="AE111" s="154">
        <v>41.0</v>
      </c>
      <c r="AF111" s="154">
        <v>36.0</v>
      </c>
      <c r="AG111" s="156">
        <f t="shared" si="591"/>
        <v>77</v>
      </c>
      <c r="AH111" s="154">
        <v>8.0</v>
      </c>
      <c r="AI111" s="154">
        <v>11.0</v>
      </c>
      <c r="AJ111" s="154">
        <v>185.0</v>
      </c>
      <c r="AK111" s="156">
        <f t="shared" si="592"/>
        <v>204</v>
      </c>
      <c r="AL111" s="154">
        <v>18.0</v>
      </c>
      <c r="AM111" s="154">
        <v>8.0</v>
      </c>
      <c r="AN111" s="154">
        <v>8.0</v>
      </c>
      <c r="AO111" s="156">
        <f t="shared" si="593"/>
        <v>34</v>
      </c>
      <c r="AP111" s="156">
        <f t="shared" si="594"/>
        <v>317</v>
      </c>
      <c r="AQ111" s="154">
        <v>1.0</v>
      </c>
      <c r="AR111" s="154">
        <v>0.0</v>
      </c>
      <c r="AS111" s="154">
        <v>0.0</v>
      </c>
      <c r="AT111" s="154">
        <f t="shared" si="595"/>
        <v>1</v>
      </c>
      <c r="AU111" s="154">
        <v>3.0</v>
      </c>
      <c r="AV111" s="154">
        <v>518.0</v>
      </c>
      <c r="AW111" s="154">
        <v>125.0</v>
      </c>
      <c r="AX111" s="154">
        <f t="shared" si="596"/>
        <v>646</v>
      </c>
      <c r="AY111" s="154">
        <v>529.0</v>
      </c>
      <c r="AZ111" s="154">
        <v>75.0</v>
      </c>
      <c r="BA111" s="154">
        <v>21.0</v>
      </c>
      <c r="BB111" s="154">
        <f t="shared" si="597"/>
        <v>625</v>
      </c>
      <c r="BC111" s="154">
        <v>2.0</v>
      </c>
      <c r="BD111" s="154">
        <v>4.0</v>
      </c>
      <c r="BE111" s="154">
        <v>33.0</v>
      </c>
      <c r="BF111" s="154">
        <f t="shared" si="598"/>
        <v>39</v>
      </c>
      <c r="BG111" s="154">
        <f t="shared" si="599"/>
        <v>1311</v>
      </c>
      <c r="BH111" s="154">
        <v>13.0</v>
      </c>
      <c r="BI111" s="154">
        <v>8.0</v>
      </c>
      <c r="BJ111" s="154">
        <v>3.0</v>
      </c>
      <c r="BK111" s="154">
        <f t="shared" si="600"/>
        <v>24</v>
      </c>
      <c r="BL111" s="154">
        <v>382.0</v>
      </c>
      <c r="BM111" s="154">
        <v>493.0</v>
      </c>
      <c r="BN111" s="154">
        <v>65.0</v>
      </c>
      <c r="BO111" s="154">
        <f t="shared" si="601"/>
        <v>940</v>
      </c>
      <c r="BP111" s="154">
        <v>0.0</v>
      </c>
      <c r="BQ111" s="154">
        <v>0.0</v>
      </c>
      <c r="BR111" s="154">
        <v>0.0</v>
      </c>
      <c r="BS111" s="154">
        <f t="shared" si="602"/>
        <v>0</v>
      </c>
      <c r="BT111" s="154">
        <v>0.0</v>
      </c>
      <c r="BU111" s="154">
        <v>0.0</v>
      </c>
      <c r="BV111" s="154">
        <v>0.0</v>
      </c>
      <c r="BW111" s="154">
        <f t="shared" si="603"/>
        <v>0</v>
      </c>
      <c r="BX111" s="154">
        <f t="shared" si="604"/>
        <v>964</v>
      </c>
      <c r="BY111" s="154">
        <v>12.0</v>
      </c>
      <c r="BZ111" s="154"/>
      <c r="CA111" s="154"/>
      <c r="CB111" s="154">
        <v>31.0</v>
      </c>
      <c r="CC111" s="154"/>
      <c r="CD111" s="154"/>
      <c r="CE111" s="154">
        <v>1.0</v>
      </c>
      <c r="CF111" s="154"/>
      <c r="CG111" s="194"/>
      <c r="CH111" s="125">
        <f t="shared" si="605"/>
        <v>44</v>
      </c>
      <c r="CI111" s="125"/>
      <c r="CJ111" s="125"/>
      <c r="CK111" s="194"/>
      <c r="CL111" s="125"/>
      <c r="CM111" s="125"/>
      <c r="CN111" s="194"/>
      <c r="CO111" s="125"/>
      <c r="CP111" s="125"/>
      <c r="CQ111" s="194"/>
      <c r="CR111" s="125">
        <f t="shared" si="606"/>
        <v>0</v>
      </c>
      <c r="CS111" s="125"/>
      <c r="CT111" s="125"/>
      <c r="CU111" s="125"/>
      <c r="CV111" s="125"/>
      <c r="CW111" s="125"/>
      <c r="CX111" s="125">
        <f t="shared" si="607"/>
        <v>0</v>
      </c>
      <c r="CY111" s="125"/>
      <c r="CZ111" s="125"/>
      <c r="DA111" s="125"/>
      <c r="DB111" s="125">
        <f t="shared" si="608"/>
        <v>0</v>
      </c>
      <c r="DC111" s="154">
        <f t="shared" si="609"/>
        <v>44</v>
      </c>
      <c r="DD111" s="154">
        <f t="shared" si="610"/>
        <v>2736</v>
      </c>
      <c r="DE111" s="6"/>
      <c r="DF111" s="6"/>
      <c r="DG111" s="6"/>
      <c r="DH111" s="6"/>
      <c r="DI111" s="6"/>
      <c r="DJ111" s="6"/>
      <c r="DK111" s="6"/>
      <c r="DL111" s="6"/>
    </row>
    <row r="112" ht="15.75" customHeight="1">
      <c r="A112" s="195" t="s">
        <v>184</v>
      </c>
      <c r="B112" s="196"/>
      <c r="C112" s="196"/>
      <c r="D112" s="196"/>
      <c r="E112" s="196"/>
      <c r="F112" s="196"/>
      <c r="G112" s="196"/>
      <c r="H112" s="195">
        <f t="shared" si="584"/>
        <v>0</v>
      </c>
      <c r="I112" s="196"/>
      <c r="J112" s="196"/>
      <c r="K112" s="196"/>
      <c r="L112" s="195">
        <f t="shared" si="585"/>
        <v>0</v>
      </c>
      <c r="M112" s="196"/>
      <c r="N112" s="196"/>
      <c r="O112" s="196"/>
      <c r="P112" s="195">
        <f t="shared" si="586"/>
        <v>0</v>
      </c>
      <c r="Q112" s="196"/>
      <c r="R112" s="196"/>
      <c r="S112" s="196"/>
      <c r="T112" s="195">
        <f t="shared" si="587"/>
        <v>0</v>
      </c>
      <c r="U112" s="196"/>
      <c r="V112" s="196"/>
      <c r="W112" s="196"/>
      <c r="X112" s="195">
        <f t="shared" si="588"/>
        <v>0</v>
      </c>
      <c r="Y112" s="195">
        <f t="shared" si="589"/>
        <v>0</v>
      </c>
      <c r="Z112" s="196"/>
      <c r="AA112" s="196"/>
      <c r="AB112" s="196"/>
      <c r="AC112" s="195">
        <f t="shared" si="590"/>
        <v>0</v>
      </c>
      <c r="AD112" s="196"/>
      <c r="AE112" s="196"/>
      <c r="AF112" s="196"/>
      <c r="AG112" s="195">
        <f t="shared" si="591"/>
        <v>0</v>
      </c>
      <c r="AH112" s="196"/>
      <c r="AI112" s="196"/>
      <c r="AJ112" s="196"/>
      <c r="AK112" s="195">
        <f t="shared" si="592"/>
        <v>0</v>
      </c>
      <c r="AL112" s="196"/>
      <c r="AM112" s="196"/>
      <c r="AN112" s="196"/>
      <c r="AO112" s="195">
        <f t="shared" si="593"/>
        <v>0</v>
      </c>
      <c r="AP112" s="195">
        <f t="shared" si="594"/>
        <v>0</v>
      </c>
      <c r="AQ112" s="196"/>
      <c r="AR112" s="196"/>
      <c r="AS112" s="196"/>
      <c r="AT112" s="195">
        <f t="shared" si="595"/>
        <v>0</v>
      </c>
      <c r="AU112" s="196"/>
      <c r="AV112" s="196"/>
      <c r="AW112" s="196"/>
      <c r="AX112" s="195">
        <f t="shared" si="596"/>
        <v>0</v>
      </c>
      <c r="AY112" s="196"/>
      <c r="AZ112" s="196"/>
      <c r="BA112" s="196"/>
      <c r="BB112" s="195">
        <f t="shared" si="597"/>
        <v>0</v>
      </c>
      <c r="BC112" s="196"/>
      <c r="BD112" s="196"/>
      <c r="BE112" s="196"/>
      <c r="BF112" s="195">
        <f t="shared" si="598"/>
        <v>0</v>
      </c>
      <c r="BG112" s="195">
        <f>SUM(BF112,BB112,AX112,AT112)</f>
        <v>0</v>
      </c>
      <c r="BH112" s="196"/>
      <c r="BI112" s="196"/>
      <c r="BJ112" s="196"/>
      <c r="BK112" s="195">
        <f t="shared" si="600"/>
        <v>0</v>
      </c>
      <c r="BL112" s="196"/>
      <c r="BM112" s="196"/>
      <c r="BN112" s="196"/>
      <c r="BO112" s="195">
        <f t="shared" si="601"/>
        <v>0</v>
      </c>
      <c r="BP112" s="196"/>
      <c r="BQ112" s="196"/>
      <c r="BR112" s="196"/>
      <c r="BS112" s="195">
        <f t="shared" si="602"/>
        <v>0</v>
      </c>
      <c r="BT112" s="196"/>
      <c r="BU112" s="196"/>
      <c r="BV112" s="196"/>
      <c r="BW112" s="195">
        <f t="shared" si="603"/>
        <v>0</v>
      </c>
      <c r="BX112" s="195">
        <f>SUM(BW112,BS112,BO112,BK112)</f>
        <v>0</v>
      </c>
      <c r="BY112" s="196"/>
      <c r="BZ112" s="196"/>
      <c r="CA112" s="196"/>
      <c r="CB112" s="196"/>
      <c r="CC112" s="196"/>
      <c r="CD112" s="196"/>
      <c r="CE112" s="196"/>
      <c r="CF112" s="196"/>
      <c r="CG112" s="193"/>
      <c r="CH112" s="195">
        <f t="shared" si="605"/>
        <v>0</v>
      </c>
      <c r="CI112" s="196"/>
      <c r="CJ112" s="196"/>
      <c r="CK112" s="193"/>
      <c r="CL112" s="196"/>
      <c r="CM112" s="196"/>
      <c r="CN112" s="193"/>
      <c r="CO112" s="196"/>
      <c r="CP112" s="196"/>
      <c r="CQ112" s="193"/>
      <c r="CR112" s="195">
        <f t="shared" si="606"/>
        <v>0</v>
      </c>
      <c r="CS112" s="196"/>
      <c r="CT112" s="196"/>
      <c r="CU112" s="196"/>
      <c r="CV112" s="196"/>
      <c r="CW112" s="196"/>
      <c r="CX112" s="195">
        <f t="shared" si="607"/>
        <v>0</v>
      </c>
      <c r="CY112" s="196"/>
      <c r="CZ112" s="196"/>
      <c r="DA112" s="196"/>
      <c r="DB112" s="195">
        <f t="shared" si="608"/>
        <v>0</v>
      </c>
      <c r="DC112" s="195">
        <f>SUM(DB112,CX112,CR112,CH112)</f>
        <v>0</v>
      </c>
      <c r="DD112" s="195">
        <f>SUM(H112,Y112,AP112,BG112,DC112)</f>
        <v>0</v>
      </c>
      <c r="DE112" s="6"/>
      <c r="DF112" s="6"/>
      <c r="DG112" s="6"/>
      <c r="DH112" s="6"/>
      <c r="DI112" s="6"/>
      <c r="DJ112" s="6"/>
      <c r="DK112" s="6"/>
      <c r="DL112" s="6"/>
    </row>
    <row r="113" ht="15.75" customHeight="1">
      <c r="A113" s="197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  <c r="AS113" s="198"/>
      <c r="AT113" s="198"/>
      <c r="AU113" s="198"/>
      <c r="AV113" s="198"/>
      <c r="AW113" s="198"/>
      <c r="AX113" s="198"/>
      <c r="AY113" s="198"/>
      <c r="AZ113" s="198"/>
      <c r="BA113" s="198"/>
      <c r="BB113" s="198"/>
      <c r="BC113" s="198"/>
      <c r="BD113" s="198"/>
      <c r="BE113" s="198"/>
      <c r="BF113" s="198"/>
      <c r="BG113" s="198"/>
      <c r="BH113" s="198"/>
      <c r="BI113" s="198"/>
      <c r="BJ113" s="198"/>
      <c r="BK113" s="198"/>
      <c r="BL113" s="198"/>
      <c r="BM113" s="198"/>
      <c r="BN113" s="198"/>
      <c r="BO113" s="198"/>
      <c r="BP113" s="198"/>
      <c r="BQ113" s="198"/>
      <c r="BR113" s="198"/>
      <c r="BS113" s="198"/>
      <c r="BT113" s="198"/>
      <c r="BU113" s="198"/>
      <c r="BV113" s="198"/>
      <c r="BW113" s="198"/>
      <c r="BX113" s="198"/>
      <c r="BY113" s="198"/>
      <c r="BZ113" s="198"/>
      <c r="CA113" s="199"/>
      <c r="CB113" s="198"/>
      <c r="CC113" s="198"/>
      <c r="CD113" s="199"/>
      <c r="CE113" s="198"/>
      <c r="CF113" s="198"/>
      <c r="CG113" s="200"/>
      <c r="CH113" s="201"/>
      <c r="CI113" s="198"/>
      <c r="CJ113" s="198"/>
      <c r="CK113" s="200"/>
      <c r="CL113" s="198"/>
      <c r="CM113" s="198"/>
      <c r="CN113" s="200"/>
      <c r="CO113" s="198"/>
      <c r="CP113" s="198"/>
      <c r="CQ113" s="200"/>
      <c r="CR113" s="201"/>
      <c r="CS113" s="198"/>
      <c r="CT113" s="198"/>
      <c r="CU113" s="198"/>
      <c r="CV113" s="198"/>
      <c r="CW113" s="198"/>
      <c r="CX113" s="201"/>
      <c r="CY113" s="198"/>
      <c r="CZ113" s="198"/>
      <c r="DA113" s="198"/>
      <c r="DB113" s="201"/>
      <c r="DC113" s="198"/>
      <c r="DD113" s="198"/>
      <c r="DE113" s="202"/>
      <c r="DF113" s="202"/>
      <c r="DG113" s="202"/>
      <c r="DH113" s="202"/>
      <c r="DI113" s="202"/>
      <c r="DJ113" s="202"/>
      <c r="DK113" s="202"/>
      <c r="DL113" s="202"/>
    </row>
    <row r="114" ht="15.75" customHeight="1">
      <c r="A114" s="203" t="s">
        <v>46</v>
      </c>
      <c r="B114" s="204">
        <f t="shared" ref="B114:X114" si="611">SUM(B105,B99,B93,B87,B81,B75,B68,B63,B56,B49,B43,B37,B29,B23,B18,B11)</f>
        <v>209960</v>
      </c>
      <c r="C114" s="205">
        <f t="shared" si="611"/>
        <v>0</v>
      </c>
      <c r="D114" s="205">
        <f t="shared" si="611"/>
        <v>0</v>
      </c>
      <c r="E114" s="205">
        <f t="shared" si="611"/>
        <v>90</v>
      </c>
      <c r="F114" s="205">
        <f t="shared" si="611"/>
        <v>2080</v>
      </c>
      <c r="G114" s="205">
        <f t="shared" si="611"/>
        <v>5490</v>
      </c>
      <c r="H114" s="205">
        <f t="shared" si="611"/>
        <v>7660</v>
      </c>
      <c r="I114" s="206">
        <f t="shared" si="611"/>
        <v>8006</v>
      </c>
      <c r="J114" s="206">
        <f t="shared" si="611"/>
        <v>13831</v>
      </c>
      <c r="K114" s="206">
        <f t="shared" si="611"/>
        <v>9595</v>
      </c>
      <c r="L114" s="207">
        <f t="shared" si="611"/>
        <v>31432</v>
      </c>
      <c r="M114" s="206">
        <f t="shared" si="611"/>
        <v>7955</v>
      </c>
      <c r="N114" s="206">
        <f t="shared" si="611"/>
        <v>2335</v>
      </c>
      <c r="O114" s="206">
        <f t="shared" si="611"/>
        <v>0</v>
      </c>
      <c r="P114" s="207">
        <f t="shared" si="611"/>
        <v>10290</v>
      </c>
      <c r="Q114" s="206">
        <f t="shared" si="611"/>
        <v>6021</v>
      </c>
      <c r="R114" s="206">
        <f t="shared" si="611"/>
        <v>37600</v>
      </c>
      <c r="S114" s="206">
        <f t="shared" si="611"/>
        <v>58668</v>
      </c>
      <c r="T114" s="207">
        <f t="shared" si="611"/>
        <v>102289</v>
      </c>
      <c r="U114" s="206">
        <f t="shared" si="611"/>
        <v>65534</v>
      </c>
      <c r="V114" s="206">
        <f t="shared" si="611"/>
        <v>61283</v>
      </c>
      <c r="W114" s="206">
        <f t="shared" si="611"/>
        <v>37949</v>
      </c>
      <c r="X114" s="207">
        <f t="shared" si="611"/>
        <v>164766</v>
      </c>
      <c r="Y114" s="207">
        <f>SUM(Y11,Y18,Y23,Y29,Y37,Y43,Y49,Y56,Y63,Y68,Y75,Y81,Y87,Y93,Y99,Y105)</f>
        <v>308777</v>
      </c>
      <c r="Z114" s="208">
        <f t="shared" ref="Z114:BZ114" si="612">SUM(Z105,Z99,Z93,Z87,Z81,Z75,Z68,Z63,Z56,Z49,Z43,Z37,Z29,Z23,Z18,Z11)</f>
        <v>25967</v>
      </c>
      <c r="AA114" s="208">
        <f t="shared" si="612"/>
        <v>33039</v>
      </c>
      <c r="AB114" s="208">
        <f t="shared" si="612"/>
        <v>89967</v>
      </c>
      <c r="AC114" s="209">
        <f t="shared" si="612"/>
        <v>148973</v>
      </c>
      <c r="AD114" s="208">
        <f t="shared" si="612"/>
        <v>79248</v>
      </c>
      <c r="AE114" s="208">
        <f t="shared" si="612"/>
        <v>78397</v>
      </c>
      <c r="AF114" s="208">
        <f t="shared" si="612"/>
        <v>79510</v>
      </c>
      <c r="AG114" s="209">
        <f t="shared" si="612"/>
        <v>237155</v>
      </c>
      <c r="AH114" s="208">
        <f t="shared" si="612"/>
        <v>66426</v>
      </c>
      <c r="AI114" s="208">
        <f t="shared" si="612"/>
        <v>91201</v>
      </c>
      <c r="AJ114" s="208">
        <f t="shared" si="612"/>
        <v>86481</v>
      </c>
      <c r="AK114" s="209">
        <f t="shared" si="612"/>
        <v>244108</v>
      </c>
      <c r="AL114" s="208">
        <f t="shared" si="612"/>
        <v>85748</v>
      </c>
      <c r="AM114" s="208">
        <f t="shared" si="612"/>
        <v>76919</v>
      </c>
      <c r="AN114" s="208">
        <f t="shared" si="612"/>
        <v>60461</v>
      </c>
      <c r="AO114" s="209">
        <f t="shared" si="612"/>
        <v>223128</v>
      </c>
      <c r="AP114" s="209">
        <f t="shared" si="612"/>
        <v>853364</v>
      </c>
      <c r="AQ114" s="210">
        <f t="shared" si="612"/>
        <v>52032</v>
      </c>
      <c r="AR114" s="210">
        <f t="shared" si="612"/>
        <v>70840</v>
      </c>
      <c r="AS114" s="210">
        <f t="shared" si="612"/>
        <v>86143</v>
      </c>
      <c r="AT114" s="211">
        <f t="shared" si="612"/>
        <v>209015</v>
      </c>
      <c r="AU114" s="210">
        <f t="shared" si="612"/>
        <v>32238</v>
      </c>
      <c r="AV114" s="210">
        <f t="shared" si="612"/>
        <v>54740</v>
      </c>
      <c r="AW114" s="210">
        <f t="shared" si="612"/>
        <v>55545</v>
      </c>
      <c r="AX114" s="211">
        <f t="shared" si="612"/>
        <v>142523</v>
      </c>
      <c r="AY114" s="210">
        <f t="shared" si="612"/>
        <v>64198</v>
      </c>
      <c r="AZ114" s="210">
        <f t="shared" si="612"/>
        <v>74539</v>
      </c>
      <c r="BA114" s="210">
        <f t="shared" si="612"/>
        <v>64899</v>
      </c>
      <c r="BB114" s="211">
        <f t="shared" si="612"/>
        <v>203636</v>
      </c>
      <c r="BC114" s="210">
        <f t="shared" si="612"/>
        <v>25766</v>
      </c>
      <c r="BD114" s="210">
        <f t="shared" si="612"/>
        <v>46774</v>
      </c>
      <c r="BE114" s="210">
        <f t="shared" si="612"/>
        <v>54714</v>
      </c>
      <c r="BF114" s="211">
        <f t="shared" si="612"/>
        <v>127254</v>
      </c>
      <c r="BG114" s="211">
        <f t="shared" si="612"/>
        <v>682428</v>
      </c>
      <c r="BH114" s="212">
        <f t="shared" si="612"/>
        <v>101902</v>
      </c>
      <c r="BI114" s="212">
        <f t="shared" si="612"/>
        <v>69465</v>
      </c>
      <c r="BJ114" s="212">
        <f t="shared" si="612"/>
        <v>42017</v>
      </c>
      <c r="BK114" s="181">
        <f t="shared" si="612"/>
        <v>213384</v>
      </c>
      <c r="BL114" s="212">
        <f t="shared" si="612"/>
        <v>68272</v>
      </c>
      <c r="BM114" s="212">
        <f t="shared" si="612"/>
        <v>59719</v>
      </c>
      <c r="BN114" s="212">
        <f t="shared" si="612"/>
        <v>35341</v>
      </c>
      <c r="BO114" s="181">
        <f t="shared" si="612"/>
        <v>163332</v>
      </c>
      <c r="BP114" s="212">
        <f t="shared" si="612"/>
        <v>50723</v>
      </c>
      <c r="BQ114" s="212">
        <f t="shared" si="612"/>
        <v>66444</v>
      </c>
      <c r="BR114" s="212">
        <f t="shared" si="612"/>
        <v>93178</v>
      </c>
      <c r="BS114" s="181">
        <f t="shared" si="612"/>
        <v>210345</v>
      </c>
      <c r="BT114" s="212">
        <f t="shared" si="612"/>
        <v>76468</v>
      </c>
      <c r="BU114" s="212">
        <f t="shared" si="612"/>
        <v>48755</v>
      </c>
      <c r="BV114" s="212">
        <f t="shared" si="612"/>
        <v>48719</v>
      </c>
      <c r="BW114" s="181">
        <f t="shared" si="612"/>
        <v>173942</v>
      </c>
      <c r="BX114" s="181">
        <f t="shared" si="612"/>
        <v>761003</v>
      </c>
      <c r="BY114" s="182">
        <f t="shared" si="612"/>
        <v>50297</v>
      </c>
      <c r="BZ114" s="182">
        <f t="shared" si="612"/>
        <v>50382</v>
      </c>
      <c r="CA114" s="151">
        <f>SUM(CA11,CA18,CA23,CA29,CA37,CA43,CA49,CA56,CA63,CA68,CA75,CA81,CA87,CA93,CA99,CA105,CA112)</f>
        <v>108</v>
      </c>
      <c r="CB114" s="182">
        <f t="shared" ref="CB114:CC114" si="613">SUM(CB105,CB99,CB93,CB87,CB81,CB75,CB68,CB63,CB56,CB49,CB43,CB37,CB29,CB23,CB18,CB11)</f>
        <v>65430</v>
      </c>
      <c r="CC114" s="182">
        <f t="shared" si="613"/>
        <v>65157</v>
      </c>
      <c r="CD114" s="151">
        <f>SUM(CD11,CD18,CD23,CD29,CD37,CD43,CD49,CD56,CD63,CD68,CD75,CD81,CD87,CD93,CD99,CD105,CD112)</f>
        <v>-52</v>
      </c>
      <c r="CE114" s="182">
        <f t="shared" ref="CE114:CF114" si="614">SUM(CE105,CE99,CE93,CE87,CE81,CE75,CE68,CE63,CE56,CE49,CE43,CE37,CE29,CE23,CE18,CE11)</f>
        <v>3103</v>
      </c>
      <c r="CF114" s="182">
        <f t="shared" si="614"/>
        <v>75185</v>
      </c>
      <c r="CG114" s="157">
        <f>SUM(CG11,CG18,CG23,CG29,CG37,CG43,CG49,CG56,CG63,CG68,CG75,CG81,CG87,CG93,CG99,CG105,CG112)</f>
        <v>72083</v>
      </c>
      <c r="CH114" s="183">
        <f t="shared" ref="CH114:CJ114" si="615">SUM(CH105,CH99,CH93,CH87,CH81,CH75,CH68,CH63,CH56,CH49,CH43,CH37,CH29,CH23,CH18,CH11)</f>
        <v>292140</v>
      </c>
      <c r="CI114" s="182">
        <f t="shared" si="615"/>
        <v>64514</v>
      </c>
      <c r="CJ114" s="182">
        <f t="shared" si="615"/>
        <v>66153</v>
      </c>
      <c r="CK114" s="157">
        <f>SUM(CK11,CK18,CK23,CK29,CK37,CK43,CK49,CK56,CK63,CK68,CK75,CK81,CK87,CK93,CK99,CK105,CK112)</f>
        <v>1639</v>
      </c>
      <c r="CL114" s="182">
        <f t="shared" ref="CL114:CM114" si="616">SUM(CL105,CL99,CL93,CL87,CL81,CL75,CL68,CL63,CL56,CL49,CL43,CL37,CL29,CL23,CL18,CL11)</f>
        <v>69312</v>
      </c>
      <c r="CM114" s="182">
        <f t="shared" si="616"/>
        <v>69109</v>
      </c>
      <c r="CN114" s="157">
        <f>SUM(CN11,CN18,CN23,CN29,CN37,CN43,CN49,CN56,CN63,CN68,CN75,CN81,CN87,CN93,CN99,CN105,CN112)</f>
        <v>-203</v>
      </c>
      <c r="CO114" s="182">
        <f t="shared" ref="CO114:CP114" si="617">SUM(CO105,CO99,CO93,CO87,CO81,CO75,CO68,CO63,CO56,CO49,CO43,CO37,CO29,CO23,CO18,CO11)</f>
        <v>66270</v>
      </c>
      <c r="CP114" s="182">
        <f t="shared" si="617"/>
        <v>67639</v>
      </c>
      <c r="CQ114" s="157">
        <f>SUM(CQ11,CQ18,CQ23,CQ29,CQ37,CQ43,CQ49,CQ56,CQ63,CQ68,CQ75,CQ81,CQ87,CQ93,CQ99,CQ105,CQ112)</f>
        <v>1369</v>
      </c>
      <c r="CR114" s="183">
        <f t="shared" ref="CR114:DD114" si="618">SUM(CR105,CR99,CR93,CR87,CR81,CR75,CR68,CR63,CR56,CR49,CR43,CR37,CR29,CR23,CR18,CR11)</f>
        <v>336794</v>
      </c>
      <c r="CS114" s="182">
        <f t="shared" si="618"/>
        <v>72511</v>
      </c>
      <c r="CT114" s="182">
        <f t="shared" si="618"/>
        <v>74944</v>
      </c>
      <c r="CU114" s="182">
        <f t="shared" si="618"/>
        <v>147455</v>
      </c>
      <c r="CV114" s="182">
        <f t="shared" si="618"/>
        <v>0</v>
      </c>
      <c r="CW114" s="182">
        <f t="shared" si="618"/>
        <v>0</v>
      </c>
      <c r="CX114" s="183">
        <f t="shared" si="618"/>
        <v>294910</v>
      </c>
      <c r="CY114" s="182">
        <f t="shared" si="618"/>
        <v>0</v>
      </c>
      <c r="CZ114" s="182">
        <f t="shared" si="618"/>
        <v>0</v>
      </c>
      <c r="DA114" s="182">
        <f t="shared" si="618"/>
        <v>0</v>
      </c>
      <c r="DB114" s="183">
        <f t="shared" si="618"/>
        <v>0</v>
      </c>
      <c r="DC114" s="183">
        <f t="shared" si="618"/>
        <v>923844</v>
      </c>
      <c r="DD114" s="185">
        <f t="shared" si="618"/>
        <v>3747036</v>
      </c>
      <c r="DE114" s="24"/>
      <c r="DF114" s="24">
        <f>SUM(DF11:DF99)</f>
        <v>2782714</v>
      </c>
      <c r="DG114" s="6"/>
      <c r="DH114" s="6"/>
      <c r="DI114" s="6"/>
      <c r="DJ114" s="6"/>
      <c r="DK114" s="6"/>
      <c r="DL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24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24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</row>
  </sheetData>
  <customSheetViews>
    <customSheetView guid="{BFAD3FC5-7D50-478A-A1C9-F01A1867A3B2}" filter="1" showAutoFilter="1">
      <autoFilter ref="$A$11:$Z$112">
        <filterColumn colId="0">
          <filters>
            <filter val="Cavite"/>
            <filter val="Laguna"/>
            <filter val="Zambales (w/ HUC)"/>
            <filter val="Eastern Samar"/>
            <filter val="Tarlac"/>
            <filter val="Camarines Sur"/>
            <filter val="Romblon"/>
            <filter val="Iloilo (w/ HUC)"/>
            <filter val="Camiguin"/>
            <filter val="Aurora"/>
            <filter val="Sorsogon"/>
            <filter val="Davao De Oro"/>
            <filter val="Bataan"/>
            <filter val="Negros Oriental"/>
            <filter val="REGION 10 (NORTHERN MINDANAO)"/>
            <filter val="Pangasinan"/>
            <filter val="Quirino"/>
            <filter val="Albay"/>
            <filter val="Cagayan"/>
            <filter val="Abra"/>
            <filter val="REGION 7 (CENTRAL VISAYAS)"/>
            <filter val="Zamboanga Sibugay"/>
            <filter val="Benguet (w/ HUC)"/>
            <filter val="Siquijor"/>
            <filter val="NCR"/>
            <filter val="Davao del Norte"/>
            <filter val="Antique"/>
            <filter val="Ilocos Sur"/>
            <filter val="REGION 13 (CARAGA)"/>
            <filter val="Sarangani"/>
            <filter val="Quezon (w/ HUC)"/>
            <filter val="REGION 3 (CENTRAL LUZON)"/>
            <filter val="REGION 1 (ILOCOS)"/>
            <filter val="REGION 4-A (CALABARZON)"/>
            <filter val="Nueva Ecija"/>
            <filter val="Dinagat Islands"/>
            <filter val="Ilocos Norte"/>
            <filter val="Batanes"/>
            <filter val="Kalinga"/>
            <filter val="Southern Leyte"/>
            <filter val="Bohol"/>
            <filter val="Batangas"/>
            <filter val="REGION 11 (DAVAO)"/>
            <filter val="South Cotabato (w/ HUC)"/>
            <filter val="Apayao"/>
            <filter val="Nueva Vizcaya"/>
            <filter val="Camarines Norte"/>
            <filter val="Maguindanao"/>
            <filter val="Misamis Oriental (w/ HUC)"/>
            <filter val="Lanao del Sur"/>
            <filter val="Bulacan"/>
            <filter val="REGION 8 (EASTERN VISAYAS)"/>
            <filter val="North Cotabato (BARMM Interim Prov)"/>
            <filter val="Occidental Mindoro"/>
            <filter val="Zamboanga del Sur (w/ HUC)"/>
            <filter val="Tawi-Tawi"/>
            <filter val="Ifugao"/>
            <filter val="REGION 9 (ZAMBOANGA PENINSULA)"/>
            <filter val="Davao Oriental"/>
            <filter val="Isabela"/>
            <filter val="Bukidnon"/>
            <filter val="Marinduque"/>
            <filter val="Agusan del Sur"/>
            <filter val="Sulu"/>
            <filter val="Oriental Mindoro"/>
            <filter val="Zamboanga City"/>
            <filter val="REGION 4-B (MIMAROPA)"/>
            <filter val="Leyte (w/ HUC)"/>
            <filter val="Davao del Sur (w/ HUC)"/>
            <filter val="Capiz"/>
            <filter val="Pampanga (w/ HUC)"/>
            <filter val="City of Isabela"/>
            <filter val="Aklan"/>
            <filter val="REGION 12 (SOCCSKSARGEN)"/>
            <filter val="Agusan del Norte (w/ HUC)"/>
            <filter val="REGION 2 (CAGAYAN VALLEY)"/>
            <filter val="Davao Occidental"/>
            <filter val="Biliran"/>
            <filter val="Guimaras"/>
            <filter val="Sultan Kudarat"/>
            <filter val="REGION 5 (BICOL)"/>
            <filter val="Rizal"/>
            <filter val="Cebu (w/ 3 HUC)"/>
            <filter val="Surigao del Sur"/>
            <filter val="REGION 6 (WESTERN VISAYAS)"/>
            <filter val="Negros Occidental (w/ HUC)"/>
            <filter val="Mountain Province"/>
            <filter val="Palawan (w/ HUC)"/>
            <filter val="Basilan"/>
            <filter val="Masbate"/>
            <filter val="Zamboanga del Norte"/>
            <filter val="Misamis Occidental"/>
            <filter val="Lanao del Norte (w/ HUC)"/>
            <filter val="Northern Samar"/>
            <filter val="Cotabato City"/>
            <filter val="North Cotabato"/>
            <filter val="Western Samar (Samar)"/>
            <filter val="La Union"/>
            <filter val="Catanduanes"/>
            <filter val="Surigao del Norte"/>
          </filters>
        </filterColumn>
      </autoFilter>
    </customSheetView>
  </customSheetViews>
  <mergeCells count="16">
    <mergeCell ref="Z7:AO7"/>
    <mergeCell ref="AP7:AP8"/>
    <mergeCell ref="AQ7:BF7"/>
    <mergeCell ref="BG7:BG8"/>
    <mergeCell ref="BH7:BW7"/>
    <mergeCell ref="BX7:BX8"/>
    <mergeCell ref="BY7:DB7"/>
    <mergeCell ref="DC7:DC8"/>
    <mergeCell ref="A6:A8"/>
    <mergeCell ref="B6:DD6"/>
    <mergeCell ref="B7:B8"/>
    <mergeCell ref="C7:G7"/>
    <mergeCell ref="H7:H8"/>
    <mergeCell ref="I7:X7"/>
    <mergeCell ref="Y7:Y8"/>
    <mergeCell ref="DD7:DD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1" width="52.63"/>
    <col customWidth="1" hidden="1" min="2" max="18" width="12.63"/>
    <col customWidth="1" min="50" max="50" width="14.0"/>
    <col customWidth="1" min="52" max="52" width="20.38"/>
  </cols>
  <sheetData>
    <row r="1" ht="15.75" customHeight="1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ht="15.75" customHeight="1">
      <c r="A2" s="1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 ht="15.75" customHeight="1">
      <c r="A3" s="40" t="s">
        <v>156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 ht="15.75" customHeight="1">
      <c r="A4" s="45" t="s">
        <v>18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</row>
    <row r="6" ht="15.75" customHeight="1">
      <c r="A6" s="69" t="s">
        <v>25</v>
      </c>
      <c r="B6" s="71" t="s">
        <v>157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7"/>
      <c r="AY6" s="4"/>
      <c r="AZ6" s="4"/>
      <c r="BA6" s="4"/>
      <c r="BB6" s="4"/>
      <c r="BC6" s="4"/>
      <c r="BD6" s="4"/>
      <c r="BE6" s="4"/>
      <c r="BF6" s="4"/>
    </row>
    <row r="7" ht="15.75" customHeight="1">
      <c r="A7" s="81"/>
      <c r="B7" s="96">
        <v>2024.0</v>
      </c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7"/>
      <c r="R7" s="97">
        <v>2024.0</v>
      </c>
      <c r="S7" s="98">
        <v>2025.0</v>
      </c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87"/>
      <c r="AW7" s="99">
        <v>2025.0</v>
      </c>
      <c r="AX7" s="102" t="s">
        <v>46</v>
      </c>
      <c r="AY7" s="4"/>
      <c r="AZ7" s="4"/>
      <c r="BA7" s="4"/>
      <c r="BB7" s="4"/>
      <c r="BC7" s="4"/>
      <c r="BD7" s="4"/>
      <c r="BE7" s="4"/>
      <c r="BF7" s="4"/>
    </row>
    <row r="8" ht="87.0" customHeight="1">
      <c r="A8" s="104"/>
      <c r="B8" s="118" t="s">
        <v>60</v>
      </c>
      <c r="C8" s="118" t="s">
        <v>61</v>
      </c>
      <c r="D8" s="118" t="s">
        <v>62</v>
      </c>
      <c r="E8" s="119" t="s">
        <v>34</v>
      </c>
      <c r="F8" s="118" t="s">
        <v>63</v>
      </c>
      <c r="G8" s="118" t="s">
        <v>64</v>
      </c>
      <c r="H8" s="118" t="s">
        <v>65</v>
      </c>
      <c r="I8" s="119" t="s">
        <v>40</v>
      </c>
      <c r="J8" s="118" t="s">
        <v>66</v>
      </c>
      <c r="K8" s="118" t="s">
        <v>54</v>
      </c>
      <c r="L8" s="118" t="s">
        <v>56</v>
      </c>
      <c r="M8" s="119" t="s">
        <v>44</v>
      </c>
      <c r="N8" s="118" t="s">
        <v>57</v>
      </c>
      <c r="O8" s="118" t="s">
        <v>58</v>
      </c>
      <c r="P8" s="118" t="s">
        <v>59</v>
      </c>
      <c r="Q8" s="119" t="s">
        <v>45</v>
      </c>
      <c r="R8" s="106"/>
      <c r="S8" s="120" t="s">
        <v>60</v>
      </c>
      <c r="T8" s="121" t="s">
        <v>60</v>
      </c>
      <c r="U8" s="122" t="s">
        <v>60</v>
      </c>
      <c r="V8" s="120" t="s">
        <v>61</v>
      </c>
      <c r="W8" s="123" t="s">
        <v>61</v>
      </c>
      <c r="X8" s="122" t="s">
        <v>61</v>
      </c>
      <c r="Y8" s="120" t="s">
        <v>62</v>
      </c>
      <c r="Z8" s="123" t="s">
        <v>62</v>
      </c>
      <c r="AA8" s="122" t="s">
        <v>62</v>
      </c>
      <c r="AB8" s="124" t="s">
        <v>34</v>
      </c>
      <c r="AC8" s="120" t="s">
        <v>63</v>
      </c>
      <c r="AD8" s="123" t="s">
        <v>63</v>
      </c>
      <c r="AE8" s="122" t="s">
        <v>63</v>
      </c>
      <c r="AF8" s="120" t="s">
        <v>64</v>
      </c>
      <c r="AG8" s="123" t="s">
        <v>64</v>
      </c>
      <c r="AH8" s="122" t="s">
        <v>64</v>
      </c>
      <c r="AI8" s="120" t="s">
        <v>65</v>
      </c>
      <c r="AJ8" s="123" t="s">
        <v>65</v>
      </c>
      <c r="AK8" s="122" t="s">
        <v>65</v>
      </c>
      <c r="AL8" s="124" t="s">
        <v>40</v>
      </c>
      <c r="AM8" s="120" t="s">
        <v>66</v>
      </c>
      <c r="AN8" s="107" t="s">
        <v>66</v>
      </c>
      <c r="AO8" s="128" t="s">
        <v>66</v>
      </c>
      <c r="AP8" s="120" t="s">
        <v>54</v>
      </c>
      <c r="AQ8" s="120" t="s">
        <v>56</v>
      </c>
      <c r="AR8" s="124" t="s">
        <v>44</v>
      </c>
      <c r="AS8" s="120" t="s">
        <v>57</v>
      </c>
      <c r="AT8" s="120" t="s">
        <v>58</v>
      </c>
      <c r="AU8" s="120" t="s">
        <v>59</v>
      </c>
      <c r="AV8" s="124" t="s">
        <v>45</v>
      </c>
      <c r="AW8" s="106"/>
      <c r="AX8" s="104"/>
      <c r="AY8" s="4"/>
      <c r="AZ8" s="4"/>
      <c r="BA8" s="4"/>
      <c r="BB8" s="4"/>
      <c r="BC8" s="4"/>
      <c r="BD8" s="4"/>
      <c r="BE8" s="4"/>
      <c r="BF8" s="4"/>
    </row>
    <row r="9" ht="15.75" customHeight="1">
      <c r="A9" s="130" t="s">
        <v>46</v>
      </c>
      <c r="B9" s="180">
        <f t="shared" ref="B9:T9" si="1">SUM(B11,B18,B23,B29,B37,B43,B49,B56,B63,B68,B75,B81,B87,B93,B99,B105,B112)</f>
        <v>3420</v>
      </c>
      <c r="C9" s="180">
        <f t="shared" si="1"/>
        <v>9602</v>
      </c>
      <c r="D9" s="180">
        <f t="shared" si="1"/>
        <v>1450</v>
      </c>
      <c r="E9" s="181">
        <f t="shared" si="1"/>
        <v>14472</v>
      </c>
      <c r="F9" s="180">
        <f t="shared" si="1"/>
        <v>2446</v>
      </c>
      <c r="G9" s="180">
        <f t="shared" si="1"/>
        <v>1449</v>
      </c>
      <c r="H9" s="180">
        <f t="shared" si="1"/>
        <v>1767</v>
      </c>
      <c r="I9" s="181">
        <f t="shared" si="1"/>
        <v>5662</v>
      </c>
      <c r="J9" s="180">
        <f t="shared" si="1"/>
        <v>1807</v>
      </c>
      <c r="K9" s="180">
        <f t="shared" si="1"/>
        <v>1075</v>
      </c>
      <c r="L9" s="180">
        <f t="shared" si="1"/>
        <v>1283</v>
      </c>
      <c r="M9" s="181">
        <f t="shared" si="1"/>
        <v>4165</v>
      </c>
      <c r="N9" s="180">
        <f t="shared" si="1"/>
        <v>1256</v>
      </c>
      <c r="O9" s="180">
        <f t="shared" si="1"/>
        <v>1506</v>
      </c>
      <c r="P9" s="180">
        <f t="shared" si="1"/>
        <v>1252</v>
      </c>
      <c r="Q9" s="181">
        <f t="shared" si="1"/>
        <v>4014</v>
      </c>
      <c r="R9" s="181">
        <f t="shared" si="1"/>
        <v>28313</v>
      </c>
      <c r="S9" s="182">
        <f t="shared" si="1"/>
        <v>5772</v>
      </c>
      <c r="T9" s="182">
        <f t="shared" si="1"/>
        <v>5788</v>
      </c>
      <c r="U9" s="151">
        <f>U114</f>
        <v>28</v>
      </c>
      <c r="V9" s="182">
        <f t="shared" ref="V9:W9" si="2">SUM(V11,V18,V23,V29,V37,V43,V49,V56,V63,V68,V75,V81,V87,V93,V99,V105,V112)</f>
        <v>7442</v>
      </c>
      <c r="W9" s="182">
        <f t="shared" si="2"/>
        <v>9005</v>
      </c>
      <c r="X9" s="151">
        <f>X114</f>
        <v>1594</v>
      </c>
      <c r="Y9" s="182">
        <f t="shared" ref="Y9:Z9" si="3">SUM(Y11,Y18,Y23,Y29,Y37,Y43,Y49,Y56,Y63,Y68,Y75,Y81,Y87,Y93,Y99,Y105,Y112)</f>
        <v>15618</v>
      </c>
      <c r="Z9" s="182">
        <f t="shared" si="3"/>
        <v>17961</v>
      </c>
      <c r="AA9" s="151">
        <f>AA114</f>
        <v>2343</v>
      </c>
      <c r="AB9" s="183">
        <f t="shared" ref="AB9:AD9" si="4">SUM(AB11,AB18,AB23,AB29,AB37,AB43,AB49,AB56,AB63,AB68,AB75,AB81,AB87,AB93,AB99,AB105,AB112)</f>
        <v>45247</v>
      </c>
      <c r="AC9" s="182">
        <f t="shared" si="4"/>
        <v>19595</v>
      </c>
      <c r="AD9" s="182">
        <f t="shared" si="4"/>
        <v>19595</v>
      </c>
      <c r="AE9" s="151">
        <f>AE114</f>
        <v>0</v>
      </c>
      <c r="AF9" s="182">
        <f t="shared" ref="AF9:AG9" si="5">SUM(AF11,AF18,AF23,AF29,AF37,AF43,AF49,AF56,AF63,AF68,AF75,AF81,AF87,AF93,AF99,AF105,AF112)</f>
        <v>6171</v>
      </c>
      <c r="AG9" s="182">
        <f t="shared" si="5"/>
        <v>11356</v>
      </c>
      <c r="AH9" s="151">
        <f>AH114</f>
        <v>5185</v>
      </c>
      <c r="AI9" s="182">
        <f t="shared" ref="AI9:AJ9" si="6">SUM(AI11,AI18,AI23,AI29,AI37,AI43,AI49,AI56,AI63,AI68,AI75,AI81,AI87,AI93,AI99,AI105,AI112)</f>
        <v>14094</v>
      </c>
      <c r="AJ9" s="182">
        <f t="shared" si="6"/>
        <v>16392</v>
      </c>
      <c r="AK9" s="151">
        <f>AK114</f>
        <v>2298</v>
      </c>
      <c r="AL9" s="183">
        <f t="shared" ref="AL9:AM9" si="7">SUM(AL11,AL18,AL23,AL29,AL37,AL43,AL49,AL56,AL63,AL68,AL75,AL81,AL87,AL93,AL99,AL105,AL112)</f>
        <v>75996</v>
      </c>
      <c r="AM9" s="182">
        <f t="shared" si="7"/>
        <v>12149</v>
      </c>
      <c r="AN9" s="151">
        <f t="shared" ref="AN9:AO9" si="8">AN114</f>
        <v>11448</v>
      </c>
      <c r="AO9" s="151">
        <f t="shared" si="8"/>
        <v>23597</v>
      </c>
      <c r="AP9" s="182">
        <f t="shared" ref="AP9:AX9" si="9">SUM(AP11,AP18,AP23,AP29,AP37,AP43,AP49,AP56,AP63,AP68,AP75,AP81,AP87,AP93,AP99,AP105,AP112)</f>
        <v>0</v>
      </c>
      <c r="AQ9" s="182">
        <f t="shared" si="9"/>
        <v>0</v>
      </c>
      <c r="AR9" s="183">
        <f t="shared" si="9"/>
        <v>47194</v>
      </c>
      <c r="AS9" s="182">
        <f t="shared" si="9"/>
        <v>0</v>
      </c>
      <c r="AT9" s="182">
        <f t="shared" si="9"/>
        <v>0</v>
      </c>
      <c r="AU9" s="182">
        <f t="shared" si="9"/>
        <v>0</v>
      </c>
      <c r="AV9" s="183">
        <f t="shared" si="9"/>
        <v>0</v>
      </c>
      <c r="AW9" s="184">
        <f t="shared" si="9"/>
        <v>168437</v>
      </c>
      <c r="AX9" s="185">
        <f t="shared" si="9"/>
        <v>196750</v>
      </c>
      <c r="AY9" s="20"/>
      <c r="AZ9" s="4"/>
      <c r="BA9" s="4"/>
      <c r="BB9" s="4"/>
      <c r="BC9" s="4"/>
      <c r="BD9" s="4"/>
      <c r="BE9" s="4"/>
      <c r="BF9" s="4"/>
    </row>
    <row r="10" ht="15.75" customHeight="1">
      <c r="A10" s="125"/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62" t="s">
        <v>72</v>
      </c>
      <c r="T10" s="162" t="s">
        <v>73</v>
      </c>
      <c r="U10" s="162" t="s">
        <v>74</v>
      </c>
      <c r="V10" s="162" t="s">
        <v>72</v>
      </c>
      <c r="W10" s="162" t="s">
        <v>73</v>
      </c>
      <c r="X10" s="162" t="s">
        <v>74</v>
      </c>
      <c r="Y10" s="162" t="s">
        <v>72</v>
      </c>
      <c r="Z10" s="162" t="s">
        <v>73</v>
      </c>
      <c r="AA10" s="162" t="s">
        <v>74</v>
      </c>
      <c r="AB10" s="186"/>
      <c r="AC10" s="162" t="s">
        <v>72</v>
      </c>
      <c r="AD10" s="162" t="s">
        <v>73</v>
      </c>
      <c r="AE10" s="162" t="s">
        <v>74</v>
      </c>
      <c r="AF10" s="162" t="s">
        <v>72</v>
      </c>
      <c r="AG10" s="162" t="s">
        <v>73</v>
      </c>
      <c r="AH10" s="162" t="s">
        <v>74</v>
      </c>
      <c r="AI10" s="162" t="s">
        <v>72</v>
      </c>
      <c r="AJ10" s="162" t="s">
        <v>73</v>
      </c>
      <c r="AK10" s="162" t="s">
        <v>74</v>
      </c>
      <c r="AL10" s="186"/>
      <c r="AM10" s="186"/>
      <c r="AN10" s="162" t="s">
        <v>75</v>
      </c>
      <c r="AO10" s="162" t="s">
        <v>72</v>
      </c>
      <c r="AP10" s="186"/>
      <c r="AQ10" s="186"/>
      <c r="AR10" s="186"/>
      <c r="AS10" s="186"/>
      <c r="AT10" s="186"/>
      <c r="AU10" s="186"/>
      <c r="AV10" s="186"/>
      <c r="AW10" s="186"/>
      <c r="AX10" s="125"/>
      <c r="AY10" s="4"/>
      <c r="AZ10" s="4"/>
      <c r="BA10" s="4"/>
      <c r="BB10" s="4"/>
      <c r="BC10" s="4"/>
      <c r="BD10" s="4"/>
      <c r="BE10" s="4"/>
      <c r="BF10" s="4"/>
    </row>
    <row r="11" ht="15.75" customHeight="1">
      <c r="A11" s="137" t="s">
        <v>76</v>
      </c>
      <c r="B11" s="187">
        <f t="shared" ref="B11:AB11" si="10">SUM(B12:B17)</f>
        <v>700</v>
      </c>
      <c r="C11" s="187">
        <f t="shared" si="10"/>
        <v>4514</v>
      </c>
      <c r="D11" s="187">
        <f t="shared" si="10"/>
        <v>0</v>
      </c>
      <c r="E11" s="187">
        <f t="shared" si="10"/>
        <v>5214</v>
      </c>
      <c r="F11" s="187">
        <f t="shared" si="10"/>
        <v>0</v>
      </c>
      <c r="G11" s="187">
        <f t="shared" si="10"/>
        <v>0</v>
      </c>
      <c r="H11" s="187">
        <f t="shared" si="10"/>
        <v>5</v>
      </c>
      <c r="I11" s="187">
        <f t="shared" si="10"/>
        <v>5</v>
      </c>
      <c r="J11" s="187">
        <f t="shared" si="10"/>
        <v>4</v>
      </c>
      <c r="K11" s="187">
        <f t="shared" si="10"/>
        <v>157</v>
      </c>
      <c r="L11" s="187">
        <f t="shared" si="10"/>
        <v>17</v>
      </c>
      <c r="M11" s="187">
        <f t="shared" si="10"/>
        <v>178</v>
      </c>
      <c r="N11" s="187">
        <f t="shared" si="10"/>
        <v>0</v>
      </c>
      <c r="O11" s="187">
        <f t="shared" si="10"/>
        <v>0</v>
      </c>
      <c r="P11" s="187">
        <f t="shared" si="10"/>
        <v>1</v>
      </c>
      <c r="Q11" s="187">
        <f t="shared" si="10"/>
        <v>1</v>
      </c>
      <c r="R11" s="187">
        <f t="shared" si="10"/>
        <v>5398</v>
      </c>
      <c r="S11" s="187">
        <f t="shared" si="10"/>
        <v>0</v>
      </c>
      <c r="T11" s="187">
        <f t="shared" si="10"/>
        <v>4</v>
      </c>
      <c r="U11" s="141">
        <f t="shared" si="10"/>
        <v>4</v>
      </c>
      <c r="V11" s="187">
        <f t="shared" si="10"/>
        <v>0</v>
      </c>
      <c r="W11" s="187">
        <f t="shared" si="10"/>
        <v>4</v>
      </c>
      <c r="X11" s="141">
        <f t="shared" si="10"/>
        <v>4</v>
      </c>
      <c r="Y11" s="187">
        <f t="shared" si="10"/>
        <v>112</v>
      </c>
      <c r="Z11" s="187">
        <f t="shared" si="10"/>
        <v>112</v>
      </c>
      <c r="AA11" s="141">
        <f t="shared" si="10"/>
        <v>0</v>
      </c>
      <c r="AB11" s="187">
        <f t="shared" si="10"/>
        <v>128</v>
      </c>
      <c r="AC11" s="187">
        <f t="shared" ref="AC11:AD11" si="11">AC12+AC13+AC14+AC15+AC16+AC17</f>
        <v>12519</v>
      </c>
      <c r="AD11" s="187">
        <f t="shared" si="11"/>
        <v>12519</v>
      </c>
      <c r="AE11" s="141">
        <f t="shared" ref="AE11:AF11" si="12">SUM(AE12:AE17)</f>
        <v>0</v>
      </c>
      <c r="AF11" s="187">
        <f t="shared" si="12"/>
        <v>3</v>
      </c>
      <c r="AG11" s="141">
        <f>AG12+AG13+AG14+AG15+AG16+AG17</f>
        <v>3</v>
      </c>
      <c r="AH11" s="141">
        <f t="shared" ref="AH11:AI11" si="13">SUM(AH12:AH17)</f>
        <v>0</v>
      </c>
      <c r="AI11" s="187">
        <f t="shared" si="13"/>
        <v>0</v>
      </c>
      <c r="AJ11" s="141">
        <f>AJ12+AJ13+AJ14+AJ15+AJ16+AJ17</f>
        <v>0</v>
      </c>
      <c r="AK11" s="141">
        <f t="shared" ref="AK11:AL11" si="14">SUM(AK12:AK17)</f>
        <v>0</v>
      </c>
      <c r="AL11" s="141">
        <f t="shared" si="14"/>
        <v>25044</v>
      </c>
      <c r="AM11" s="141">
        <f>AM12+AM13+AM14+AM15+AM16+AM17</f>
        <v>10</v>
      </c>
      <c r="AN11" s="187">
        <f t="shared" ref="AN11:AR11" si="15">SUM(AN12:AN17)</f>
        <v>8</v>
      </c>
      <c r="AO11" s="187">
        <f t="shared" si="15"/>
        <v>18</v>
      </c>
      <c r="AP11" s="141">
        <f t="shared" si="15"/>
        <v>0</v>
      </c>
      <c r="AQ11" s="141">
        <f t="shared" si="15"/>
        <v>0</v>
      </c>
      <c r="AR11" s="141">
        <f t="shared" si="15"/>
        <v>36</v>
      </c>
      <c r="AS11" s="141">
        <f>AS12+AS13+AS14+AS15+AS16+AS17</f>
        <v>0</v>
      </c>
      <c r="AT11" s="141">
        <f t="shared" ref="AT11:AW11" si="16">SUM(AT12:AT17)</f>
        <v>0</v>
      </c>
      <c r="AU11" s="141">
        <f t="shared" si="16"/>
        <v>0</v>
      </c>
      <c r="AV11" s="141">
        <f t="shared" si="16"/>
        <v>0</v>
      </c>
      <c r="AW11" s="141">
        <f t="shared" si="16"/>
        <v>25208</v>
      </c>
      <c r="AX11" s="141">
        <f t="shared" ref="AX11:AX112" si="17">SUM(R11,AW11)</f>
        <v>30606</v>
      </c>
      <c r="AY11" s="4"/>
      <c r="AZ11" s="4"/>
      <c r="BA11" s="4"/>
      <c r="BB11" s="4"/>
      <c r="BC11" s="4"/>
      <c r="BD11" s="4"/>
      <c r="BE11" s="4"/>
      <c r="BF11" s="4"/>
    </row>
    <row r="12" ht="15.75" customHeight="1">
      <c r="A12" s="167" t="s">
        <v>77</v>
      </c>
      <c r="B12" s="188">
        <v>2.0</v>
      </c>
      <c r="C12" s="188">
        <v>661.0</v>
      </c>
      <c r="D12" s="188">
        <v>0.0</v>
      </c>
      <c r="E12" s="188">
        <f t="shared" ref="E12:E17" si="18">SUM(B12:D12)</f>
        <v>663</v>
      </c>
      <c r="F12" s="188">
        <v>0.0</v>
      </c>
      <c r="G12" s="188">
        <v>0.0</v>
      </c>
      <c r="H12" s="188">
        <v>2.0</v>
      </c>
      <c r="I12" s="188">
        <f t="shared" ref="I12:I17" si="19">SUM(F12:H12)</f>
        <v>2</v>
      </c>
      <c r="J12" s="186"/>
      <c r="K12" s="186"/>
      <c r="L12" s="188">
        <v>0.0</v>
      </c>
      <c r="M12" s="188">
        <f t="shared" ref="M12:M17" si="20">SUM(J12:L12)</f>
        <v>0</v>
      </c>
      <c r="N12" s="188">
        <v>0.0</v>
      </c>
      <c r="O12" s="186"/>
      <c r="P12" s="186"/>
      <c r="Q12" s="188">
        <f t="shared" ref="Q12:Q17" si="21">SUM(N12:P12)</f>
        <v>0</v>
      </c>
      <c r="R12" s="188">
        <f t="shared" ref="R12:R17" si="22">SUM(E12,I12,M12,Q12)</f>
        <v>665</v>
      </c>
      <c r="S12" s="188">
        <v>0.0</v>
      </c>
      <c r="T12" s="188">
        <v>0.0</v>
      </c>
      <c r="U12" s="154">
        <f t="shared" ref="U12:U17" si="23">T12-S12</f>
        <v>0</v>
      </c>
      <c r="V12" s="188">
        <v>0.0</v>
      </c>
      <c r="W12" s="188"/>
      <c r="X12" s="154">
        <f t="shared" ref="X12:X17" si="24">W12-V12</f>
        <v>0</v>
      </c>
      <c r="Y12" s="188">
        <v>27.0</v>
      </c>
      <c r="Z12" s="188">
        <v>27.0</v>
      </c>
      <c r="AA12" s="154">
        <f t="shared" ref="AA12:AA17" si="25">Z12-Y12</f>
        <v>0</v>
      </c>
      <c r="AB12" s="188">
        <f t="shared" ref="AB12:AB17" si="26">SUM(S12:Y12)</f>
        <v>27</v>
      </c>
      <c r="AC12" s="188">
        <v>1378.0</v>
      </c>
      <c r="AD12" s="188">
        <v>1378.0</v>
      </c>
      <c r="AE12" s="154">
        <f t="shared" ref="AE12:AE17" si="27">AD12-AC12</f>
        <v>0</v>
      </c>
      <c r="AF12" s="188">
        <v>2.0</v>
      </c>
      <c r="AG12" s="188">
        <v>2.0</v>
      </c>
      <c r="AH12" s="154">
        <f t="shared" ref="AH12:AH17" si="28">AG12-AF12</f>
        <v>0</v>
      </c>
      <c r="AI12" s="189">
        <v>0.0</v>
      </c>
      <c r="AJ12" s="189">
        <v>0.0</v>
      </c>
      <c r="AK12" s="154">
        <f t="shared" ref="AK12:AK17" si="29">AJ12-AI12</f>
        <v>0</v>
      </c>
      <c r="AL12" s="154">
        <f t="shared" ref="AL12:AL17" si="30">SUM(AC12:AI12)</f>
        <v>2760</v>
      </c>
      <c r="AM12" s="154">
        <v>2.0</v>
      </c>
      <c r="AN12" s="188">
        <f t="shared" ref="AN12:AN17" si="31">SUM(U12,X12,AA12,AE12,AH12,AK12)</f>
        <v>0</v>
      </c>
      <c r="AO12" s="188">
        <f t="shared" ref="AO12:AO17" si="32">AM12+AN12</f>
        <v>2</v>
      </c>
      <c r="AP12" s="154"/>
      <c r="AQ12" s="155"/>
      <c r="AR12" s="154">
        <f t="shared" ref="AR12:AR17" si="33">SUM(AM12:AQ12)</f>
        <v>4</v>
      </c>
      <c r="AS12" s="154"/>
      <c r="AT12" s="154"/>
      <c r="AU12" s="155"/>
      <c r="AV12" s="154">
        <f t="shared" ref="AV12:AV17" si="34">SUM(AS12:AU12)</f>
        <v>0</v>
      </c>
      <c r="AW12" s="154">
        <f t="shared" ref="AW12:AW17" si="35">SUM(AB12,AL12,AR12,AV12)</f>
        <v>2791</v>
      </c>
      <c r="AX12" s="154">
        <f t="shared" si="17"/>
        <v>3456</v>
      </c>
      <c r="AY12" s="4"/>
      <c r="AZ12" s="4"/>
      <c r="BA12" s="4"/>
      <c r="BB12" s="4"/>
      <c r="BC12" s="4"/>
      <c r="BD12" s="4"/>
      <c r="BE12" s="4"/>
      <c r="BF12" s="4"/>
    </row>
    <row r="13" ht="15.75" customHeight="1">
      <c r="A13" s="167" t="s">
        <v>78</v>
      </c>
      <c r="B13" s="188">
        <v>468.0</v>
      </c>
      <c r="C13" s="188">
        <v>2667.0</v>
      </c>
      <c r="D13" s="188">
        <v>0.0</v>
      </c>
      <c r="E13" s="188">
        <f t="shared" si="18"/>
        <v>3135</v>
      </c>
      <c r="F13" s="188">
        <v>0.0</v>
      </c>
      <c r="G13" s="188">
        <v>0.0</v>
      </c>
      <c r="H13" s="188">
        <v>0.0</v>
      </c>
      <c r="I13" s="188">
        <f t="shared" si="19"/>
        <v>0</v>
      </c>
      <c r="J13" s="186"/>
      <c r="K13" s="186"/>
      <c r="L13" s="188">
        <v>0.0</v>
      </c>
      <c r="M13" s="188">
        <f t="shared" si="20"/>
        <v>0</v>
      </c>
      <c r="N13" s="188">
        <v>0.0</v>
      </c>
      <c r="O13" s="186"/>
      <c r="P13" s="186"/>
      <c r="Q13" s="188">
        <f t="shared" si="21"/>
        <v>0</v>
      </c>
      <c r="R13" s="188">
        <f t="shared" si="22"/>
        <v>3135</v>
      </c>
      <c r="S13" s="188">
        <v>0.0</v>
      </c>
      <c r="T13" s="188">
        <v>1.0</v>
      </c>
      <c r="U13" s="154">
        <f t="shared" si="23"/>
        <v>1</v>
      </c>
      <c r="V13" s="188">
        <v>0.0</v>
      </c>
      <c r="W13" s="188">
        <v>1.0</v>
      </c>
      <c r="X13" s="154">
        <f t="shared" si="24"/>
        <v>1</v>
      </c>
      <c r="Y13" s="188">
        <v>19.0</v>
      </c>
      <c r="Z13" s="188">
        <v>19.0</v>
      </c>
      <c r="AA13" s="154">
        <f t="shared" si="25"/>
        <v>0</v>
      </c>
      <c r="AB13" s="188">
        <f t="shared" si="26"/>
        <v>23</v>
      </c>
      <c r="AC13" s="188">
        <v>1938.0</v>
      </c>
      <c r="AD13" s="188">
        <v>1938.0</v>
      </c>
      <c r="AE13" s="154">
        <f t="shared" si="27"/>
        <v>0</v>
      </c>
      <c r="AF13" s="188">
        <v>1.0</v>
      </c>
      <c r="AG13" s="188">
        <v>1.0</v>
      </c>
      <c r="AH13" s="154">
        <f t="shared" si="28"/>
        <v>0</v>
      </c>
      <c r="AI13" s="189">
        <v>0.0</v>
      </c>
      <c r="AJ13" s="189">
        <v>0.0</v>
      </c>
      <c r="AK13" s="154">
        <f t="shared" si="29"/>
        <v>0</v>
      </c>
      <c r="AL13" s="154">
        <f t="shared" si="30"/>
        <v>3878</v>
      </c>
      <c r="AM13" s="154">
        <v>4.0</v>
      </c>
      <c r="AN13" s="188">
        <f t="shared" si="31"/>
        <v>2</v>
      </c>
      <c r="AO13" s="188">
        <f t="shared" si="32"/>
        <v>6</v>
      </c>
      <c r="AP13" s="154"/>
      <c r="AQ13" s="155"/>
      <c r="AR13" s="154">
        <f t="shared" si="33"/>
        <v>12</v>
      </c>
      <c r="AS13" s="154"/>
      <c r="AT13" s="154"/>
      <c r="AU13" s="155"/>
      <c r="AV13" s="154">
        <f t="shared" si="34"/>
        <v>0</v>
      </c>
      <c r="AW13" s="154">
        <f t="shared" si="35"/>
        <v>3913</v>
      </c>
      <c r="AX13" s="154">
        <f t="shared" si="17"/>
        <v>7048</v>
      </c>
      <c r="AY13" s="4"/>
      <c r="AZ13" s="4"/>
      <c r="BB13" s="4"/>
      <c r="BC13" s="4"/>
      <c r="BD13" s="4"/>
      <c r="BE13" s="4"/>
      <c r="BF13" s="4"/>
    </row>
    <row r="14" ht="15.75" customHeight="1">
      <c r="A14" s="169" t="s">
        <v>79</v>
      </c>
      <c r="B14" s="188">
        <v>66.0</v>
      </c>
      <c r="C14" s="188">
        <v>453.0</v>
      </c>
      <c r="D14" s="188">
        <v>0.0</v>
      </c>
      <c r="E14" s="188">
        <f t="shared" si="18"/>
        <v>519</v>
      </c>
      <c r="F14" s="188">
        <v>0.0</v>
      </c>
      <c r="G14" s="188">
        <v>0.0</v>
      </c>
      <c r="H14" s="188">
        <v>2.0</v>
      </c>
      <c r="I14" s="188">
        <f t="shared" si="19"/>
        <v>2</v>
      </c>
      <c r="J14" s="188">
        <v>0.0</v>
      </c>
      <c r="K14" s="188">
        <v>0.0</v>
      </c>
      <c r="L14" s="188">
        <v>0.0</v>
      </c>
      <c r="M14" s="188">
        <f t="shared" si="20"/>
        <v>0</v>
      </c>
      <c r="N14" s="188">
        <v>0.0</v>
      </c>
      <c r="O14" s="188">
        <v>0.0</v>
      </c>
      <c r="P14" s="188">
        <v>0.0</v>
      </c>
      <c r="Q14" s="188">
        <f t="shared" si="21"/>
        <v>0</v>
      </c>
      <c r="R14" s="188">
        <f t="shared" si="22"/>
        <v>521</v>
      </c>
      <c r="S14" s="188">
        <v>0.0</v>
      </c>
      <c r="T14" s="188">
        <v>0.0</v>
      </c>
      <c r="U14" s="154">
        <f t="shared" si="23"/>
        <v>0</v>
      </c>
      <c r="V14" s="188">
        <v>0.0</v>
      </c>
      <c r="W14" s="188">
        <v>2.0</v>
      </c>
      <c r="X14" s="154">
        <f t="shared" si="24"/>
        <v>2</v>
      </c>
      <c r="Y14" s="188">
        <v>0.0</v>
      </c>
      <c r="Z14" s="188">
        <v>0.0</v>
      </c>
      <c r="AA14" s="154">
        <f t="shared" si="25"/>
        <v>0</v>
      </c>
      <c r="AB14" s="188">
        <f t="shared" si="26"/>
        <v>4</v>
      </c>
      <c r="AC14" s="188">
        <v>1757.0</v>
      </c>
      <c r="AD14" s="188">
        <v>1757.0</v>
      </c>
      <c r="AE14" s="154">
        <f t="shared" si="27"/>
        <v>0</v>
      </c>
      <c r="AF14" s="188">
        <v>0.0</v>
      </c>
      <c r="AG14" s="188">
        <v>0.0</v>
      </c>
      <c r="AH14" s="154">
        <f t="shared" si="28"/>
        <v>0</v>
      </c>
      <c r="AI14" s="188">
        <v>0.0</v>
      </c>
      <c r="AJ14" s="188">
        <v>0.0</v>
      </c>
      <c r="AK14" s="154">
        <f t="shared" si="29"/>
        <v>0</v>
      </c>
      <c r="AL14" s="154">
        <f t="shared" si="30"/>
        <v>3514</v>
      </c>
      <c r="AM14" s="154">
        <v>0.0</v>
      </c>
      <c r="AN14" s="188">
        <f t="shared" si="31"/>
        <v>2</v>
      </c>
      <c r="AO14" s="188">
        <f t="shared" si="32"/>
        <v>2</v>
      </c>
      <c r="AP14" s="154"/>
      <c r="AQ14" s="154"/>
      <c r="AR14" s="154">
        <f t="shared" si="33"/>
        <v>4</v>
      </c>
      <c r="AS14" s="154"/>
      <c r="AT14" s="154"/>
      <c r="AU14" s="154"/>
      <c r="AV14" s="154">
        <f t="shared" si="34"/>
        <v>0</v>
      </c>
      <c r="AW14" s="154">
        <f t="shared" si="35"/>
        <v>3522</v>
      </c>
      <c r="AX14" s="154">
        <f t="shared" si="17"/>
        <v>4043</v>
      </c>
      <c r="AY14" s="4"/>
      <c r="AZ14" s="4"/>
      <c r="BA14" s="4"/>
      <c r="BB14" s="4"/>
      <c r="BC14" s="4"/>
      <c r="BD14" s="4"/>
      <c r="BE14" s="4"/>
      <c r="BF14" s="4"/>
    </row>
    <row r="15" ht="15.75" customHeight="1">
      <c r="A15" s="167" t="s">
        <v>81</v>
      </c>
      <c r="B15" s="188">
        <v>3.0</v>
      </c>
      <c r="C15" s="188">
        <v>62.0</v>
      </c>
      <c r="D15" s="188">
        <v>0.0</v>
      </c>
      <c r="E15" s="188">
        <f t="shared" si="18"/>
        <v>65</v>
      </c>
      <c r="F15" s="188">
        <v>0.0</v>
      </c>
      <c r="G15" s="188">
        <v>0.0</v>
      </c>
      <c r="H15" s="188">
        <v>0.0</v>
      </c>
      <c r="I15" s="188">
        <f t="shared" si="19"/>
        <v>0</v>
      </c>
      <c r="J15" s="188">
        <v>0.0</v>
      </c>
      <c r="K15" s="188">
        <v>150.0</v>
      </c>
      <c r="L15" s="188">
        <v>17.0</v>
      </c>
      <c r="M15" s="188">
        <f t="shared" si="20"/>
        <v>167</v>
      </c>
      <c r="N15" s="188">
        <v>0.0</v>
      </c>
      <c r="O15" s="186"/>
      <c r="P15" s="188">
        <v>1.0</v>
      </c>
      <c r="Q15" s="188">
        <f t="shared" si="21"/>
        <v>1</v>
      </c>
      <c r="R15" s="188">
        <f t="shared" si="22"/>
        <v>233</v>
      </c>
      <c r="S15" s="188">
        <v>0.0</v>
      </c>
      <c r="T15" s="188">
        <v>0.0</v>
      </c>
      <c r="U15" s="154">
        <f t="shared" si="23"/>
        <v>0</v>
      </c>
      <c r="V15" s="188">
        <v>0.0</v>
      </c>
      <c r="W15" s="188">
        <v>1.0</v>
      </c>
      <c r="X15" s="154">
        <f t="shared" si="24"/>
        <v>1</v>
      </c>
      <c r="Y15" s="188">
        <v>27.0</v>
      </c>
      <c r="Z15" s="188">
        <v>27.0</v>
      </c>
      <c r="AA15" s="154">
        <f t="shared" si="25"/>
        <v>0</v>
      </c>
      <c r="AB15" s="188">
        <f t="shared" si="26"/>
        <v>29</v>
      </c>
      <c r="AC15" s="188">
        <v>2386.0</v>
      </c>
      <c r="AD15" s="188">
        <v>2386.0</v>
      </c>
      <c r="AE15" s="154">
        <f t="shared" si="27"/>
        <v>0</v>
      </c>
      <c r="AF15" s="188">
        <v>0.0</v>
      </c>
      <c r="AG15" s="188">
        <v>0.0</v>
      </c>
      <c r="AH15" s="154">
        <f t="shared" si="28"/>
        <v>0</v>
      </c>
      <c r="AI15" s="188">
        <v>0.0</v>
      </c>
      <c r="AJ15" s="188">
        <v>0.0</v>
      </c>
      <c r="AK15" s="154">
        <f t="shared" si="29"/>
        <v>0</v>
      </c>
      <c r="AL15" s="154">
        <f t="shared" si="30"/>
        <v>4772</v>
      </c>
      <c r="AM15" s="154">
        <v>0.0</v>
      </c>
      <c r="AN15" s="188">
        <f t="shared" si="31"/>
        <v>1</v>
      </c>
      <c r="AO15" s="188">
        <f t="shared" si="32"/>
        <v>1</v>
      </c>
      <c r="AP15" s="154"/>
      <c r="AQ15" s="154"/>
      <c r="AR15" s="154">
        <f t="shared" si="33"/>
        <v>2</v>
      </c>
      <c r="AS15" s="154"/>
      <c r="AT15" s="154"/>
      <c r="AU15" s="154"/>
      <c r="AV15" s="154">
        <f t="shared" si="34"/>
        <v>0</v>
      </c>
      <c r="AW15" s="154">
        <f t="shared" si="35"/>
        <v>4803</v>
      </c>
      <c r="AX15" s="154">
        <f t="shared" si="17"/>
        <v>5036</v>
      </c>
      <c r="AY15" s="4"/>
      <c r="AZ15" s="4"/>
      <c r="BA15" s="4"/>
      <c r="BB15" s="4"/>
      <c r="BC15" s="4"/>
      <c r="BD15" s="4"/>
      <c r="BE15" s="4"/>
      <c r="BF15" s="4"/>
    </row>
    <row r="16" ht="15.75" customHeight="1">
      <c r="A16" s="167" t="s">
        <v>85</v>
      </c>
      <c r="B16" s="188">
        <v>0.0</v>
      </c>
      <c r="C16" s="188">
        <v>24.0</v>
      </c>
      <c r="D16" s="188">
        <v>0.0</v>
      </c>
      <c r="E16" s="188">
        <f t="shared" si="18"/>
        <v>24</v>
      </c>
      <c r="F16" s="188">
        <v>0.0</v>
      </c>
      <c r="G16" s="188">
        <v>0.0</v>
      </c>
      <c r="H16" s="188">
        <v>0.0</v>
      </c>
      <c r="I16" s="188">
        <f t="shared" si="19"/>
        <v>0</v>
      </c>
      <c r="J16" s="188">
        <v>1.0</v>
      </c>
      <c r="K16" s="188">
        <v>1.0</v>
      </c>
      <c r="L16" s="188">
        <v>0.0</v>
      </c>
      <c r="M16" s="188">
        <f t="shared" si="20"/>
        <v>2</v>
      </c>
      <c r="N16" s="188">
        <v>0.0</v>
      </c>
      <c r="O16" s="186"/>
      <c r="P16" s="188">
        <v>0.0</v>
      </c>
      <c r="Q16" s="188">
        <f t="shared" si="21"/>
        <v>0</v>
      </c>
      <c r="R16" s="188">
        <f t="shared" si="22"/>
        <v>26</v>
      </c>
      <c r="S16" s="188">
        <v>0.0</v>
      </c>
      <c r="T16" s="188">
        <v>1.0</v>
      </c>
      <c r="U16" s="154">
        <f t="shared" si="23"/>
        <v>1</v>
      </c>
      <c r="V16" s="188">
        <v>0.0</v>
      </c>
      <c r="W16" s="188"/>
      <c r="X16" s="154">
        <f t="shared" si="24"/>
        <v>0</v>
      </c>
      <c r="Y16" s="188">
        <v>37.0</v>
      </c>
      <c r="Z16" s="188">
        <v>37.0</v>
      </c>
      <c r="AA16" s="154">
        <f t="shared" si="25"/>
        <v>0</v>
      </c>
      <c r="AB16" s="188">
        <f t="shared" si="26"/>
        <v>39</v>
      </c>
      <c r="AC16" s="188">
        <v>4220.0</v>
      </c>
      <c r="AD16" s="188">
        <v>4220.0</v>
      </c>
      <c r="AE16" s="154">
        <f t="shared" si="27"/>
        <v>0</v>
      </c>
      <c r="AF16" s="188">
        <v>0.0</v>
      </c>
      <c r="AG16" s="188">
        <v>0.0</v>
      </c>
      <c r="AH16" s="154">
        <f t="shared" si="28"/>
        <v>0</v>
      </c>
      <c r="AI16" s="188">
        <v>0.0</v>
      </c>
      <c r="AJ16" s="188">
        <v>0.0</v>
      </c>
      <c r="AK16" s="154">
        <f t="shared" si="29"/>
        <v>0</v>
      </c>
      <c r="AL16" s="154">
        <f t="shared" si="30"/>
        <v>8440</v>
      </c>
      <c r="AM16" s="154">
        <v>0.0</v>
      </c>
      <c r="AN16" s="188">
        <f t="shared" si="31"/>
        <v>1</v>
      </c>
      <c r="AO16" s="188">
        <f t="shared" si="32"/>
        <v>1</v>
      </c>
      <c r="AP16" s="154"/>
      <c r="AQ16" s="154"/>
      <c r="AR16" s="154">
        <f t="shared" si="33"/>
        <v>2</v>
      </c>
      <c r="AS16" s="154"/>
      <c r="AT16" s="154"/>
      <c r="AU16" s="154"/>
      <c r="AV16" s="154">
        <f t="shared" si="34"/>
        <v>0</v>
      </c>
      <c r="AW16" s="154">
        <f t="shared" si="35"/>
        <v>8481</v>
      </c>
      <c r="AX16" s="154">
        <f t="shared" si="17"/>
        <v>8507</v>
      </c>
      <c r="AY16" s="4"/>
      <c r="AZ16" s="4"/>
      <c r="BA16" s="4"/>
      <c r="BB16" s="4"/>
      <c r="BC16" s="4"/>
      <c r="BD16" s="4"/>
      <c r="BE16" s="4"/>
      <c r="BF16" s="4"/>
    </row>
    <row r="17" ht="15.75" customHeight="1">
      <c r="A17" s="167" t="s">
        <v>86</v>
      </c>
      <c r="B17" s="188">
        <v>161.0</v>
      </c>
      <c r="C17" s="188">
        <v>647.0</v>
      </c>
      <c r="D17" s="188">
        <v>0.0</v>
      </c>
      <c r="E17" s="188">
        <f t="shared" si="18"/>
        <v>808</v>
      </c>
      <c r="F17" s="188">
        <v>0.0</v>
      </c>
      <c r="G17" s="188">
        <v>0.0</v>
      </c>
      <c r="H17" s="188">
        <v>1.0</v>
      </c>
      <c r="I17" s="188">
        <f t="shared" si="19"/>
        <v>1</v>
      </c>
      <c r="J17" s="188">
        <v>3.0</v>
      </c>
      <c r="K17" s="188">
        <v>6.0</v>
      </c>
      <c r="L17" s="188">
        <v>0.0</v>
      </c>
      <c r="M17" s="188">
        <f t="shared" si="20"/>
        <v>9</v>
      </c>
      <c r="N17" s="188">
        <v>0.0</v>
      </c>
      <c r="O17" s="186"/>
      <c r="P17" s="188">
        <v>0.0</v>
      </c>
      <c r="Q17" s="188">
        <f t="shared" si="21"/>
        <v>0</v>
      </c>
      <c r="R17" s="188">
        <f t="shared" si="22"/>
        <v>818</v>
      </c>
      <c r="S17" s="188">
        <v>0.0</v>
      </c>
      <c r="T17" s="188">
        <v>2.0</v>
      </c>
      <c r="U17" s="154">
        <f t="shared" si="23"/>
        <v>2</v>
      </c>
      <c r="V17" s="188">
        <v>0.0</v>
      </c>
      <c r="W17" s="188"/>
      <c r="X17" s="154">
        <f t="shared" si="24"/>
        <v>0</v>
      </c>
      <c r="Y17" s="188">
        <v>2.0</v>
      </c>
      <c r="Z17" s="188">
        <v>2.0</v>
      </c>
      <c r="AA17" s="154">
        <f t="shared" si="25"/>
        <v>0</v>
      </c>
      <c r="AB17" s="188">
        <f t="shared" si="26"/>
        <v>6</v>
      </c>
      <c r="AC17" s="188">
        <v>840.0</v>
      </c>
      <c r="AD17" s="188">
        <v>840.0</v>
      </c>
      <c r="AE17" s="154">
        <f t="shared" si="27"/>
        <v>0</v>
      </c>
      <c r="AF17" s="188">
        <v>0.0</v>
      </c>
      <c r="AG17" s="188">
        <v>0.0</v>
      </c>
      <c r="AH17" s="154">
        <f t="shared" si="28"/>
        <v>0</v>
      </c>
      <c r="AI17" s="188">
        <v>0.0</v>
      </c>
      <c r="AJ17" s="188">
        <v>0.0</v>
      </c>
      <c r="AK17" s="154">
        <f t="shared" si="29"/>
        <v>0</v>
      </c>
      <c r="AL17" s="154">
        <f t="shared" si="30"/>
        <v>1680</v>
      </c>
      <c r="AM17" s="154">
        <v>4.0</v>
      </c>
      <c r="AN17" s="188">
        <f t="shared" si="31"/>
        <v>2</v>
      </c>
      <c r="AO17" s="188">
        <f t="shared" si="32"/>
        <v>6</v>
      </c>
      <c r="AP17" s="154"/>
      <c r="AQ17" s="154"/>
      <c r="AR17" s="154">
        <f t="shared" si="33"/>
        <v>12</v>
      </c>
      <c r="AS17" s="154"/>
      <c r="AT17" s="154"/>
      <c r="AU17" s="154"/>
      <c r="AV17" s="154">
        <f t="shared" si="34"/>
        <v>0</v>
      </c>
      <c r="AW17" s="154">
        <f t="shared" si="35"/>
        <v>1698</v>
      </c>
      <c r="AX17" s="154">
        <f t="shared" si="17"/>
        <v>2516</v>
      </c>
      <c r="AY17" s="4"/>
      <c r="AZ17" s="4"/>
      <c r="BA17" s="4"/>
      <c r="BB17" s="4"/>
      <c r="BC17" s="4"/>
      <c r="BD17" s="4"/>
      <c r="BE17" s="4"/>
      <c r="BF17" s="4"/>
    </row>
    <row r="18" ht="15.75" customHeight="1">
      <c r="A18" s="137" t="s">
        <v>87</v>
      </c>
      <c r="B18" s="187">
        <f t="shared" ref="B18:AW18" si="36">SUM(B19:B22)</f>
        <v>0</v>
      </c>
      <c r="C18" s="187">
        <f t="shared" si="36"/>
        <v>2</v>
      </c>
      <c r="D18" s="187">
        <f t="shared" si="36"/>
        <v>1</v>
      </c>
      <c r="E18" s="187">
        <f t="shared" si="36"/>
        <v>3</v>
      </c>
      <c r="F18" s="187">
        <f t="shared" si="36"/>
        <v>0</v>
      </c>
      <c r="G18" s="187">
        <f t="shared" si="36"/>
        <v>1</v>
      </c>
      <c r="H18" s="187">
        <f t="shared" si="36"/>
        <v>1</v>
      </c>
      <c r="I18" s="187">
        <f t="shared" si="36"/>
        <v>2</v>
      </c>
      <c r="J18" s="187">
        <f t="shared" si="36"/>
        <v>53</v>
      </c>
      <c r="K18" s="187">
        <f t="shared" si="36"/>
        <v>0</v>
      </c>
      <c r="L18" s="187">
        <f t="shared" si="36"/>
        <v>0</v>
      </c>
      <c r="M18" s="187">
        <f t="shared" si="36"/>
        <v>53</v>
      </c>
      <c r="N18" s="187">
        <f t="shared" si="36"/>
        <v>0</v>
      </c>
      <c r="O18" s="187">
        <f t="shared" si="36"/>
        <v>0</v>
      </c>
      <c r="P18" s="187">
        <f t="shared" si="36"/>
        <v>0</v>
      </c>
      <c r="Q18" s="187">
        <f t="shared" si="36"/>
        <v>0</v>
      </c>
      <c r="R18" s="187">
        <f t="shared" si="36"/>
        <v>58</v>
      </c>
      <c r="S18" s="187">
        <f t="shared" si="36"/>
        <v>0</v>
      </c>
      <c r="T18" s="187">
        <f t="shared" si="36"/>
        <v>0</v>
      </c>
      <c r="U18" s="141">
        <f t="shared" si="36"/>
        <v>0</v>
      </c>
      <c r="V18" s="187">
        <f t="shared" si="36"/>
        <v>0</v>
      </c>
      <c r="W18" s="187">
        <f t="shared" si="36"/>
        <v>0</v>
      </c>
      <c r="X18" s="141">
        <f t="shared" si="36"/>
        <v>0</v>
      </c>
      <c r="Y18" s="187">
        <f t="shared" si="36"/>
        <v>1481</v>
      </c>
      <c r="Z18" s="187">
        <f t="shared" si="36"/>
        <v>1481</v>
      </c>
      <c r="AA18" s="141">
        <f t="shared" si="36"/>
        <v>0</v>
      </c>
      <c r="AB18" s="187">
        <f t="shared" si="36"/>
        <v>1481</v>
      </c>
      <c r="AC18" s="187">
        <f t="shared" si="36"/>
        <v>0</v>
      </c>
      <c r="AD18" s="187">
        <f t="shared" si="36"/>
        <v>0</v>
      </c>
      <c r="AE18" s="141">
        <f t="shared" si="36"/>
        <v>0</v>
      </c>
      <c r="AF18" s="187">
        <f t="shared" si="36"/>
        <v>0</v>
      </c>
      <c r="AG18" s="141">
        <f t="shared" si="36"/>
        <v>0</v>
      </c>
      <c r="AH18" s="141">
        <f t="shared" si="36"/>
        <v>0</v>
      </c>
      <c r="AI18" s="187">
        <f t="shared" si="36"/>
        <v>3</v>
      </c>
      <c r="AJ18" s="187">
        <f t="shared" si="36"/>
        <v>3</v>
      </c>
      <c r="AK18" s="141">
        <f t="shared" si="36"/>
        <v>0</v>
      </c>
      <c r="AL18" s="141">
        <f t="shared" si="36"/>
        <v>3</v>
      </c>
      <c r="AM18" s="141">
        <f t="shared" si="36"/>
        <v>0</v>
      </c>
      <c r="AN18" s="187">
        <f t="shared" si="36"/>
        <v>0</v>
      </c>
      <c r="AO18" s="187">
        <f t="shared" si="36"/>
        <v>0</v>
      </c>
      <c r="AP18" s="141">
        <f t="shared" si="36"/>
        <v>0</v>
      </c>
      <c r="AQ18" s="141">
        <f t="shared" si="36"/>
        <v>0</v>
      </c>
      <c r="AR18" s="141">
        <f t="shared" si="36"/>
        <v>0</v>
      </c>
      <c r="AS18" s="141">
        <f t="shared" si="36"/>
        <v>0</v>
      </c>
      <c r="AT18" s="141">
        <f t="shared" si="36"/>
        <v>0</v>
      </c>
      <c r="AU18" s="141">
        <f t="shared" si="36"/>
        <v>0</v>
      </c>
      <c r="AV18" s="141">
        <f t="shared" si="36"/>
        <v>0</v>
      </c>
      <c r="AW18" s="141">
        <f t="shared" si="36"/>
        <v>1484</v>
      </c>
      <c r="AX18" s="141">
        <f t="shared" si="17"/>
        <v>1542</v>
      </c>
      <c r="AY18" s="4"/>
      <c r="AZ18" s="4"/>
      <c r="BA18" s="4"/>
      <c r="BB18" s="4"/>
      <c r="BC18" s="4"/>
      <c r="BD18" s="4"/>
      <c r="BE18" s="4"/>
      <c r="BF18" s="4"/>
    </row>
    <row r="19" ht="15.75" customHeight="1">
      <c r="A19" s="167" t="s">
        <v>88</v>
      </c>
      <c r="B19" s="188">
        <v>0.0</v>
      </c>
      <c r="C19" s="188">
        <v>0.0</v>
      </c>
      <c r="D19" s="188">
        <v>0.0</v>
      </c>
      <c r="E19" s="188">
        <f t="shared" ref="E19:E22" si="37">SUM(B19:D19)</f>
        <v>0</v>
      </c>
      <c r="F19" s="188">
        <v>0.0</v>
      </c>
      <c r="G19" s="188">
        <v>0.0</v>
      </c>
      <c r="H19" s="188">
        <v>1.0</v>
      </c>
      <c r="I19" s="188">
        <f t="shared" ref="I19:I22" si="38">SUM(F19:H19)</f>
        <v>1</v>
      </c>
      <c r="J19" s="188">
        <v>20.0</v>
      </c>
      <c r="K19" s="188">
        <v>0.0</v>
      </c>
      <c r="L19" s="188">
        <v>0.0</v>
      </c>
      <c r="M19" s="188">
        <f t="shared" ref="M19:M22" si="39">SUM(J19:L19)</f>
        <v>20</v>
      </c>
      <c r="N19" s="188">
        <v>0.0</v>
      </c>
      <c r="O19" s="188">
        <v>0.0</v>
      </c>
      <c r="P19" s="188">
        <v>0.0</v>
      </c>
      <c r="Q19" s="188">
        <f t="shared" ref="Q19:Q22" si="40">SUM(N19:P19)</f>
        <v>0</v>
      </c>
      <c r="R19" s="188">
        <f t="shared" ref="R19:R22" si="41">SUM(E19,I19,M19,Q19)</f>
        <v>21</v>
      </c>
      <c r="S19" s="188">
        <v>0.0</v>
      </c>
      <c r="T19" s="188">
        <v>0.0</v>
      </c>
      <c r="U19" s="154">
        <f t="shared" ref="U19:U22" si="42">T19-S19</f>
        <v>0</v>
      </c>
      <c r="V19" s="188">
        <v>0.0</v>
      </c>
      <c r="W19" s="188"/>
      <c r="X19" s="154">
        <f t="shared" ref="X19:X22" si="43">W19-V19</f>
        <v>0</v>
      </c>
      <c r="Y19" s="188">
        <v>79.0</v>
      </c>
      <c r="Z19" s="188">
        <v>79.0</v>
      </c>
      <c r="AA19" s="154">
        <f t="shared" ref="AA19:AA22" si="44">Z19-Y19</f>
        <v>0</v>
      </c>
      <c r="AB19" s="188">
        <f t="shared" ref="AB19:AB22" si="45">SUM(S19:Y19)</f>
        <v>79</v>
      </c>
      <c r="AC19" s="188">
        <v>0.0</v>
      </c>
      <c r="AD19" s="188">
        <v>0.0</v>
      </c>
      <c r="AE19" s="154">
        <f t="shared" ref="AE19:AE22" si="46">AD19-AC19</f>
        <v>0</v>
      </c>
      <c r="AF19" s="188">
        <v>0.0</v>
      </c>
      <c r="AG19" s="154">
        <v>0.0</v>
      </c>
      <c r="AH19" s="154">
        <f t="shared" ref="AH19:AH22" si="47">AG19-AF19</f>
        <v>0</v>
      </c>
      <c r="AI19" s="188">
        <v>0.0</v>
      </c>
      <c r="AJ19" s="188">
        <v>0.0</v>
      </c>
      <c r="AK19" s="154">
        <f t="shared" ref="AK19:AK22" si="48">AJ19-AI19</f>
        <v>0</v>
      </c>
      <c r="AL19" s="154">
        <f t="shared" ref="AL19:AL22" si="49">SUM(AC19:AI19)</f>
        <v>0</v>
      </c>
      <c r="AM19" s="154">
        <v>0.0</v>
      </c>
      <c r="AN19" s="188">
        <f t="shared" ref="AN19:AN22" si="50">SUM(U19,X19,AA19,AE19,AH19,AK19)</f>
        <v>0</v>
      </c>
      <c r="AO19" s="188">
        <f t="shared" ref="AO19:AO22" si="51">AM19+AN19</f>
        <v>0</v>
      </c>
      <c r="AP19" s="154"/>
      <c r="AQ19" s="154"/>
      <c r="AR19" s="154">
        <f t="shared" ref="AR19:AR22" si="52">SUM(AM19:AQ19)</f>
        <v>0</v>
      </c>
      <c r="AS19" s="154"/>
      <c r="AT19" s="154"/>
      <c r="AU19" s="154"/>
      <c r="AV19" s="154">
        <f t="shared" ref="AV19:AV22" si="53">SUM(AS19:AU19)</f>
        <v>0</v>
      </c>
      <c r="AW19" s="154">
        <f t="shared" ref="AW19:AW22" si="54">SUM(AB19,AL19,AR19,AV19)</f>
        <v>79</v>
      </c>
      <c r="AX19" s="154">
        <f t="shared" si="17"/>
        <v>100</v>
      </c>
      <c r="AY19" s="4"/>
      <c r="AZ19" s="4"/>
      <c r="BA19" s="4"/>
      <c r="BB19" s="4"/>
      <c r="BC19" s="4"/>
      <c r="BD19" s="4"/>
      <c r="BE19" s="4"/>
      <c r="BF19" s="4"/>
    </row>
    <row r="20" ht="15.75" customHeight="1">
      <c r="A20" s="167" t="s">
        <v>89</v>
      </c>
      <c r="B20" s="188">
        <v>0.0</v>
      </c>
      <c r="C20" s="188">
        <v>0.0</v>
      </c>
      <c r="D20" s="188">
        <v>0.0</v>
      </c>
      <c r="E20" s="188">
        <f t="shared" si="37"/>
        <v>0</v>
      </c>
      <c r="F20" s="188">
        <v>0.0</v>
      </c>
      <c r="G20" s="188">
        <v>0.0</v>
      </c>
      <c r="H20" s="188">
        <v>0.0</v>
      </c>
      <c r="I20" s="188">
        <f t="shared" si="38"/>
        <v>0</v>
      </c>
      <c r="J20" s="188">
        <v>6.0</v>
      </c>
      <c r="K20" s="188">
        <v>0.0</v>
      </c>
      <c r="L20" s="188">
        <v>0.0</v>
      </c>
      <c r="M20" s="188">
        <f t="shared" si="39"/>
        <v>6</v>
      </c>
      <c r="N20" s="188">
        <v>0.0</v>
      </c>
      <c r="O20" s="188">
        <v>0.0</v>
      </c>
      <c r="P20" s="188">
        <v>0.0</v>
      </c>
      <c r="Q20" s="188">
        <f t="shared" si="40"/>
        <v>0</v>
      </c>
      <c r="R20" s="188">
        <f t="shared" si="41"/>
        <v>6</v>
      </c>
      <c r="S20" s="188">
        <v>0.0</v>
      </c>
      <c r="T20" s="188">
        <v>0.0</v>
      </c>
      <c r="U20" s="154">
        <f t="shared" si="42"/>
        <v>0</v>
      </c>
      <c r="V20" s="188">
        <v>0.0</v>
      </c>
      <c r="W20" s="188"/>
      <c r="X20" s="154">
        <f t="shared" si="43"/>
        <v>0</v>
      </c>
      <c r="Y20" s="188">
        <v>985.0</v>
      </c>
      <c r="Z20" s="188">
        <v>985.0</v>
      </c>
      <c r="AA20" s="154">
        <f t="shared" si="44"/>
        <v>0</v>
      </c>
      <c r="AB20" s="188">
        <f t="shared" si="45"/>
        <v>985</v>
      </c>
      <c r="AC20" s="188">
        <v>0.0</v>
      </c>
      <c r="AD20" s="188">
        <v>0.0</v>
      </c>
      <c r="AE20" s="154">
        <f t="shared" si="46"/>
        <v>0</v>
      </c>
      <c r="AF20" s="188">
        <v>0.0</v>
      </c>
      <c r="AG20" s="154">
        <v>0.0</v>
      </c>
      <c r="AH20" s="154">
        <f t="shared" si="47"/>
        <v>0</v>
      </c>
      <c r="AI20" s="188">
        <v>0.0</v>
      </c>
      <c r="AJ20" s="188">
        <v>0.0</v>
      </c>
      <c r="AK20" s="154">
        <f t="shared" si="48"/>
        <v>0</v>
      </c>
      <c r="AL20" s="154">
        <f t="shared" si="49"/>
        <v>0</v>
      </c>
      <c r="AM20" s="154">
        <v>0.0</v>
      </c>
      <c r="AN20" s="188">
        <f t="shared" si="50"/>
        <v>0</v>
      </c>
      <c r="AO20" s="188">
        <f t="shared" si="51"/>
        <v>0</v>
      </c>
      <c r="AP20" s="154"/>
      <c r="AQ20" s="154"/>
      <c r="AR20" s="154">
        <f t="shared" si="52"/>
        <v>0</v>
      </c>
      <c r="AS20" s="154"/>
      <c r="AT20" s="154"/>
      <c r="AU20" s="154"/>
      <c r="AV20" s="154">
        <f t="shared" si="53"/>
        <v>0</v>
      </c>
      <c r="AW20" s="154">
        <f t="shared" si="54"/>
        <v>985</v>
      </c>
      <c r="AX20" s="154">
        <f t="shared" si="17"/>
        <v>991</v>
      </c>
      <c r="AY20" s="4"/>
      <c r="AZ20" s="4"/>
      <c r="BA20" s="4"/>
      <c r="BB20" s="4"/>
      <c r="BC20" s="4"/>
      <c r="BD20" s="4"/>
      <c r="BE20" s="4"/>
      <c r="BF20" s="4"/>
    </row>
    <row r="21" ht="15.75" customHeight="1">
      <c r="A21" s="167" t="s">
        <v>90</v>
      </c>
      <c r="B21" s="188">
        <v>0.0</v>
      </c>
      <c r="C21" s="188">
        <v>0.0</v>
      </c>
      <c r="D21" s="188">
        <v>0.0</v>
      </c>
      <c r="E21" s="188">
        <f t="shared" si="37"/>
        <v>0</v>
      </c>
      <c r="F21" s="188">
        <v>0.0</v>
      </c>
      <c r="G21" s="188">
        <v>0.0</v>
      </c>
      <c r="H21" s="188">
        <v>0.0</v>
      </c>
      <c r="I21" s="188">
        <f t="shared" si="38"/>
        <v>0</v>
      </c>
      <c r="J21" s="188">
        <v>14.0</v>
      </c>
      <c r="K21" s="188">
        <v>0.0</v>
      </c>
      <c r="L21" s="188">
        <v>0.0</v>
      </c>
      <c r="M21" s="188">
        <f t="shared" si="39"/>
        <v>14</v>
      </c>
      <c r="N21" s="188">
        <v>0.0</v>
      </c>
      <c r="O21" s="186"/>
      <c r="P21" s="188">
        <v>0.0</v>
      </c>
      <c r="Q21" s="188">
        <f t="shared" si="40"/>
        <v>0</v>
      </c>
      <c r="R21" s="188">
        <f t="shared" si="41"/>
        <v>14</v>
      </c>
      <c r="S21" s="188">
        <v>0.0</v>
      </c>
      <c r="T21" s="188">
        <v>0.0</v>
      </c>
      <c r="U21" s="154">
        <f t="shared" si="42"/>
        <v>0</v>
      </c>
      <c r="V21" s="188">
        <v>0.0</v>
      </c>
      <c r="W21" s="188"/>
      <c r="X21" s="154">
        <f t="shared" si="43"/>
        <v>0</v>
      </c>
      <c r="Y21" s="188">
        <v>319.0</v>
      </c>
      <c r="Z21" s="188">
        <v>319.0</v>
      </c>
      <c r="AA21" s="154">
        <f t="shared" si="44"/>
        <v>0</v>
      </c>
      <c r="AB21" s="188">
        <f t="shared" si="45"/>
        <v>319</v>
      </c>
      <c r="AC21" s="188">
        <v>0.0</v>
      </c>
      <c r="AD21" s="188">
        <v>0.0</v>
      </c>
      <c r="AE21" s="154">
        <f t="shared" si="46"/>
        <v>0</v>
      </c>
      <c r="AF21" s="188">
        <v>0.0</v>
      </c>
      <c r="AG21" s="154">
        <v>0.0</v>
      </c>
      <c r="AH21" s="154">
        <f t="shared" si="47"/>
        <v>0</v>
      </c>
      <c r="AI21" s="188">
        <v>0.0</v>
      </c>
      <c r="AJ21" s="188">
        <v>0.0</v>
      </c>
      <c r="AK21" s="154">
        <f t="shared" si="48"/>
        <v>0</v>
      </c>
      <c r="AL21" s="154">
        <f t="shared" si="49"/>
        <v>0</v>
      </c>
      <c r="AM21" s="154">
        <v>0.0</v>
      </c>
      <c r="AN21" s="188">
        <f t="shared" si="50"/>
        <v>0</v>
      </c>
      <c r="AO21" s="188">
        <f t="shared" si="51"/>
        <v>0</v>
      </c>
      <c r="AP21" s="154"/>
      <c r="AQ21" s="154"/>
      <c r="AR21" s="154">
        <f t="shared" si="52"/>
        <v>0</v>
      </c>
      <c r="AS21" s="154"/>
      <c r="AT21" s="154"/>
      <c r="AU21" s="154"/>
      <c r="AV21" s="154">
        <f t="shared" si="53"/>
        <v>0</v>
      </c>
      <c r="AW21" s="154">
        <f t="shared" si="54"/>
        <v>319</v>
      </c>
      <c r="AX21" s="154">
        <f t="shared" si="17"/>
        <v>333</v>
      </c>
      <c r="AY21" s="4"/>
      <c r="AZ21" s="4"/>
      <c r="BA21" s="4"/>
      <c r="BB21" s="4"/>
      <c r="BC21" s="4"/>
      <c r="BD21" s="4"/>
      <c r="BE21" s="4"/>
      <c r="BF21" s="4"/>
    </row>
    <row r="22" ht="15.75" customHeight="1">
      <c r="A22" s="167" t="s">
        <v>92</v>
      </c>
      <c r="B22" s="188">
        <v>0.0</v>
      </c>
      <c r="C22" s="188">
        <v>2.0</v>
      </c>
      <c r="D22" s="188">
        <v>1.0</v>
      </c>
      <c r="E22" s="188">
        <f t="shared" si="37"/>
        <v>3</v>
      </c>
      <c r="F22" s="188">
        <v>0.0</v>
      </c>
      <c r="G22" s="188">
        <v>1.0</v>
      </c>
      <c r="H22" s="188">
        <v>0.0</v>
      </c>
      <c r="I22" s="188">
        <f t="shared" si="38"/>
        <v>1</v>
      </c>
      <c r="J22" s="188">
        <v>13.0</v>
      </c>
      <c r="K22" s="186"/>
      <c r="L22" s="188">
        <v>0.0</v>
      </c>
      <c r="M22" s="188">
        <f t="shared" si="39"/>
        <v>13</v>
      </c>
      <c r="N22" s="188">
        <v>0.0</v>
      </c>
      <c r="O22" s="186"/>
      <c r="P22" s="188">
        <v>0.0</v>
      </c>
      <c r="Q22" s="188">
        <f t="shared" si="40"/>
        <v>0</v>
      </c>
      <c r="R22" s="188">
        <f t="shared" si="41"/>
        <v>17</v>
      </c>
      <c r="S22" s="188">
        <v>0.0</v>
      </c>
      <c r="T22" s="188">
        <v>0.0</v>
      </c>
      <c r="U22" s="154">
        <f t="shared" si="42"/>
        <v>0</v>
      </c>
      <c r="V22" s="188">
        <v>0.0</v>
      </c>
      <c r="W22" s="188"/>
      <c r="X22" s="154">
        <f t="shared" si="43"/>
        <v>0</v>
      </c>
      <c r="Y22" s="188">
        <v>98.0</v>
      </c>
      <c r="Z22" s="188">
        <v>98.0</v>
      </c>
      <c r="AA22" s="154">
        <f t="shared" si="44"/>
        <v>0</v>
      </c>
      <c r="AB22" s="188">
        <f t="shared" si="45"/>
        <v>98</v>
      </c>
      <c r="AC22" s="188">
        <v>0.0</v>
      </c>
      <c r="AD22" s="188">
        <v>0.0</v>
      </c>
      <c r="AE22" s="154">
        <f t="shared" si="46"/>
        <v>0</v>
      </c>
      <c r="AF22" s="188">
        <v>0.0</v>
      </c>
      <c r="AG22" s="154">
        <v>0.0</v>
      </c>
      <c r="AH22" s="154">
        <f t="shared" si="47"/>
        <v>0</v>
      </c>
      <c r="AI22" s="188">
        <v>3.0</v>
      </c>
      <c r="AJ22" s="188">
        <v>3.0</v>
      </c>
      <c r="AK22" s="154">
        <f t="shared" si="48"/>
        <v>0</v>
      </c>
      <c r="AL22" s="154">
        <f t="shared" si="49"/>
        <v>3</v>
      </c>
      <c r="AM22" s="154">
        <v>0.0</v>
      </c>
      <c r="AN22" s="188">
        <f t="shared" si="50"/>
        <v>0</v>
      </c>
      <c r="AO22" s="188">
        <f t="shared" si="51"/>
        <v>0</v>
      </c>
      <c r="AP22" s="154"/>
      <c r="AQ22" s="154"/>
      <c r="AR22" s="154">
        <f t="shared" si="52"/>
        <v>0</v>
      </c>
      <c r="AS22" s="154"/>
      <c r="AT22" s="154"/>
      <c r="AU22" s="154"/>
      <c r="AV22" s="154">
        <f t="shared" si="53"/>
        <v>0</v>
      </c>
      <c r="AW22" s="154">
        <f t="shared" si="54"/>
        <v>101</v>
      </c>
      <c r="AX22" s="154">
        <f t="shared" si="17"/>
        <v>118</v>
      </c>
      <c r="AY22" s="4"/>
      <c r="AZ22" s="4"/>
      <c r="BA22" s="4"/>
      <c r="BB22" s="4"/>
      <c r="BC22" s="4"/>
      <c r="BD22" s="4"/>
      <c r="BE22" s="4"/>
      <c r="BF22" s="4"/>
    </row>
    <row r="23" ht="15.75" customHeight="1">
      <c r="A23" s="137" t="s">
        <v>93</v>
      </c>
      <c r="B23" s="187">
        <f t="shared" ref="B23:AW23" si="55">SUM(B24:B28)</f>
        <v>0</v>
      </c>
      <c r="C23" s="187">
        <f t="shared" si="55"/>
        <v>0</v>
      </c>
      <c r="D23" s="187">
        <f t="shared" si="55"/>
        <v>0</v>
      </c>
      <c r="E23" s="187">
        <f t="shared" si="55"/>
        <v>0</v>
      </c>
      <c r="F23" s="187">
        <f t="shared" si="55"/>
        <v>0</v>
      </c>
      <c r="G23" s="187">
        <f t="shared" si="55"/>
        <v>0</v>
      </c>
      <c r="H23" s="187">
        <f t="shared" si="55"/>
        <v>49</v>
      </c>
      <c r="I23" s="187">
        <f t="shared" si="55"/>
        <v>49</v>
      </c>
      <c r="J23" s="187">
        <f t="shared" si="55"/>
        <v>6</v>
      </c>
      <c r="K23" s="187">
        <f t="shared" si="55"/>
        <v>631</v>
      </c>
      <c r="L23" s="187">
        <f t="shared" si="55"/>
        <v>0</v>
      </c>
      <c r="M23" s="187">
        <f t="shared" si="55"/>
        <v>637</v>
      </c>
      <c r="N23" s="187">
        <f t="shared" si="55"/>
        <v>0</v>
      </c>
      <c r="O23" s="187">
        <f t="shared" si="55"/>
        <v>0</v>
      </c>
      <c r="P23" s="187">
        <f t="shared" si="55"/>
        <v>61</v>
      </c>
      <c r="Q23" s="187">
        <f t="shared" si="55"/>
        <v>61</v>
      </c>
      <c r="R23" s="187">
        <f t="shared" si="55"/>
        <v>747</v>
      </c>
      <c r="S23" s="187">
        <f t="shared" si="55"/>
        <v>0</v>
      </c>
      <c r="T23" s="187">
        <f t="shared" si="55"/>
        <v>0</v>
      </c>
      <c r="U23" s="141">
        <f t="shared" si="55"/>
        <v>0</v>
      </c>
      <c r="V23" s="187">
        <f t="shared" si="55"/>
        <v>0</v>
      </c>
      <c r="W23" s="187">
        <f t="shared" si="55"/>
        <v>1</v>
      </c>
      <c r="X23" s="141">
        <f t="shared" si="55"/>
        <v>1</v>
      </c>
      <c r="Y23" s="187">
        <f t="shared" si="55"/>
        <v>2790</v>
      </c>
      <c r="Z23" s="187">
        <f t="shared" si="55"/>
        <v>2790</v>
      </c>
      <c r="AA23" s="141">
        <f t="shared" si="55"/>
        <v>0</v>
      </c>
      <c r="AB23" s="187">
        <f t="shared" si="55"/>
        <v>2792</v>
      </c>
      <c r="AC23" s="187">
        <f t="shared" si="55"/>
        <v>2812</v>
      </c>
      <c r="AD23" s="187">
        <f t="shared" si="55"/>
        <v>2812</v>
      </c>
      <c r="AE23" s="141">
        <f t="shared" si="55"/>
        <v>0</v>
      </c>
      <c r="AF23" s="187">
        <f t="shared" si="55"/>
        <v>2714</v>
      </c>
      <c r="AG23" s="187">
        <f t="shared" si="55"/>
        <v>2714</v>
      </c>
      <c r="AH23" s="141">
        <f t="shared" si="55"/>
        <v>0</v>
      </c>
      <c r="AI23" s="187">
        <f t="shared" si="55"/>
        <v>3256</v>
      </c>
      <c r="AJ23" s="187">
        <f t="shared" si="55"/>
        <v>3256</v>
      </c>
      <c r="AK23" s="141">
        <f t="shared" si="55"/>
        <v>0</v>
      </c>
      <c r="AL23" s="141">
        <f t="shared" si="55"/>
        <v>14308</v>
      </c>
      <c r="AM23" s="141">
        <f t="shared" si="55"/>
        <v>0</v>
      </c>
      <c r="AN23" s="187">
        <f t="shared" si="55"/>
        <v>1</v>
      </c>
      <c r="AO23" s="187">
        <f t="shared" si="55"/>
        <v>1</v>
      </c>
      <c r="AP23" s="141">
        <f t="shared" si="55"/>
        <v>0</v>
      </c>
      <c r="AQ23" s="141">
        <f t="shared" si="55"/>
        <v>0</v>
      </c>
      <c r="AR23" s="141">
        <f t="shared" si="55"/>
        <v>2</v>
      </c>
      <c r="AS23" s="141">
        <f t="shared" si="55"/>
        <v>0</v>
      </c>
      <c r="AT23" s="141">
        <f t="shared" si="55"/>
        <v>0</v>
      </c>
      <c r="AU23" s="141">
        <f t="shared" si="55"/>
        <v>0</v>
      </c>
      <c r="AV23" s="141">
        <f t="shared" si="55"/>
        <v>0</v>
      </c>
      <c r="AW23" s="141">
        <f t="shared" si="55"/>
        <v>17102</v>
      </c>
      <c r="AX23" s="141">
        <f t="shared" si="17"/>
        <v>17849</v>
      </c>
      <c r="AY23" s="4"/>
      <c r="AZ23" s="4"/>
      <c r="BA23" s="4"/>
      <c r="BB23" s="4"/>
      <c r="BC23" s="4"/>
      <c r="BD23" s="4"/>
      <c r="BE23" s="4"/>
      <c r="BF23" s="4"/>
    </row>
    <row r="24" ht="15.75" customHeight="1">
      <c r="A24" s="167" t="s">
        <v>94</v>
      </c>
      <c r="B24" s="188">
        <v>0.0</v>
      </c>
      <c r="C24" s="188">
        <v>0.0</v>
      </c>
      <c r="D24" s="188">
        <v>0.0</v>
      </c>
      <c r="E24" s="188">
        <f t="shared" ref="E24:E28" si="56">SUM(B24:D24)</f>
        <v>0</v>
      </c>
      <c r="F24" s="188">
        <v>0.0</v>
      </c>
      <c r="G24" s="188">
        <v>0.0</v>
      </c>
      <c r="H24" s="186"/>
      <c r="I24" s="188">
        <f t="shared" ref="I24:I28" si="57">SUM(F24:H24)</f>
        <v>0</v>
      </c>
      <c r="J24" s="186"/>
      <c r="K24" s="186"/>
      <c r="L24" s="188">
        <v>0.0</v>
      </c>
      <c r="M24" s="188">
        <f t="shared" ref="M24:M28" si="58">SUM(J24:L24)</f>
        <v>0</v>
      </c>
      <c r="N24" s="188">
        <v>0.0</v>
      </c>
      <c r="O24" s="186"/>
      <c r="P24" s="188">
        <v>3.0</v>
      </c>
      <c r="Q24" s="188">
        <f t="shared" ref="Q24:Q28" si="59">SUM(N24:P24)</f>
        <v>3</v>
      </c>
      <c r="R24" s="188">
        <f t="shared" ref="R24:R28" si="60">SUM(E24,I24,M24,Q24)</f>
        <v>3</v>
      </c>
      <c r="S24" s="190"/>
      <c r="T24" s="188">
        <v>0.0</v>
      </c>
      <c r="U24" s="154">
        <f t="shared" ref="U24:U28" si="61">T24-S24</f>
        <v>0</v>
      </c>
      <c r="V24" s="190"/>
      <c r="W24" s="190"/>
      <c r="X24" s="154">
        <f t="shared" ref="X24:X28" si="62">W24-V24</f>
        <v>0</v>
      </c>
      <c r="Y24" s="188">
        <v>0.0</v>
      </c>
      <c r="Z24" s="188">
        <v>0.0</v>
      </c>
      <c r="AA24" s="154">
        <f t="shared" ref="AA24:AA28" si="64">Z24-Y24</f>
        <v>0</v>
      </c>
      <c r="AB24" s="188">
        <f t="shared" ref="AB24:AB28" si="65">SUM(S24:Y24)</f>
        <v>0</v>
      </c>
      <c r="AC24" s="188">
        <v>0.0</v>
      </c>
      <c r="AD24" s="188">
        <v>0.0</v>
      </c>
      <c r="AE24" s="154">
        <f t="shared" ref="AE24:AE28" si="66">AD24-AC24</f>
        <v>0</v>
      </c>
      <c r="AF24" s="188">
        <v>0.0</v>
      </c>
      <c r="AG24" s="188">
        <v>0.0</v>
      </c>
      <c r="AH24" s="154">
        <f t="shared" ref="AH24:AH28" si="67">AG24-AF24</f>
        <v>0</v>
      </c>
      <c r="AI24" s="186">
        <v>0.0</v>
      </c>
      <c r="AJ24" s="186">
        <v>0.0</v>
      </c>
      <c r="AK24" s="154">
        <f t="shared" ref="AK24:AK28" si="68">AJ24-AI24</f>
        <v>0</v>
      </c>
      <c r="AL24" s="154">
        <f t="shared" ref="AL24:AL28" si="69">SUM(AC24:AI24)</f>
        <v>0</v>
      </c>
      <c r="AM24" s="154">
        <v>0.0</v>
      </c>
      <c r="AN24" s="188">
        <f t="shared" ref="AN24:AN28" si="70">SUM(U24,X24,AA24,AE24,AH24,AK24)</f>
        <v>0</v>
      </c>
      <c r="AO24" s="188">
        <f t="shared" ref="AO24:AO28" si="71">AM24+AN24</f>
        <v>0</v>
      </c>
      <c r="AP24" s="154"/>
      <c r="AQ24" s="125"/>
      <c r="AR24" s="154">
        <f t="shared" ref="AR24:AR28" si="72">SUM(AM24:AQ24)</f>
        <v>0</v>
      </c>
      <c r="AS24" s="154"/>
      <c r="AT24" s="154"/>
      <c r="AU24" s="125"/>
      <c r="AV24" s="154">
        <f t="shared" ref="AV24:AV28" si="73">SUM(AS24:AU24)</f>
        <v>0</v>
      </c>
      <c r="AW24" s="154">
        <f t="shared" ref="AW24:AW28" si="74">SUM(AB24,AL24,AR24,AV24)</f>
        <v>0</v>
      </c>
      <c r="AX24" s="154">
        <f t="shared" si="17"/>
        <v>3</v>
      </c>
      <c r="AY24" s="4"/>
      <c r="AZ24" s="4"/>
      <c r="BA24" s="4"/>
      <c r="BB24" s="4"/>
      <c r="BC24" s="4"/>
      <c r="BD24" s="4"/>
      <c r="BE24" s="4"/>
      <c r="BF24" s="4"/>
    </row>
    <row r="25" ht="15.75" customHeight="1">
      <c r="A25" s="167" t="s">
        <v>95</v>
      </c>
      <c r="B25" s="188">
        <v>0.0</v>
      </c>
      <c r="C25" s="188">
        <v>0.0</v>
      </c>
      <c r="D25" s="188">
        <v>0.0</v>
      </c>
      <c r="E25" s="188">
        <f t="shared" si="56"/>
        <v>0</v>
      </c>
      <c r="F25" s="188">
        <v>0.0</v>
      </c>
      <c r="G25" s="188">
        <v>0.0</v>
      </c>
      <c r="H25" s="188">
        <v>28.0</v>
      </c>
      <c r="I25" s="188">
        <f t="shared" si="57"/>
        <v>28</v>
      </c>
      <c r="J25" s="188">
        <v>6.0</v>
      </c>
      <c r="K25" s="188">
        <v>252.0</v>
      </c>
      <c r="L25" s="188">
        <v>0.0</v>
      </c>
      <c r="M25" s="188">
        <f t="shared" si="58"/>
        <v>258</v>
      </c>
      <c r="N25" s="188">
        <v>0.0</v>
      </c>
      <c r="O25" s="186"/>
      <c r="P25" s="188">
        <v>51.0</v>
      </c>
      <c r="Q25" s="188">
        <f t="shared" si="59"/>
        <v>51</v>
      </c>
      <c r="R25" s="188">
        <f t="shared" si="60"/>
        <v>337</v>
      </c>
      <c r="S25" s="190"/>
      <c r="T25" s="188">
        <v>0.0</v>
      </c>
      <c r="U25" s="154">
        <f t="shared" si="61"/>
        <v>0</v>
      </c>
      <c r="V25" s="190"/>
      <c r="W25" s="190"/>
      <c r="X25" s="154">
        <f t="shared" si="62"/>
        <v>0</v>
      </c>
      <c r="Y25" s="188">
        <f t="shared" ref="Y25:Z25" si="63">16+1081</f>
        <v>1097</v>
      </c>
      <c r="Z25" s="188">
        <f t="shared" si="63"/>
        <v>1097</v>
      </c>
      <c r="AA25" s="154">
        <f t="shared" si="64"/>
        <v>0</v>
      </c>
      <c r="AB25" s="188">
        <f t="shared" si="65"/>
        <v>1097</v>
      </c>
      <c r="AC25" s="188">
        <v>1540.0</v>
      </c>
      <c r="AD25" s="188">
        <v>1540.0</v>
      </c>
      <c r="AE25" s="154">
        <f t="shared" si="66"/>
        <v>0</v>
      </c>
      <c r="AF25" s="188">
        <v>1509.0</v>
      </c>
      <c r="AG25" s="188">
        <v>1509.0</v>
      </c>
      <c r="AH25" s="154">
        <f t="shared" si="67"/>
        <v>0</v>
      </c>
      <c r="AI25" s="188">
        <v>1615.0</v>
      </c>
      <c r="AJ25" s="188">
        <v>1615.0</v>
      </c>
      <c r="AK25" s="154">
        <f t="shared" si="68"/>
        <v>0</v>
      </c>
      <c r="AL25" s="154">
        <f t="shared" si="69"/>
        <v>7713</v>
      </c>
      <c r="AM25" s="154">
        <v>0.0</v>
      </c>
      <c r="AN25" s="188">
        <f t="shared" si="70"/>
        <v>0</v>
      </c>
      <c r="AO25" s="188">
        <f t="shared" si="71"/>
        <v>0</v>
      </c>
      <c r="AP25" s="154"/>
      <c r="AQ25" s="154"/>
      <c r="AR25" s="154">
        <f t="shared" si="72"/>
        <v>0</v>
      </c>
      <c r="AS25" s="154"/>
      <c r="AT25" s="154"/>
      <c r="AU25" s="154"/>
      <c r="AV25" s="154">
        <f t="shared" si="73"/>
        <v>0</v>
      </c>
      <c r="AW25" s="154">
        <f t="shared" si="74"/>
        <v>8810</v>
      </c>
      <c r="AX25" s="154">
        <f t="shared" si="17"/>
        <v>9147</v>
      </c>
      <c r="AY25" s="4"/>
      <c r="AZ25" s="1"/>
      <c r="BA25" s="4"/>
      <c r="BB25" s="4"/>
      <c r="BC25" s="4"/>
      <c r="BD25" s="4"/>
      <c r="BE25" s="4"/>
      <c r="BF25" s="4"/>
    </row>
    <row r="26" ht="15.75" customHeight="1">
      <c r="A26" s="167" t="s">
        <v>96</v>
      </c>
      <c r="B26" s="188">
        <v>0.0</v>
      </c>
      <c r="C26" s="188">
        <v>0.0</v>
      </c>
      <c r="D26" s="188">
        <v>0.0</v>
      </c>
      <c r="E26" s="188">
        <f t="shared" si="56"/>
        <v>0</v>
      </c>
      <c r="F26" s="188">
        <v>0.0</v>
      </c>
      <c r="G26" s="188">
        <v>0.0</v>
      </c>
      <c r="H26" s="188">
        <v>2.0</v>
      </c>
      <c r="I26" s="188">
        <f t="shared" si="57"/>
        <v>2</v>
      </c>
      <c r="J26" s="188">
        <v>0.0</v>
      </c>
      <c r="K26" s="188">
        <v>254.0</v>
      </c>
      <c r="L26" s="188">
        <v>0.0</v>
      </c>
      <c r="M26" s="188">
        <f t="shared" si="58"/>
        <v>254</v>
      </c>
      <c r="N26" s="188">
        <v>0.0</v>
      </c>
      <c r="O26" s="186"/>
      <c r="P26" s="188">
        <v>6.0</v>
      </c>
      <c r="Q26" s="188">
        <f t="shared" si="59"/>
        <v>6</v>
      </c>
      <c r="R26" s="188">
        <f t="shared" si="60"/>
        <v>262</v>
      </c>
      <c r="S26" s="190"/>
      <c r="T26" s="188">
        <v>0.0</v>
      </c>
      <c r="U26" s="154">
        <f t="shared" si="61"/>
        <v>0</v>
      </c>
      <c r="V26" s="190"/>
      <c r="W26" s="190">
        <v>1.0</v>
      </c>
      <c r="X26" s="154">
        <f t="shared" si="62"/>
        <v>1</v>
      </c>
      <c r="Y26" s="188">
        <f t="shared" ref="Y26:Z26" si="75">122+1041</f>
        <v>1163</v>
      </c>
      <c r="Z26" s="188">
        <f t="shared" si="75"/>
        <v>1163</v>
      </c>
      <c r="AA26" s="154">
        <f t="shared" si="64"/>
        <v>0</v>
      </c>
      <c r="AB26" s="188">
        <f t="shared" si="65"/>
        <v>1165</v>
      </c>
      <c r="AC26" s="188">
        <f t="shared" ref="AC26:AD26" si="76">2+1058</f>
        <v>1060</v>
      </c>
      <c r="AD26" s="188">
        <f t="shared" si="76"/>
        <v>1060</v>
      </c>
      <c r="AE26" s="154">
        <f t="shared" si="66"/>
        <v>0</v>
      </c>
      <c r="AF26" s="188">
        <v>765.0</v>
      </c>
      <c r="AG26" s="188">
        <v>765.0</v>
      </c>
      <c r="AH26" s="154">
        <f t="shared" si="67"/>
        <v>0</v>
      </c>
      <c r="AI26" s="188">
        <v>1081.0</v>
      </c>
      <c r="AJ26" s="188">
        <v>1081.0</v>
      </c>
      <c r="AK26" s="154">
        <f t="shared" si="68"/>
        <v>0</v>
      </c>
      <c r="AL26" s="154">
        <f t="shared" si="69"/>
        <v>4731</v>
      </c>
      <c r="AM26" s="154">
        <v>0.0</v>
      </c>
      <c r="AN26" s="188">
        <f t="shared" si="70"/>
        <v>1</v>
      </c>
      <c r="AO26" s="188">
        <f t="shared" si="71"/>
        <v>1</v>
      </c>
      <c r="AP26" s="154"/>
      <c r="AQ26" s="154"/>
      <c r="AR26" s="154">
        <f t="shared" si="72"/>
        <v>2</v>
      </c>
      <c r="AS26" s="154"/>
      <c r="AT26" s="154"/>
      <c r="AU26" s="154"/>
      <c r="AV26" s="154">
        <f t="shared" si="73"/>
        <v>0</v>
      </c>
      <c r="AW26" s="154">
        <f t="shared" si="74"/>
        <v>5898</v>
      </c>
      <c r="AX26" s="154">
        <f t="shared" si="17"/>
        <v>6160</v>
      </c>
      <c r="AY26" s="4"/>
      <c r="AZ26" s="164"/>
      <c r="BA26" s="4"/>
      <c r="BB26" s="4"/>
      <c r="BC26" s="4"/>
      <c r="BD26" s="4"/>
      <c r="BE26" s="4"/>
      <c r="BF26" s="4"/>
    </row>
    <row r="27" ht="15.75" customHeight="1">
      <c r="A27" s="167" t="s">
        <v>97</v>
      </c>
      <c r="B27" s="188">
        <v>0.0</v>
      </c>
      <c r="C27" s="188">
        <v>0.0</v>
      </c>
      <c r="D27" s="188">
        <v>0.0</v>
      </c>
      <c r="E27" s="188">
        <f t="shared" si="56"/>
        <v>0</v>
      </c>
      <c r="F27" s="188">
        <v>0.0</v>
      </c>
      <c r="G27" s="188">
        <v>0.0</v>
      </c>
      <c r="H27" s="188">
        <v>9.0</v>
      </c>
      <c r="I27" s="188">
        <f t="shared" si="57"/>
        <v>9</v>
      </c>
      <c r="J27" s="188">
        <v>0.0</v>
      </c>
      <c r="K27" s="188">
        <v>54.0</v>
      </c>
      <c r="L27" s="188">
        <v>0.0</v>
      </c>
      <c r="M27" s="188">
        <f t="shared" si="58"/>
        <v>54</v>
      </c>
      <c r="N27" s="188">
        <v>0.0</v>
      </c>
      <c r="O27" s="186"/>
      <c r="P27" s="188">
        <v>1.0</v>
      </c>
      <c r="Q27" s="188">
        <f t="shared" si="59"/>
        <v>1</v>
      </c>
      <c r="R27" s="188">
        <f t="shared" si="60"/>
        <v>64</v>
      </c>
      <c r="S27" s="190"/>
      <c r="T27" s="188">
        <v>0.0</v>
      </c>
      <c r="U27" s="154">
        <f t="shared" si="61"/>
        <v>0</v>
      </c>
      <c r="V27" s="190"/>
      <c r="W27" s="190"/>
      <c r="X27" s="154">
        <f t="shared" si="62"/>
        <v>0</v>
      </c>
      <c r="Y27" s="188">
        <f t="shared" ref="Y27:Z27" si="77">18+331</f>
        <v>349</v>
      </c>
      <c r="Z27" s="188">
        <f t="shared" si="77"/>
        <v>349</v>
      </c>
      <c r="AA27" s="154">
        <f t="shared" si="64"/>
        <v>0</v>
      </c>
      <c r="AB27" s="188">
        <f t="shared" si="65"/>
        <v>349</v>
      </c>
      <c r="AC27" s="188">
        <v>134.0</v>
      </c>
      <c r="AD27" s="188">
        <v>134.0</v>
      </c>
      <c r="AE27" s="154">
        <f t="shared" si="66"/>
        <v>0</v>
      </c>
      <c r="AF27" s="188">
        <v>343.0</v>
      </c>
      <c r="AG27" s="188">
        <v>343.0</v>
      </c>
      <c r="AH27" s="154">
        <f t="shared" si="67"/>
        <v>0</v>
      </c>
      <c r="AI27" s="188">
        <v>315.0</v>
      </c>
      <c r="AJ27" s="188">
        <v>315.0</v>
      </c>
      <c r="AK27" s="154">
        <f t="shared" si="68"/>
        <v>0</v>
      </c>
      <c r="AL27" s="154">
        <f t="shared" si="69"/>
        <v>1269</v>
      </c>
      <c r="AM27" s="154">
        <v>0.0</v>
      </c>
      <c r="AN27" s="188">
        <f t="shared" si="70"/>
        <v>0</v>
      </c>
      <c r="AO27" s="188">
        <f t="shared" si="71"/>
        <v>0</v>
      </c>
      <c r="AP27" s="154"/>
      <c r="AQ27" s="154"/>
      <c r="AR27" s="154">
        <f t="shared" si="72"/>
        <v>0</v>
      </c>
      <c r="AS27" s="154"/>
      <c r="AT27" s="154"/>
      <c r="AU27" s="154"/>
      <c r="AV27" s="154">
        <f t="shared" si="73"/>
        <v>0</v>
      </c>
      <c r="AW27" s="154">
        <f t="shared" si="74"/>
        <v>1618</v>
      </c>
      <c r="AX27" s="154">
        <f t="shared" si="17"/>
        <v>1682</v>
      </c>
      <c r="AY27" s="4"/>
      <c r="AZ27" s="164"/>
      <c r="BA27" s="4"/>
      <c r="BB27" s="4"/>
      <c r="BC27" s="4"/>
      <c r="BD27" s="4"/>
      <c r="BE27" s="4"/>
      <c r="BF27" s="4"/>
    </row>
    <row r="28" ht="15.75" customHeight="1">
      <c r="A28" s="167" t="s">
        <v>98</v>
      </c>
      <c r="B28" s="188">
        <v>0.0</v>
      </c>
      <c r="C28" s="188">
        <v>0.0</v>
      </c>
      <c r="D28" s="188">
        <v>0.0</v>
      </c>
      <c r="E28" s="188">
        <f t="shared" si="56"/>
        <v>0</v>
      </c>
      <c r="F28" s="188">
        <v>0.0</v>
      </c>
      <c r="G28" s="188">
        <v>0.0</v>
      </c>
      <c r="H28" s="188">
        <v>10.0</v>
      </c>
      <c r="I28" s="188">
        <f t="shared" si="57"/>
        <v>10</v>
      </c>
      <c r="J28" s="188">
        <v>0.0</v>
      </c>
      <c r="K28" s="188">
        <v>71.0</v>
      </c>
      <c r="L28" s="188">
        <v>0.0</v>
      </c>
      <c r="M28" s="188">
        <f t="shared" si="58"/>
        <v>71</v>
      </c>
      <c r="N28" s="188">
        <v>0.0</v>
      </c>
      <c r="O28" s="186"/>
      <c r="P28" s="188">
        <v>0.0</v>
      </c>
      <c r="Q28" s="188">
        <f t="shared" si="59"/>
        <v>0</v>
      </c>
      <c r="R28" s="188">
        <f t="shared" si="60"/>
        <v>81</v>
      </c>
      <c r="S28" s="190"/>
      <c r="T28" s="188">
        <v>0.0</v>
      </c>
      <c r="U28" s="154">
        <f t="shared" si="61"/>
        <v>0</v>
      </c>
      <c r="V28" s="190"/>
      <c r="W28" s="190"/>
      <c r="X28" s="154">
        <f t="shared" si="62"/>
        <v>0</v>
      </c>
      <c r="Y28" s="188">
        <f t="shared" ref="Y28:Z28" si="78">15+166</f>
        <v>181</v>
      </c>
      <c r="Z28" s="188">
        <f t="shared" si="78"/>
        <v>181</v>
      </c>
      <c r="AA28" s="154">
        <f t="shared" si="64"/>
        <v>0</v>
      </c>
      <c r="AB28" s="188">
        <f t="shared" si="65"/>
        <v>181</v>
      </c>
      <c r="AC28" s="188">
        <v>78.0</v>
      </c>
      <c r="AD28" s="188">
        <v>78.0</v>
      </c>
      <c r="AE28" s="154">
        <f t="shared" si="66"/>
        <v>0</v>
      </c>
      <c r="AF28" s="188">
        <v>97.0</v>
      </c>
      <c r="AG28" s="188">
        <v>97.0</v>
      </c>
      <c r="AH28" s="154">
        <f t="shared" si="67"/>
        <v>0</v>
      </c>
      <c r="AI28" s="188">
        <v>245.0</v>
      </c>
      <c r="AJ28" s="188">
        <v>245.0</v>
      </c>
      <c r="AK28" s="154">
        <f t="shared" si="68"/>
        <v>0</v>
      </c>
      <c r="AL28" s="154">
        <f t="shared" si="69"/>
        <v>595</v>
      </c>
      <c r="AM28" s="154">
        <v>0.0</v>
      </c>
      <c r="AN28" s="188">
        <f t="shared" si="70"/>
        <v>0</v>
      </c>
      <c r="AO28" s="188">
        <f t="shared" si="71"/>
        <v>0</v>
      </c>
      <c r="AP28" s="154"/>
      <c r="AQ28" s="154"/>
      <c r="AR28" s="154">
        <f t="shared" si="72"/>
        <v>0</v>
      </c>
      <c r="AS28" s="154"/>
      <c r="AT28" s="154"/>
      <c r="AU28" s="154"/>
      <c r="AV28" s="154">
        <f t="shared" si="73"/>
        <v>0</v>
      </c>
      <c r="AW28" s="154">
        <f t="shared" si="74"/>
        <v>776</v>
      </c>
      <c r="AX28" s="154">
        <f t="shared" si="17"/>
        <v>857</v>
      </c>
      <c r="AY28" s="4"/>
      <c r="AZ28" s="164"/>
      <c r="BA28" s="4"/>
      <c r="BB28" s="4"/>
      <c r="BC28" s="4"/>
      <c r="BD28" s="4"/>
      <c r="BE28" s="4"/>
      <c r="BF28" s="4"/>
    </row>
    <row r="29" ht="15.75" customHeight="1">
      <c r="A29" s="137" t="s">
        <v>99</v>
      </c>
      <c r="B29" s="187">
        <f t="shared" ref="B29:AW29" si="79">SUM(B30:B36)</f>
        <v>2712</v>
      </c>
      <c r="C29" s="187">
        <f t="shared" si="79"/>
        <v>3824</v>
      </c>
      <c r="D29" s="187">
        <f t="shared" si="79"/>
        <v>1356</v>
      </c>
      <c r="E29" s="187">
        <f t="shared" si="79"/>
        <v>7892</v>
      </c>
      <c r="F29" s="187">
        <f t="shared" si="79"/>
        <v>1182</v>
      </c>
      <c r="G29" s="187">
        <f t="shared" si="79"/>
        <v>1356</v>
      </c>
      <c r="H29" s="187">
        <f t="shared" si="79"/>
        <v>455</v>
      </c>
      <c r="I29" s="187">
        <f t="shared" si="79"/>
        <v>2993</v>
      </c>
      <c r="J29" s="187">
        <f t="shared" si="79"/>
        <v>1189</v>
      </c>
      <c r="K29" s="187">
        <f t="shared" si="79"/>
        <v>20</v>
      </c>
      <c r="L29" s="187">
        <f t="shared" si="79"/>
        <v>1167</v>
      </c>
      <c r="M29" s="187">
        <f t="shared" si="79"/>
        <v>2376</v>
      </c>
      <c r="N29" s="187">
        <f t="shared" si="79"/>
        <v>956</v>
      </c>
      <c r="O29" s="187">
        <f t="shared" si="79"/>
        <v>1505</v>
      </c>
      <c r="P29" s="187">
        <f t="shared" si="79"/>
        <v>1189</v>
      </c>
      <c r="Q29" s="187">
        <f t="shared" si="79"/>
        <v>3650</v>
      </c>
      <c r="R29" s="187">
        <f t="shared" si="79"/>
        <v>16911</v>
      </c>
      <c r="S29" s="187">
        <f t="shared" si="79"/>
        <v>839</v>
      </c>
      <c r="T29" s="187">
        <f t="shared" si="79"/>
        <v>839</v>
      </c>
      <c r="U29" s="141">
        <f t="shared" si="79"/>
        <v>0</v>
      </c>
      <c r="V29" s="187">
        <f t="shared" si="79"/>
        <v>1091</v>
      </c>
      <c r="W29" s="187">
        <f t="shared" si="79"/>
        <v>1024</v>
      </c>
      <c r="X29" s="141">
        <f t="shared" si="79"/>
        <v>-67</v>
      </c>
      <c r="Y29" s="187">
        <f t="shared" si="79"/>
        <v>2106</v>
      </c>
      <c r="Z29" s="187">
        <f t="shared" si="79"/>
        <v>2106</v>
      </c>
      <c r="AA29" s="141">
        <f t="shared" si="79"/>
        <v>0</v>
      </c>
      <c r="AB29" s="187">
        <f t="shared" si="79"/>
        <v>5832</v>
      </c>
      <c r="AC29" s="187">
        <f t="shared" si="79"/>
        <v>2295</v>
      </c>
      <c r="AD29" s="187">
        <f t="shared" si="79"/>
        <v>2295</v>
      </c>
      <c r="AE29" s="141">
        <f t="shared" si="79"/>
        <v>0</v>
      </c>
      <c r="AF29" s="187">
        <f t="shared" si="79"/>
        <v>1853</v>
      </c>
      <c r="AG29" s="141">
        <f t="shared" si="79"/>
        <v>1725</v>
      </c>
      <c r="AH29" s="141">
        <f t="shared" si="79"/>
        <v>-128</v>
      </c>
      <c r="AI29" s="187">
        <f t="shared" si="79"/>
        <v>1572</v>
      </c>
      <c r="AJ29" s="141">
        <f t="shared" si="79"/>
        <v>1597</v>
      </c>
      <c r="AK29" s="141">
        <f t="shared" si="79"/>
        <v>25</v>
      </c>
      <c r="AL29" s="141">
        <f t="shared" si="79"/>
        <v>9612</v>
      </c>
      <c r="AM29" s="141">
        <f t="shared" si="79"/>
        <v>283</v>
      </c>
      <c r="AN29" s="187">
        <f t="shared" si="79"/>
        <v>-170</v>
      </c>
      <c r="AO29" s="187">
        <f t="shared" si="79"/>
        <v>113</v>
      </c>
      <c r="AP29" s="141">
        <f t="shared" si="79"/>
        <v>0</v>
      </c>
      <c r="AQ29" s="141">
        <f t="shared" si="79"/>
        <v>0</v>
      </c>
      <c r="AR29" s="141">
        <f t="shared" si="79"/>
        <v>226</v>
      </c>
      <c r="AS29" s="141">
        <f t="shared" si="79"/>
        <v>0</v>
      </c>
      <c r="AT29" s="141">
        <f t="shared" si="79"/>
        <v>0</v>
      </c>
      <c r="AU29" s="141">
        <f t="shared" si="79"/>
        <v>0</v>
      </c>
      <c r="AV29" s="141">
        <f t="shared" si="79"/>
        <v>0</v>
      </c>
      <c r="AW29" s="141">
        <f t="shared" si="79"/>
        <v>15670</v>
      </c>
      <c r="AX29" s="141">
        <f t="shared" si="17"/>
        <v>32581</v>
      </c>
      <c r="AY29" s="4"/>
      <c r="AZ29" s="164"/>
      <c r="BA29" s="4"/>
      <c r="BB29" s="4"/>
      <c r="BC29" s="4"/>
      <c r="BD29" s="4"/>
      <c r="BE29" s="4"/>
      <c r="BF29" s="4"/>
    </row>
    <row r="30" ht="15.75" customHeight="1">
      <c r="A30" s="167" t="s">
        <v>100</v>
      </c>
      <c r="B30" s="188">
        <v>19.0</v>
      </c>
      <c r="C30" s="188">
        <v>61.0</v>
      </c>
      <c r="D30" s="188">
        <v>151.0</v>
      </c>
      <c r="E30" s="188">
        <f t="shared" ref="E30:E36" si="80">SUM(B30:D30)</f>
        <v>231</v>
      </c>
      <c r="F30" s="188">
        <v>112.0</v>
      </c>
      <c r="G30" s="188">
        <v>151.0</v>
      </c>
      <c r="H30" s="188">
        <v>50.0</v>
      </c>
      <c r="I30" s="188">
        <f t="shared" ref="I30:I36" si="81">SUM(F30:H30)</f>
        <v>313</v>
      </c>
      <c r="J30" s="188">
        <v>91.0</v>
      </c>
      <c r="K30" s="186"/>
      <c r="L30" s="188">
        <v>0.0</v>
      </c>
      <c r="M30" s="188">
        <f t="shared" ref="M30:M36" si="82">SUM(J30:L30)</f>
        <v>91</v>
      </c>
      <c r="N30" s="188">
        <v>108.0</v>
      </c>
      <c r="O30" s="188">
        <v>103.0</v>
      </c>
      <c r="P30" s="188">
        <v>13.0</v>
      </c>
      <c r="Q30" s="188">
        <f t="shared" ref="Q30:Q36" si="83">SUM(N30:P30)</f>
        <v>224</v>
      </c>
      <c r="R30" s="188">
        <f t="shared" ref="R30:R36" si="84">SUM(E30,I30,M30,Q30)</f>
        <v>859</v>
      </c>
      <c r="S30" s="188">
        <v>74.0</v>
      </c>
      <c r="T30" s="188">
        <v>74.0</v>
      </c>
      <c r="U30" s="154">
        <f t="shared" ref="U30:U36" si="85">T30-S30</f>
        <v>0</v>
      </c>
      <c r="V30" s="188">
        <v>27.0</v>
      </c>
      <c r="W30" s="188">
        <v>29.0</v>
      </c>
      <c r="X30" s="154">
        <f t="shared" ref="X30:X36" si="86">W30-V30</f>
        <v>2</v>
      </c>
      <c r="Y30" s="188">
        <v>226.0</v>
      </c>
      <c r="Z30" s="188">
        <v>226.0</v>
      </c>
      <c r="AA30" s="154">
        <f t="shared" ref="AA30:AA36" si="87">Z30-Y30</f>
        <v>0</v>
      </c>
      <c r="AB30" s="188">
        <f t="shared" ref="AB30:AB36" si="88">SUM(S30:Y30)</f>
        <v>432</v>
      </c>
      <c r="AC30" s="188">
        <v>47.0</v>
      </c>
      <c r="AD30" s="188">
        <v>47.0</v>
      </c>
      <c r="AE30" s="154">
        <f t="shared" ref="AE30:AE36" si="89">AD30-AC30</f>
        <v>0</v>
      </c>
      <c r="AF30" s="188">
        <v>8.0</v>
      </c>
      <c r="AG30" s="154">
        <v>8.0</v>
      </c>
      <c r="AH30" s="154">
        <f t="shared" ref="AH30:AH36" si="90">AG30-AF30</f>
        <v>0</v>
      </c>
      <c r="AI30" s="189">
        <v>17.0</v>
      </c>
      <c r="AJ30" s="154">
        <v>17.0</v>
      </c>
      <c r="AK30" s="154">
        <f t="shared" ref="AK30:AK36" si="91">AJ30-AI30</f>
        <v>0</v>
      </c>
      <c r="AL30" s="154">
        <f t="shared" ref="AL30:AL36" si="92">SUM(AC30:AI30)</f>
        <v>127</v>
      </c>
      <c r="AM30" s="154">
        <v>2.0</v>
      </c>
      <c r="AN30" s="188">
        <f t="shared" ref="AN30:AN36" si="93">SUM(U30,X30,AA30,AE30,AH30,AK30)</f>
        <v>2</v>
      </c>
      <c r="AO30" s="188">
        <f t="shared" ref="AO30:AO36" si="94">AM30+AN30</f>
        <v>4</v>
      </c>
      <c r="AP30" s="154"/>
      <c r="AQ30" s="155"/>
      <c r="AR30" s="154">
        <f t="shared" ref="AR30:AR36" si="95">SUM(AM30:AQ30)</f>
        <v>8</v>
      </c>
      <c r="AS30" s="154"/>
      <c r="AT30" s="154"/>
      <c r="AU30" s="155"/>
      <c r="AV30" s="154">
        <f t="shared" ref="AV30:AV36" si="96">SUM(AS30:AU30)</f>
        <v>0</v>
      </c>
      <c r="AW30" s="154">
        <f t="shared" ref="AW30:AW36" si="97">SUM(AB30,AL30,AR30,AV30)</f>
        <v>567</v>
      </c>
      <c r="AX30" s="154">
        <f t="shared" si="17"/>
        <v>1426</v>
      </c>
      <c r="AY30" s="4"/>
      <c r="AZ30" s="164"/>
      <c r="BA30" s="4"/>
      <c r="BB30" s="4"/>
      <c r="BC30" s="4"/>
      <c r="BD30" s="4"/>
      <c r="BE30" s="4"/>
      <c r="BF30" s="4"/>
    </row>
    <row r="31" ht="15.75" customHeight="1">
      <c r="A31" s="167" t="s">
        <v>101</v>
      </c>
      <c r="B31" s="188">
        <v>9.0</v>
      </c>
      <c r="C31" s="188">
        <v>78.0</v>
      </c>
      <c r="D31" s="188">
        <v>14.0</v>
      </c>
      <c r="E31" s="188">
        <f t="shared" si="80"/>
        <v>101</v>
      </c>
      <c r="F31" s="188">
        <v>18.0</v>
      </c>
      <c r="G31" s="188">
        <v>14.0</v>
      </c>
      <c r="H31" s="188">
        <v>10.0</v>
      </c>
      <c r="I31" s="188">
        <f t="shared" si="81"/>
        <v>42</v>
      </c>
      <c r="J31" s="188">
        <v>3.0</v>
      </c>
      <c r="K31" s="188">
        <v>20.0</v>
      </c>
      <c r="L31" s="188">
        <v>63.0</v>
      </c>
      <c r="M31" s="188">
        <f t="shared" si="82"/>
        <v>86</v>
      </c>
      <c r="N31" s="188">
        <v>17.0</v>
      </c>
      <c r="O31" s="188">
        <v>15.0</v>
      </c>
      <c r="P31" s="188">
        <v>0.0</v>
      </c>
      <c r="Q31" s="188">
        <f t="shared" si="83"/>
        <v>32</v>
      </c>
      <c r="R31" s="188">
        <f t="shared" si="84"/>
        <v>261</v>
      </c>
      <c r="S31" s="188">
        <v>1.0</v>
      </c>
      <c r="T31" s="188">
        <v>1.0</v>
      </c>
      <c r="U31" s="154">
        <f t="shared" si="85"/>
        <v>0</v>
      </c>
      <c r="V31" s="188">
        <v>3.0</v>
      </c>
      <c r="W31" s="188">
        <v>5.0</v>
      </c>
      <c r="X31" s="154">
        <f t="shared" si="86"/>
        <v>2</v>
      </c>
      <c r="Y31" s="188">
        <v>59.0</v>
      </c>
      <c r="Z31" s="188">
        <v>59.0</v>
      </c>
      <c r="AA31" s="154">
        <f t="shared" si="87"/>
        <v>0</v>
      </c>
      <c r="AB31" s="188">
        <f t="shared" si="88"/>
        <v>71</v>
      </c>
      <c r="AC31" s="188">
        <v>48.0</v>
      </c>
      <c r="AD31" s="188">
        <v>48.0</v>
      </c>
      <c r="AE31" s="154">
        <f t="shared" si="89"/>
        <v>0</v>
      </c>
      <c r="AF31" s="188">
        <v>10.0</v>
      </c>
      <c r="AG31" s="154">
        <v>10.0</v>
      </c>
      <c r="AH31" s="154">
        <f t="shared" si="90"/>
        <v>0</v>
      </c>
      <c r="AI31" s="188">
        <v>1.0</v>
      </c>
      <c r="AJ31" s="154">
        <v>1.0</v>
      </c>
      <c r="AK31" s="154">
        <f t="shared" si="91"/>
        <v>0</v>
      </c>
      <c r="AL31" s="154">
        <f t="shared" si="92"/>
        <v>117</v>
      </c>
      <c r="AM31" s="154">
        <v>2.0</v>
      </c>
      <c r="AN31" s="188">
        <f t="shared" si="93"/>
        <v>2</v>
      </c>
      <c r="AO31" s="188">
        <f t="shared" si="94"/>
        <v>4</v>
      </c>
      <c r="AP31" s="154"/>
      <c r="AQ31" s="154"/>
      <c r="AR31" s="154">
        <f t="shared" si="95"/>
        <v>8</v>
      </c>
      <c r="AS31" s="154"/>
      <c r="AT31" s="154"/>
      <c r="AU31" s="154"/>
      <c r="AV31" s="154">
        <f t="shared" si="96"/>
        <v>0</v>
      </c>
      <c r="AW31" s="154">
        <f t="shared" si="97"/>
        <v>196</v>
      </c>
      <c r="AX31" s="154">
        <f t="shared" si="17"/>
        <v>457</v>
      </c>
      <c r="AY31" s="4"/>
      <c r="AZ31" s="164"/>
      <c r="BA31" s="4"/>
      <c r="BB31" s="4"/>
      <c r="BC31" s="4"/>
      <c r="BD31" s="4"/>
      <c r="BE31" s="4"/>
      <c r="BF31" s="4"/>
    </row>
    <row r="32" ht="15.75" customHeight="1">
      <c r="A32" s="167" t="s">
        <v>102</v>
      </c>
      <c r="B32" s="188">
        <v>61.0</v>
      </c>
      <c r="C32" s="188">
        <v>233.0</v>
      </c>
      <c r="D32" s="188">
        <v>21.0</v>
      </c>
      <c r="E32" s="188">
        <f t="shared" si="80"/>
        <v>315</v>
      </c>
      <c r="F32" s="188">
        <v>56.0</v>
      </c>
      <c r="G32" s="188">
        <v>21.0</v>
      </c>
      <c r="H32" s="188">
        <v>98.0</v>
      </c>
      <c r="I32" s="188">
        <f t="shared" si="81"/>
        <v>175</v>
      </c>
      <c r="J32" s="188">
        <v>55.0</v>
      </c>
      <c r="K32" s="186"/>
      <c r="L32" s="188">
        <v>590.0</v>
      </c>
      <c r="M32" s="188">
        <f t="shared" si="82"/>
        <v>645</v>
      </c>
      <c r="N32" s="188">
        <v>158.0</v>
      </c>
      <c r="O32" s="188">
        <v>141.0</v>
      </c>
      <c r="P32" s="188">
        <v>54.0</v>
      </c>
      <c r="Q32" s="188">
        <f t="shared" si="83"/>
        <v>353</v>
      </c>
      <c r="R32" s="188">
        <f t="shared" si="84"/>
        <v>1488</v>
      </c>
      <c r="S32" s="188">
        <v>30.0</v>
      </c>
      <c r="T32" s="188">
        <v>30.0</v>
      </c>
      <c r="U32" s="154">
        <f t="shared" si="85"/>
        <v>0</v>
      </c>
      <c r="V32" s="188">
        <v>94.0</v>
      </c>
      <c r="W32" s="188">
        <v>95.0</v>
      </c>
      <c r="X32" s="154">
        <f t="shared" si="86"/>
        <v>1</v>
      </c>
      <c r="Y32" s="188">
        <v>224.0</v>
      </c>
      <c r="Z32" s="188">
        <v>224.0</v>
      </c>
      <c r="AA32" s="154">
        <f t="shared" si="87"/>
        <v>0</v>
      </c>
      <c r="AB32" s="188">
        <f t="shared" si="88"/>
        <v>474</v>
      </c>
      <c r="AC32" s="188">
        <v>96.0</v>
      </c>
      <c r="AD32" s="188">
        <v>96.0</v>
      </c>
      <c r="AE32" s="154">
        <f t="shared" si="89"/>
        <v>0</v>
      </c>
      <c r="AF32" s="188">
        <v>13.0</v>
      </c>
      <c r="AG32" s="154">
        <v>13.0</v>
      </c>
      <c r="AH32" s="154">
        <f t="shared" si="90"/>
        <v>0</v>
      </c>
      <c r="AI32" s="188">
        <v>77.0</v>
      </c>
      <c r="AJ32" s="154">
        <v>77.0</v>
      </c>
      <c r="AK32" s="154">
        <f t="shared" si="91"/>
        <v>0</v>
      </c>
      <c r="AL32" s="154">
        <f t="shared" si="92"/>
        <v>295</v>
      </c>
      <c r="AM32" s="154">
        <v>20.0</v>
      </c>
      <c r="AN32" s="188">
        <f t="shared" si="93"/>
        <v>1</v>
      </c>
      <c r="AO32" s="188">
        <f t="shared" si="94"/>
        <v>21</v>
      </c>
      <c r="AP32" s="154"/>
      <c r="AQ32" s="154"/>
      <c r="AR32" s="154">
        <f t="shared" si="95"/>
        <v>42</v>
      </c>
      <c r="AS32" s="154"/>
      <c r="AT32" s="154"/>
      <c r="AU32" s="154"/>
      <c r="AV32" s="154">
        <f t="shared" si="96"/>
        <v>0</v>
      </c>
      <c r="AW32" s="154">
        <f t="shared" si="97"/>
        <v>811</v>
      </c>
      <c r="AX32" s="154">
        <f t="shared" si="17"/>
        <v>2299</v>
      </c>
      <c r="AY32" s="4"/>
      <c r="AZ32" s="164"/>
      <c r="BA32" s="4"/>
      <c r="BB32" s="4"/>
      <c r="BC32" s="4"/>
      <c r="BD32" s="4"/>
      <c r="BE32" s="4"/>
      <c r="BF32" s="4"/>
    </row>
    <row r="33" ht="15.75" customHeight="1">
      <c r="A33" s="167" t="s">
        <v>103</v>
      </c>
      <c r="B33" s="188">
        <v>585.0</v>
      </c>
      <c r="C33" s="188">
        <v>640.0</v>
      </c>
      <c r="D33" s="188">
        <v>344.0</v>
      </c>
      <c r="E33" s="188">
        <f t="shared" si="80"/>
        <v>1569</v>
      </c>
      <c r="F33" s="188">
        <v>11.0</v>
      </c>
      <c r="G33" s="188">
        <v>344.0</v>
      </c>
      <c r="H33" s="188">
        <v>9.0</v>
      </c>
      <c r="I33" s="188">
        <f t="shared" si="81"/>
        <v>364</v>
      </c>
      <c r="J33" s="188">
        <v>356.0</v>
      </c>
      <c r="K33" s="186"/>
      <c r="L33" s="186"/>
      <c r="M33" s="188">
        <f t="shared" si="82"/>
        <v>356</v>
      </c>
      <c r="N33" s="186"/>
      <c r="O33" s="186"/>
      <c r="P33" s="188">
        <v>881.0</v>
      </c>
      <c r="Q33" s="188">
        <f t="shared" si="83"/>
        <v>881</v>
      </c>
      <c r="R33" s="188">
        <f t="shared" si="84"/>
        <v>3170</v>
      </c>
      <c r="S33" s="188">
        <v>459.0</v>
      </c>
      <c r="T33" s="188">
        <v>459.0</v>
      </c>
      <c r="U33" s="154">
        <f t="shared" si="85"/>
        <v>0</v>
      </c>
      <c r="V33" s="188">
        <v>627.0</v>
      </c>
      <c r="W33" s="188">
        <v>502.0</v>
      </c>
      <c r="X33" s="154">
        <f t="shared" si="86"/>
        <v>-125</v>
      </c>
      <c r="Y33" s="188">
        <v>986.0</v>
      </c>
      <c r="Z33" s="188">
        <v>986.0</v>
      </c>
      <c r="AA33" s="154">
        <f t="shared" si="87"/>
        <v>0</v>
      </c>
      <c r="AB33" s="188">
        <f t="shared" si="88"/>
        <v>2908</v>
      </c>
      <c r="AC33" s="188">
        <v>1190.0</v>
      </c>
      <c r="AD33" s="188">
        <v>1190.0</v>
      </c>
      <c r="AE33" s="154">
        <f t="shared" si="89"/>
        <v>0</v>
      </c>
      <c r="AF33" s="188">
        <v>1291.0</v>
      </c>
      <c r="AG33" s="154">
        <v>1197.0</v>
      </c>
      <c r="AH33" s="154">
        <f t="shared" si="90"/>
        <v>-94</v>
      </c>
      <c r="AI33" s="188">
        <v>1323.0</v>
      </c>
      <c r="AJ33" s="154">
        <v>1348.0</v>
      </c>
      <c r="AK33" s="154">
        <f t="shared" si="91"/>
        <v>25</v>
      </c>
      <c r="AL33" s="154">
        <f t="shared" si="92"/>
        <v>6097</v>
      </c>
      <c r="AM33" s="154">
        <v>218.0</v>
      </c>
      <c r="AN33" s="188">
        <f t="shared" si="93"/>
        <v>-194</v>
      </c>
      <c r="AO33" s="188">
        <f t="shared" si="94"/>
        <v>24</v>
      </c>
      <c r="AP33" s="154"/>
      <c r="AQ33" s="154"/>
      <c r="AR33" s="154">
        <f t="shared" si="95"/>
        <v>48</v>
      </c>
      <c r="AS33" s="154"/>
      <c r="AT33" s="154"/>
      <c r="AU33" s="154"/>
      <c r="AV33" s="154">
        <f t="shared" si="96"/>
        <v>0</v>
      </c>
      <c r="AW33" s="154">
        <f t="shared" si="97"/>
        <v>9053</v>
      </c>
      <c r="AX33" s="154">
        <f t="shared" si="17"/>
        <v>12223</v>
      </c>
      <c r="AY33" s="4"/>
      <c r="AZ33" s="164"/>
      <c r="BA33" s="4"/>
      <c r="BB33" s="4"/>
      <c r="BC33" s="4"/>
      <c r="BD33" s="4"/>
      <c r="BE33" s="4"/>
      <c r="BF33" s="4"/>
    </row>
    <row r="34" ht="15.75" customHeight="1">
      <c r="A34" s="169" t="s">
        <v>104</v>
      </c>
      <c r="B34" s="188">
        <v>1573.0</v>
      </c>
      <c r="C34" s="188">
        <v>133.0</v>
      </c>
      <c r="D34" s="188">
        <v>108.0</v>
      </c>
      <c r="E34" s="188">
        <f t="shared" si="80"/>
        <v>1814</v>
      </c>
      <c r="F34" s="188">
        <v>293.0</v>
      </c>
      <c r="G34" s="188">
        <v>108.0</v>
      </c>
      <c r="H34" s="188">
        <v>53.0</v>
      </c>
      <c r="I34" s="188">
        <f t="shared" si="81"/>
        <v>454</v>
      </c>
      <c r="J34" s="188">
        <v>213.0</v>
      </c>
      <c r="K34" s="188">
        <v>0.0</v>
      </c>
      <c r="L34" s="188">
        <v>0.0</v>
      </c>
      <c r="M34" s="188">
        <f t="shared" si="82"/>
        <v>213</v>
      </c>
      <c r="N34" s="188">
        <v>569.0</v>
      </c>
      <c r="O34" s="188">
        <v>796.0</v>
      </c>
      <c r="P34" s="188">
        <v>211.0</v>
      </c>
      <c r="Q34" s="188">
        <f t="shared" si="83"/>
        <v>1576</v>
      </c>
      <c r="R34" s="188">
        <f t="shared" si="84"/>
        <v>4057</v>
      </c>
      <c r="S34" s="188">
        <v>221.0</v>
      </c>
      <c r="T34" s="188">
        <v>221.0</v>
      </c>
      <c r="U34" s="154">
        <f t="shared" si="85"/>
        <v>0</v>
      </c>
      <c r="V34" s="188">
        <v>286.0</v>
      </c>
      <c r="W34" s="188">
        <f>303</f>
        <v>303</v>
      </c>
      <c r="X34" s="154">
        <f t="shared" si="86"/>
        <v>17</v>
      </c>
      <c r="Y34" s="188">
        <v>199.0</v>
      </c>
      <c r="Z34" s="188">
        <v>199.0</v>
      </c>
      <c r="AA34" s="154">
        <f t="shared" si="87"/>
        <v>0</v>
      </c>
      <c r="AB34" s="188">
        <f t="shared" si="88"/>
        <v>1247</v>
      </c>
      <c r="AC34" s="188">
        <v>325.0</v>
      </c>
      <c r="AD34" s="188">
        <v>325.0</v>
      </c>
      <c r="AE34" s="154">
        <f t="shared" si="89"/>
        <v>0</v>
      </c>
      <c r="AF34" s="188">
        <f>40+1</f>
        <v>41</v>
      </c>
      <c r="AG34" s="154">
        <f>39+1</f>
        <v>40</v>
      </c>
      <c r="AH34" s="154">
        <f t="shared" si="90"/>
        <v>-1</v>
      </c>
      <c r="AI34" s="188">
        <f t="shared" ref="AI34:AJ34" si="98">7+1</f>
        <v>8</v>
      </c>
      <c r="AJ34" s="154">
        <f t="shared" si="98"/>
        <v>8</v>
      </c>
      <c r="AK34" s="154">
        <f t="shared" si="91"/>
        <v>0</v>
      </c>
      <c r="AL34" s="154">
        <f t="shared" si="92"/>
        <v>738</v>
      </c>
      <c r="AM34" s="154">
        <v>4.0</v>
      </c>
      <c r="AN34" s="188">
        <f t="shared" si="93"/>
        <v>16</v>
      </c>
      <c r="AO34" s="188">
        <f t="shared" si="94"/>
        <v>20</v>
      </c>
      <c r="AP34" s="154"/>
      <c r="AQ34" s="154"/>
      <c r="AR34" s="154">
        <f t="shared" si="95"/>
        <v>40</v>
      </c>
      <c r="AS34" s="154"/>
      <c r="AT34" s="154"/>
      <c r="AU34" s="154"/>
      <c r="AV34" s="154">
        <f t="shared" si="96"/>
        <v>0</v>
      </c>
      <c r="AW34" s="154">
        <f t="shared" si="97"/>
        <v>2025</v>
      </c>
      <c r="AX34" s="154">
        <f t="shared" si="17"/>
        <v>6082</v>
      </c>
      <c r="AY34" s="4"/>
      <c r="AZ34" s="164"/>
      <c r="BA34" s="4"/>
      <c r="BB34" s="4"/>
      <c r="BC34" s="4"/>
      <c r="BD34" s="4"/>
      <c r="BE34" s="4"/>
      <c r="BF34" s="4"/>
    </row>
    <row r="35" ht="15.75" customHeight="1">
      <c r="A35" s="167" t="s">
        <v>105</v>
      </c>
      <c r="B35" s="188">
        <v>442.0</v>
      </c>
      <c r="C35" s="188">
        <v>640.0</v>
      </c>
      <c r="D35" s="188">
        <v>607.0</v>
      </c>
      <c r="E35" s="188">
        <f t="shared" si="80"/>
        <v>1689</v>
      </c>
      <c r="F35" s="188">
        <v>73.0</v>
      </c>
      <c r="G35" s="188">
        <v>607.0</v>
      </c>
      <c r="H35" s="188">
        <v>137.0</v>
      </c>
      <c r="I35" s="188">
        <f t="shared" si="81"/>
        <v>817</v>
      </c>
      <c r="J35" s="188">
        <v>61.0</v>
      </c>
      <c r="K35" s="186"/>
      <c r="L35" s="188">
        <v>316.0</v>
      </c>
      <c r="M35" s="188">
        <f t="shared" si="82"/>
        <v>377</v>
      </c>
      <c r="N35" s="188">
        <v>12.0</v>
      </c>
      <c r="O35" s="188">
        <v>419.0</v>
      </c>
      <c r="P35" s="188">
        <v>30.0</v>
      </c>
      <c r="Q35" s="188">
        <f t="shared" si="83"/>
        <v>461</v>
      </c>
      <c r="R35" s="188">
        <f t="shared" si="84"/>
        <v>3344</v>
      </c>
      <c r="S35" s="190"/>
      <c r="T35" s="190"/>
      <c r="U35" s="154">
        <f t="shared" si="85"/>
        <v>0</v>
      </c>
      <c r="V35" s="188">
        <v>37.0</v>
      </c>
      <c r="W35" s="188">
        <v>71.0</v>
      </c>
      <c r="X35" s="154">
        <f t="shared" si="86"/>
        <v>34</v>
      </c>
      <c r="Y35" s="188">
        <v>271.0</v>
      </c>
      <c r="Z35" s="188">
        <v>271.0</v>
      </c>
      <c r="AA35" s="154">
        <f t="shared" si="87"/>
        <v>0</v>
      </c>
      <c r="AB35" s="188">
        <f t="shared" si="88"/>
        <v>413</v>
      </c>
      <c r="AC35" s="188">
        <v>201.0</v>
      </c>
      <c r="AD35" s="188">
        <v>201.0</v>
      </c>
      <c r="AE35" s="154">
        <f t="shared" si="89"/>
        <v>0</v>
      </c>
      <c r="AF35" s="188">
        <v>451.0</v>
      </c>
      <c r="AG35" s="154">
        <v>418.0</v>
      </c>
      <c r="AH35" s="154">
        <f t="shared" si="90"/>
        <v>-33</v>
      </c>
      <c r="AI35" s="188">
        <v>139.0</v>
      </c>
      <c r="AJ35" s="154">
        <v>138.0</v>
      </c>
      <c r="AK35" s="154">
        <f t="shared" si="91"/>
        <v>-1</v>
      </c>
      <c r="AL35" s="154">
        <f t="shared" si="92"/>
        <v>1377</v>
      </c>
      <c r="AM35" s="154">
        <v>30.0</v>
      </c>
      <c r="AN35" s="188">
        <f t="shared" si="93"/>
        <v>0</v>
      </c>
      <c r="AO35" s="188">
        <f t="shared" si="94"/>
        <v>30</v>
      </c>
      <c r="AP35" s="154"/>
      <c r="AQ35" s="154"/>
      <c r="AR35" s="154">
        <f t="shared" si="95"/>
        <v>60</v>
      </c>
      <c r="AS35" s="154"/>
      <c r="AT35" s="154"/>
      <c r="AU35" s="154"/>
      <c r="AV35" s="154">
        <f t="shared" si="96"/>
        <v>0</v>
      </c>
      <c r="AW35" s="154">
        <f t="shared" si="97"/>
        <v>1850</v>
      </c>
      <c r="AX35" s="154">
        <f t="shared" si="17"/>
        <v>5194</v>
      </c>
      <c r="AY35" s="4"/>
      <c r="AZ35" s="164"/>
      <c r="BA35" s="4"/>
      <c r="BB35" s="4"/>
      <c r="BC35" s="4"/>
      <c r="BD35" s="4"/>
      <c r="BE35" s="4"/>
      <c r="BF35" s="4"/>
    </row>
    <row r="36" ht="15.75" customHeight="1">
      <c r="A36" s="169" t="s">
        <v>106</v>
      </c>
      <c r="B36" s="188">
        <v>23.0</v>
      </c>
      <c r="C36" s="188">
        <v>2039.0</v>
      </c>
      <c r="D36" s="188">
        <v>111.0</v>
      </c>
      <c r="E36" s="188">
        <f t="shared" si="80"/>
        <v>2173</v>
      </c>
      <c r="F36" s="188">
        <v>619.0</v>
      </c>
      <c r="G36" s="188">
        <v>111.0</v>
      </c>
      <c r="H36" s="188">
        <v>98.0</v>
      </c>
      <c r="I36" s="188">
        <f t="shared" si="81"/>
        <v>828</v>
      </c>
      <c r="J36" s="188">
        <v>410.0</v>
      </c>
      <c r="K36" s="188">
        <v>0.0</v>
      </c>
      <c r="L36" s="188">
        <v>198.0</v>
      </c>
      <c r="M36" s="188">
        <f t="shared" si="82"/>
        <v>608</v>
      </c>
      <c r="N36" s="188">
        <v>92.0</v>
      </c>
      <c r="O36" s="188">
        <v>31.0</v>
      </c>
      <c r="P36" s="188">
        <v>0.0</v>
      </c>
      <c r="Q36" s="188">
        <f t="shared" si="83"/>
        <v>123</v>
      </c>
      <c r="R36" s="188">
        <f t="shared" si="84"/>
        <v>3732</v>
      </c>
      <c r="S36" s="188">
        <v>54.0</v>
      </c>
      <c r="T36" s="188">
        <v>54.0</v>
      </c>
      <c r="U36" s="154">
        <f t="shared" si="85"/>
        <v>0</v>
      </c>
      <c r="V36" s="188">
        <v>17.0</v>
      </c>
      <c r="W36" s="188">
        <v>19.0</v>
      </c>
      <c r="X36" s="154">
        <f t="shared" si="86"/>
        <v>2</v>
      </c>
      <c r="Y36" s="188">
        <v>141.0</v>
      </c>
      <c r="Z36" s="188">
        <v>141.0</v>
      </c>
      <c r="AA36" s="154">
        <f t="shared" si="87"/>
        <v>0</v>
      </c>
      <c r="AB36" s="188">
        <f t="shared" si="88"/>
        <v>287</v>
      </c>
      <c r="AC36" s="188">
        <v>388.0</v>
      </c>
      <c r="AD36" s="188">
        <v>388.0</v>
      </c>
      <c r="AE36" s="154">
        <f t="shared" si="89"/>
        <v>0</v>
      </c>
      <c r="AF36" s="188">
        <v>39.0</v>
      </c>
      <c r="AG36" s="154">
        <v>39.0</v>
      </c>
      <c r="AH36" s="154">
        <f t="shared" si="90"/>
        <v>0</v>
      </c>
      <c r="AI36" s="188">
        <v>7.0</v>
      </c>
      <c r="AJ36" s="154">
        <v>8.0</v>
      </c>
      <c r="AK36" s="154">
        <f t="shared" si="91"/>
        <v>1</v>
      </c>
      <c r="AL36" s="154">
        <f t="shared" si="92"/>
        <v>861</v>
      </c>
      <c r="AM36" s="154">
        <v>7.0</v>
      </c>
      <c r="AN36" s="188">
        <f t="shared" si="93"/>
        <v>3</v>
      </c>
      <c r="AO36" s="188">
        <f t="shared" si="94"/>
        <v>10</v>
      </c>
      <c r="AP36" s="154"/>
      <c r="AQ36" s="154"/>
      <c r="AR36" s="154">
        <f t="shared" si="95"/>
        <v>20</v>
      </c>
      <c r="AS36" s="154"/>
      <c r="AT36" s="154"/>
      <c r="AU36" s="154"/>
      <c r="AV36" s="154">
        <f t="shared" si="96"/>
        <v>0</v>
      </c>
      <c r="AW36" s="154">
        <f t="shared" si="97"/>
        <v>1168</v>
      </c>
      <c r="AX36" s="154">
        <f t="shared" si="17"/>
        <v>4900</v>
      </c>
      <c r="AY36" s="4"/>
      <c r="AZ36" s="164"/>
      <c r="BA36" s="4"/>
      <c r="BB36" s="4"/>
      <c r="BC36" s="4"/>
      <c r="BD36" s="4"/>
      <c r="BE36" s="4"/>
      <c r="BF36" s="4"/>
    </row>
    <row r="37" ht="15.75" customHeight="1">
      <c r="A37" s="137" t="s">
        <v>107</v>
      </c>
      <c r="B37" s="191">
        <f t="shared" ref="B37:AW37" si="99">SUM(B38:B42)</f>
        <v>0</v>
      </c>
      <c r="C37" s="191">
        <f t="shared" si="99"/>
        <v>0</v>
      </c>
      <c r="D37" s="191">
        <f t="shared" si="99"/>
        <v>0</v>
      </c>
      <c r="E37" s="191">
        <f t="shared" si="99"/>
        <v>0</v>
      </c>
      <c r="F37" s="191">
        <f t="shared" si="99"/>
        <v>0</v>
      </c>
      <c r="G37" s="191">
        <f t="shared" si="99"/>
        <v>0</v>
      </c>
      <c r="H37" s="191">
        <f t="shared" si="99"/>
        <v>37</v>
      </c>
      <c r="I37" s="191">
        <f t="shared" si="99"/>
        <v>37</v>
      </c>
      <c r="J37" s="191">
        <f t="shared" si="99"/>
        <v>77</v>
      </c>
      <c r="K37" s="191">
        <f t="shared" si="99"/>
        <v>214</v>
      </c>
      <c r="L37" s="191">
        <f t="shared" si="99"/>
        <v>0</v>
      </c>
      <c r="M37" s="191">
        <f t="shared" si="99"/>
        <v>291</v>
      </c>
      <c r="N37" s="191">
        <f t="shared" si="99"/>
        <v>0</v>
      </c>
      <c r="O37" s="191">
        <f t="shared" si="99"/>
        <v>0</v>
      </c>
      <c r="P37" s="191">
        <f t="shared" si="99"/>
        <v>0</v>
      </c>
      <c r="Q37" s="191">
        <f t="shared" si="99"/>
        <v>0</v>
      </c>
      <c r="R37" s="191">
        <f t="shared" si="99"/>
        <v>328</v>
      </c>
      <c r="S37" s="187">
        <f t="shared" si="99"/>
        <v>0</v>
      </c>
      <c r="T37" s="187">
        <f t="shared" si="99"/>
        <v>1</v>
      </c>
      <c r="U37" s="141">
        <f t="shared" si="99"/>
        <v>1</v>
      </c>
      <c r="V37" s="187">
        <f t="shared" si="99"/>
        <v>0</v>
      </c>
      <c r="W37" s="187">
        <f t="shared" si="99"/>
        <v>2</v>
      </c>
      <c r="X37" s="141">
        <f t="shared" si="99"/>
        <v>2</v>
      </c>
      <c r="Y37" s="187">
        <f t="shared" si="99"/>
        <v>1953</v>
      </c>
      <c r="Z37" s="187">
        <f t="shared" si="99"/>
        <v>1953</v>
      </c>
      <c r="AA37" s="141">
        <f t="shared" si="99"/>
        <v>0</v>
      </c>
      <c r="AB37" s="187">
        <f t="shared" si="99"/>
        <v>1959</v>
      </c>
      <c r="AC37" s="187">
        <f t="shared" si="99"/>
        <v>5</v>
      </c>
      <c r="AD37" s="187">
        <f t="shared" si="99"/>
        <v>5</v>
      </c>
      <c r="AE37" s="141">
        <f t="shared" si="99"/>
        <v>0</v>
      </c>
      <c r="AF37" s="187">
        <f t="shared" si="99"/>
        <v>7</v>
      </c>
      <c r="AG37" s="141">
        <f t="shared" si="99"/>
        <v>7</v>
      </c>
      <c r="AH37" s="141">
        <f t="shared" si="99"/>
        <v>0</v>
      </c>
      <c r="AI37" s="187">
        <f t="shared" si="99"/>
        <v>2</v>
      </c>
      <c r="AJ37" s="141">
        <f t="shared" si="99"/>
        <v>2</v>
      </c>
      <c r="AK37" s="141">
        <f t="shared" si="99"/>
        <v>0</v>
      </c>
      <c r="AL37" s="141">
        <f t="shared" si="99"/>
        <v>26</v>
      </c>
      <c r="AM37" s="141">
        <f t="shared" si="99"/>
        <v>2</v>
      </c>
      <c r="AN37" s="187">
        <f t="shared" si="99"/>
        <v>3</v>
      </c>
      <c r="AO37" s="187">
        <f t="shared" si="99"/>
        <v>5</v>
      </c>
      <c r="AP37" s="141">
        <f t="shared" si="99"/>
        <v>0</v>
      </c>
      <c r="AQ37" s="141">
        <f t="shared" si="99"/>
        <v>0</v>
      </c>
      <c r="AR37" s="141">
        <f t="shared" si="99"/>
        <v>10</v>
      </c>
      <c r="AS37" s="141">
        <f t="shared" si="99"/>
        <v>0</v>
      </c>
      <c r="AT37" s="141">
        <f t="shared" si="99"/>
        <v>0</v>
      </c>
      <c r="AU37" s="141">
        <f t="shared" si="99"/>
        <v>0</v>
      </c>
      <c r="AV37" s="141">
        <f t="shared" si="99"/>
        <v>0</v>
      </c>
      <c r="AW37" s="141">
        <f t="shared" si="99"/>
        <v>1995</v>
      </c>
      <c r="AX37" s="141">
        <f t="shared" si="17"/>
        <v>2323</v>
      </c>
      <c r="AY37" s="4"/>
      <c r="AZ37" s="164"/>
      <c r="BA37" s="4"/>
      <c r="BB37" s="4"/>
      <c r="BC37" s="4"/>
      <c r="BD37" s="4"/>
      <c r="BE37" s="4"/>
      <c r="BF37" s="4"/>
    </row>
    <row r="38" ht="15.75" customHeight="1">
      <c r="A38" s="167" t="s">
        <v>108</v>
      </c>
      <c r="B38" s="188">
        <v>0.0</v>
      </c>
      <c r="C38" s="188">
        <v>0.0</v>
      </c>
      <c r="D38" s="188">
        <v>0.0</v>
      </c>
      <c r="E38" s="188">
        <f t="shared" ref="E38:E42" si="100">SUM(B38:D38)</f>
        <v>0</v>
      </c>
      <c r="F38" s="188">
        <v>0.0</v>
      </c>
      <c r="G38" s="188">
        <v>0.0</v>
      </c>
      <c r="H38" s="188">
        <v>0.0</v>
      </c>
      <c r="I38" s="188">
        <f t="shared" ref="I38:I42" si="101">SUM(F38:H38)</f>
        <v>0</v>
      </c>
      <c r="J38" s="188">
        <v>21.0</v>
      </c>
      <c r="K38" s="186"/>
      <c r="L38" s="186"/>
      <c r="M38" s="188">
        <f t="shared" ref="M38:M42" si="102">SUM(J38:L38)</f>
        <v>21</v>
      </c>
      <c r="N38" s="188">
        <v>0.0</v>
      </c>
      <c r="O38" s="188">
        <v>0.0</v>
      </c>
      <c r="P38" s="188">
        <v>0.0</v>
      </c>
      <c r="Q38" s="188">
        <f t="shared" ref="Q38:Q42" si="103">SUM(N38:P38)</f>
        <v>0</v>
      </c>
      <c r="R38" s="188">
        <f t="shared" ref="R38:R42" si="104">SUM(E38,I38,M38,Q38)</f>
        <v>21</v>
      </c>
      <c r="S38" s="188">
        <v>0.0</v>
      </c>
      <c r="T38" s="188">
        <v>0.0</v>
      </c>
      <c r="U38" s="154">
        <f t="shared" ref="U38:U42" si="105">T38-S38</f>
        <v>0</v>
      </c>
      <c r="V38" s="188">
        <v>0.0</v>
      </c>
      <c r="W38" s="188">
        <v>2.0</v>
      </c>
      <c r="X38" s="154">
        <f t="shared" ref="X38:X42" si="106">W38-V38</f>
        <v>2</v>
      </c>
      <c r="Y38" s="188">
        <v>609.0</v>
      </c>
      <c r="Z38" s="188">
        <v>609.0</v>
      </c>
      <c r="AA38" s="154">
        <f t="shared" ref="AA38:AA42" si="107">Z38-Y38</f>
        <v>0</v>
      </c>
      <c r="AB38" s="188">
        <f t="shared" ref="AB38:AB42" si="108">SUM(S38:Y38)</f>
        <v>613</v>
      </c>
      <c r="AC38" s="188">
        <v>0.0</v>
      </c>
      <c r="AD38" s="188">
        <v>0.0</v>
      </c>
      <c r="AE38" s="154">
        <f t="shared" ref="AE38:AE42" si="109">AD38-AC38</f>
        <v>0</v>
      </c>
      <c r="AF38" s="188">
        <v>3.0</v>
      </c>
      <c r="AG38" s="188">
        <v>3.0</v>
      </c>
      <c r="AH38" s="154">
        <f t="shared" ref="AH38:AH42" si="110">AG38-AF38</f>
        <v>0</v>
      </c>
      <c r="AI38" s="188">
        <v>1.0</v>
      </c>
      <c r="AJ38" s="188">
        <v>1.0</v>
      </c>
      <c r="AK38" s="154">
        <f t="shared" ref="AK38:AK42" si="111">AJ38-AI38</f>
        <v>0</v>
      </c>
      <c r="AL38" s="154">
        <f t="shared" ref="AL38:AL42" si="112">SUM(AC38:AI38)</f>
        <v>7</v>
      </c>
      <c r="AM38" s="154">
        <v>0.0</v>
      </c>
      <c r="AN38" s="188">
        <f t="shared" ref="AN38:AN42" si="113">SUM(U38,X38,AA38,AE38,AH38,AK38)</f>
        <v>2</v>
      </c>
      <c r="AO38" s="188">
        <f t="shared" ref="AO38:AO42" si="114">AM38+AN38</f>
        <v>2</v>
      </c>
      <c r="AP38" s="154"/>
      <c r="AQ38" s="154"/>
      <c r="AR38" s="154">
        <f t="shared" ref="AR38:AR42" si="115">SUM(AM38:AQ38)</f>
        <v>4</v>
      </c>
      <c r="AS38" s="154"/>
      <c r="AT38" s="154"/>
      <c r="AU38" s="154"/>
      <c r="AV38" s="154">
        <f t="shared" ref="AV38:AV42" si="116">SUM(AS38:AU38)</f>
        <v>0</v>
      </c>
      <c r="AW38" s="154">
        <f t="shared" ref="AW38:AW42" si="117">SUM(AB38,AL38,AR38,AV38)</f>
        <v>624</v>
      </c>
      <c r="AX38" s="154">
        <f t="shared" si="17"/>
        <v>645</v>
      </c>
      <c r="AY38" s="4"/>
      <c r="AZ38" s="164"/>
      <c r="BA38" s="4"/>
      <c r="BB38" s="4"/>
      <c r="BC38" s="4"/>
      <c r="BD38" s="4"/>
      <c r="BE38" s="4"/>
      <c r="BF38" s="4"/>
    </row>
    <row r="39" ht="15.75" customHeight="1">
      <c r="A39" s="167" t="s">
        <v>109</v>
      </c>
      <c r="B39" s="188">
        <v>0.0</v>
      </c>
      <c r="C39" s="188">
        <v>0.0</v>
      </c>
      <c r="D39" s="188">
        <v>0.0</v>
      </c>
      <c r="E39" s="188">
        <f t="shared" si="100"/>
        <v>0</v>
      </c>
      <c r="F39" s="188">
        <v>0.0</v>
      </c>
      <c r="G39" s="188">
        <v>0.0</v>
      </c>
      <c r="H39" s="188">
        <v>0.0</v>
      </c>
      <c r="I39" s="188">
        <f t="shared" si="101"/>
        <v>0</v>
      </c>
      <c r="J39" s="188">
        <v>15.0</v>
      </c>
      <c r="K39" s="186"/>
      <c r="L39" s="188">
        <v>0.0</v>
      </c>
      <c r="M39" s="188">
        <f t="shared" si="102"/>
        <v>15</v>
      </c>
      <c r="N39" s="188">
        <v>0.0</v>
      </c>
      <c r="O39" s="188">
        <v>0.0</v>
      </c>
      <c r="P39" s="188">
        <v>0.0</v>
      </c>
      <c r="Q39" s="188">
        <f t="shared" si="103"/>
        <v>0</v>
      </c>
      <c r="R39" s="188">
        <f t="shared" si="104"/>
        <v>15</v>
      </c>
      <c r="S39" s="188">
        <v>0.0</v>
      </c>
      <c r="T39" s="188">
        <v>0.0</v>
      </c>
      <c r="U39" s="154">
        <f t="shared" si="105"/>
        <v>0</v>
      </c>
      <c r="V39" s="188">
        <v>0.0</v>
      </c>
      <c r="W39" s="188"/>
      <c r="X39" s="154">
        <f t="shared" si="106"/>
        <v>0</v>
      </c>
      <c r="Y39" s="188">
        <v>10.0</v>
      </c>
      <c r="Z39" s="188">
        <v>10.0</v>
      </c>
      <c r="AA39" s="154">
        <f t="shared" si="107"/>
        <v>0</v>
      </c>
      <c r="AB39" s="188">
        <f t="shared" si="108"/>
        <v>10</v>
      </c>
      <c r="AC39" s="188">
        <v>1.0</v>
      </c>
      <c r="AD39" s="188">
        <v>1.0</v>
      </c>
      <c r="AE39" s="154">
        <f t="shared" si="109"/>
        <v>0</v>
      </c>
      <c r="AF39" s="188">
        <v>3.0</v>
      </c>
      <c r="AG39" s="188">
        <v>3.0</v>
      </c>
      <c r="AH39" s="154">
        <f t="shared" si="110"/>
        <v>0</v>
      </c>
      <c r="AI39" s="188">
        <v>0.0</v>
      </c>
      <c r="AJ39" s="188">
        <v>0.0</v>
      </c>
      <c r="AK39" s="154">
        <f t="shared" si="111"/>
        <v>0</v>
      </c>
      <c r="AL39" s="154">
        <f t="shared" si="112"/>
        <v>8</v>
      </c>
      <c r="AM39" s="154">
        <v>0.0</v>
      </c>
      <c r="AN39" s="188">
        <f t="shared" si="113"/>
        <v>0</v>
      </c>
      <c r="AO39" s="188">
        <f t="shared" si="114"/>
        <v>0</v>
      </c>
      <c r="AP39" s="154"/>
      <c r="AQ39" s="154"/>
      <c r="AR39" s="154">
        <f t="shared" si="115"/>
        <v>0</v>
      </c>
      <c r="AS39" s="154"/>
      <c r="AT39" s="154"/>
      <c r="AU39" s="154"/>
      <c r="AV39" s="154">
        <f t="shared" si="116"/>
        <v>0</v>
      </c>
      <c r="AW39" s="154">
        <f t="shared" si="117"/>
        <v>18</v>
      </c>
      <c r="AX39" s="154">
        <f t="shared" si="17"/>
        <v>33</v>
      </c>
      <c r="AY39" s="4"/>
      <c r="AZ39" s="164"/>
      <c r="BA39" s="4"/>
      <c r="BB39" s="4"/>
      <c r="BC39" s="4"/>
      <c r="BD39" s="4"/>
      <c r="BE39" s="4"/>
      <c r="BF39" s="4"/>
    </row>
    <row r="40" ht="15.75" customHeight="1">
      <c r="A40" s="167" t="s">
        <v>110</v>
      </c>
      <c r="B40" s="188">
        <v>0.0</v>
      </c>
      <c r="C40" s="188">
        <v>0.0</v>
      </c>
      <c r="D40" s="188">
        <v>0.0</v>
      </c>
      <c r="E40" s="188">
        <f t="shared" si="100"/>
        <v>0</v>
      </c>
      <c r="F40" s="188">
        <v>0.0</v>
      </c>
      <c r="G40" s="188">
        <v>0.0</v>
      </c>
      <c r="H40" s="188">
        <v>37.0</v>
      </c>
      <c r="I40" s="188">
        <f t="shared" si="101"/>
        <v>37</v>
      </c>
      <c r="J40" s="188">
        <v>15.0</v>
      </c>
      <c r="K40" s="186"/>
      <c r="L40" s="188">
        <v>0.0</v>
      </c>
      <c r="M40" s="188">
        <f t="shared" si="102"/>
        <v>15</v>
      </c>
      <c r="N40" s="188">
        <v>0.0</v>
      </c>
      <c r="O40" s="188">
        <v>0.0</v>
      </c>
      <c r="P40" s="188">
        <v>0.0</v>
      </c>
      <c r="Q40" s="188">
        <f t="shared" si="103"/>
        <v>0</v>
      </c>
      <c r="R40" s="188">
        <f t="shared" si="104"/>
        <v>52</v>
      </c>
      <c r="S40" s="188">
        <v>0.0</v>
      </c>
      <c r="T40" s="188">
        <v>0.0</v>
      </c>
      <c r="U40" s="154">
        <f t="shared" si="105"/>
        <v>0</v>
      </c>
      <c r="V40" s="188">
        <v>0.0</v>
      </c>
      <c r="W40" s="188"/>
      <c r="X40" s="154">
        <f t="shared" si="106"/>
        <v>0</v>
      </c>
      <c r="Y40" s="188">
        <v>620.0</v>
      </c>
      <c r="Z40" s="188">
        <v>620.0</v>
      </c>
      <c r="AA40" s="154">
        <f t="shared" si="107"/>
        <v>0</v>
      </c>
      <c r="AB40" s="188">
        <f t="shared" si="108"/>
        <v>620</v>
      </c>
      <c r="AC40" s="188">
        <v>1.0</v>
      </c>
      <c r="AD40" s="188">
        <v>1.0</v>
      </c>
      <c r="AE40" s="154">
        <f t="shared" si="109"/>
        <v>0</v>
      </c>
      <c r="AF40" s="188">
        <v>0.0</v>
      </c>
      <c r="AG40" s="188">
        <v>0.0</v>
      </c>
      <c r="AH40" s="154">
        <f t="shared" si="110"/>
        <v>0</v>
      </c>
      <c r="AI40" s="188">
        <v>0.0</v>
      </c>
      <c r="AJ40" s="188">
        <v>0.0</v>
      </c>
      <c r="AK40" s="154">
        <f t="shared" si="111"/>
        <v>0</v>
      </c>
      <c r="AL40" s="154">
        <f t="shared" si="112"/>
        <v>2</v>
      </c>
      <c r="AM40" s="154">
        <v>0.0</v>
      </c>
      <c r="AN40" s="188">
        <f t="shared" si="113"/>
        <v>0</v>
      </c>
      <c r="AO40" s="188">
        <f t="shared" si="114"/>
        <v>0</v>
      </c>
      <c r="AP40" s="154"/>
      <c r="AQ40" s="154"/>
      <c r="AR40" s="154">
        <f t="shared" si="115"/>
        <v>0</v>
      </c>
      <c r="AS40" s="154"/>
      <c r="AT40" s="154"/>
      <c r="AU40" s="154"/>
      <c r="AV40" s="154">
        <f t="shared" si="116"/>
        <v>0</v>
      </c>
      <c r="AW40" s="154">
        <f t="shared" si="117"/>
        <v>622</v>
      </c>
      <c r="AX40" s="154">
        <f t="shared" si="17"/>
        <v>674</v>
      </c>
      <c r="AY40" s="4"/>
      <c r="AZ40" s="164"/>
      <c r="BA40" s="4"/>
      <c r="BB40" s="4"/>
      <c r="BC40" s="4"/>
      <c r="BD40" s="4"/>
      <c r="BE40" s="4"/>
      <c r="BF40" s="4"/>
    </row>
    <row r="41" ht="15.75" customHeight="1">
      <c r="A41" s="169" t="s">
        <v>111</v>
      </c>
      <c r="B41" s="188">
        <v>0.0</v>
      </c>
      <c r="C41" s="188">
        <v>0.0</v>
      </c>
      <c r="D41" s="188">
        <v>0.0</v>
      </c>
      <c r="E41" s="188">
        <f t="shared" si="100"/>
        <v>0</v>
      </c>
      <c r="F41" s="188">
        <v>0.0</v>
      </c>
      <c r="G41" s="188">
        <v>0.0</v>
      </c>
      <c r="H41" s="188">
        <v>0.0</v>
      </c>
      <c r="I41" s="188">
        <f t="shared" si="101"/>
        <v>0</v>
      </c>
      <c r="J41" s="188">
        <v>12.0</v>
      </c>
      <c r="K41" s="188">
        <v>214.0</v>
      </c>
      <c r="L41" s="188">
        <v>0.0</v>
      </c>
      <c r="M41" s="188">
        <f t="shared" si="102"/>
        <v>226</v>
      </c>
      <c r="N41" s="188">
        <v>0.0</v>
      </c>
      <c r="O41" s="188">
        <v>0.0</v>
      </c>
      <c r="P41" s="188">
        <v>0.0</v>
      </c>
      <c r="Q41" s="188">
        <f t="shared" si="103"/>
        <v>0</v>
      </c>
      <c r="R41" s="188">
        <f t="shared" si="104"/>
        <v>226</v>
      </c>
      <c r="S41" s="188">
        <v>0.0</v>
      </c>
      <c r="T41" s="188">
        <v>1.0</v>
      </c>
      <c r="U41" s="154">
        <f t="shared" si="105"/>
        <v>1</v>
      </c>
      <c r="V41" s="188">
        <v>0.0</v>
      </c>
      <c r="W41" s="188"/>
      <c r="X41" s="154">
        <f t="shared" si="106"/>
        <v>0</v>
      </c>
      <c r="Y41" s="188">
        <v>665.0</v>
      </c>
      <c r="Z41" s="188">
        <v>665.0</v>
      </c>
      <c r="AA41" s="154">
        <f t="shared" si="107"/>
        <v>0</v>
      </c>
      <c r="AB41" s="188">
        <f t="shared" si="108"/>
        <v>667</v>
      </c>
      <c r="AC41" s="188">
        <v>3.0</v>
      </c>
      <c r="AD41" s="188">
        <v>3.0</v>
      </c>
      <c r="AE41" s="154">
        <f t="shared" si="109"/>
        <v>0</v>
      </c>
      <c r="AF41" s="188">
        <v>1.0</v>
      </c>
      <c r="AG41" s="188">
        <v>1.0</v>
      </c>
      <c r="AH41" s="154">
        <f t="shared" si="110"/>
        <v>0</v>
      </c>
      <c r="AI41" s="188">
        <v>1.0</v>
      </c>
      <c r="AJ41" s="188">
        <v>1.0</v>
      </c>
      <c r="AK41" s="154">
        <f t="shared" si="111"/>
        <v>0</v>
      </c>
      <c r="AL41" s="154">
        <f t="shared" si="112"/>
        <v>9</v>
      </c>
      <c r="AM41" s="154">
        <v>2.0</v>
      </c>
      <c r="AN41" s="188">
        <f t="shared" si="113"/>
        <v>1</v>
      </c>
      <c r="AO41" s="188">
        <f t="shared" si="114"/>
        <v>3</v>
      </c>
      <c r="AP41" s="154"/>
      <c r="AQ41" s="154"/>
      <c r="AR41" s="154">
        <f t="shared" si="115"/>
        <v>6</v>
      </c>
      <c r="AS41" s="154"/>
      <c r="AT41" s="154"/>
      <c r="AU41" s="154"/>
      <c r="AV41" s="154">
        <f t="shared" si="116"/>
        <v>0</v>
      </c>
      <c r="AW41" s="154">
        <f t="shared" si="117"/>
        <v>682</v>
      </c>
      <c r="AX41" s="154">
        <f t="shared" si="17"/>
        <v>908</v>
      </c>
      <c r="AY41" s="4"/>
      <c r="AZ41" s="164"/>
      <c r="BA41" s="4"/>
      <c r="BB41" s="4"/>
      <c r="BC41" s="4"/>
      <c r="BD41" s="4"/>
      <c r="BE41" s="4"/>
      <c r="BF41" s="4"/>
    </row>
    <row r="42" ht="15.75" customHeight="1">
      <c r="A42" s="167" t="s">
        <v>112</v>
      </c>
      <c r="B42" s="188">
        <v>0.0</v>
      </c>
      <c r="C42" s="188">
        <v>0.0</v>
      </c>
      <c r="D42" s="188">
        <v>0.0</v>
      </c>
      <c r="E42" s="188">
        <f t="shared" si="100"/>
        <v>0</v>
      </c>
      <c r="F42" s="188">
        <v>0.0</v>
      </c>
      <c r="G42" s="188">
        <v>0.0</v>
      </c>
      <c r="H42" s="188">
        <v>0.0</v>
      </c>
      <c r="I42" s="188">
        <f t="shared" si="101"/>
        <v>0</v>
      </c>
      <c r="J42" s="188">
        <v>14.0</v>
      </c>
      <c r="K42" s="186"/>
      <c r="L42" s="188">
        <v>0.0</v>
      </c>
      <c r="M42" s="188">
        <f t="shared" si="102"/>
        <v>14</v>
      </c>
      <c r="N42" s="188">
        <v>0.0</v>
      </c>
      <c r="O42" s="188">
        <v>0.0</v>
      </c>
      <c r="P42" s="188">
        <v>0.0</v>
      </c>
      <c r="Q42" s="188">
        <f t="shared" si="103"/>
        <v>0</v>
      </c>
      <c r="R42" s="188">
        <f t="shared" si="104"/>
        <v>14</v>
      </c>
      <c r="S42" s="188">
        <v>0.0</v>
      </c>
      <c r="T42" s="188">
        <v>0.0</v>
      </c>
      <c r="U42" s="154">
        <f t="shared" si="105"/>
        <v>0</v>
      </c>
      <c r="V42" s="188">
        <v>0.0</v>
      </c>
      <c r="W42" s="188"/>
      <c r="X42" s="154">
        <f t="shared" si="106"/>
        <v>0</v>
      </c>
      <c r="Y42" s="188">
        <v>49.0</v>
      </c>
      <c r="Z42" s="188">
        <v>49.0</v>
      </c>
      <c r="AA42" s="154">
        <f t="shared" si="107"/>
        <v>0</v>
      </c>
      <c r="AB42" s="188">
        <f t="shared" si="108"/>
        <v>49</v>
      </c>
      <c r="AC42" s="188">
        <v>0.0</v>
      </c>
      <c r="AD42" s="188">
        <v>0.0</v>
      </c>
      <c r="AE42" s="154">
        <f t="shared" si="109"/>
        <v>0</v>
      </c>
      <c r="AF42" s="188">
        <v>0.0</v>
      </c>
      <c r="AG42" s="188">
        <v>0.0</v>
      </c>
      <c r="AH42" s="154">
        <f t="shared" si="110"/>
        <v>0</v>
      </c>
      <c r="AI42" s="188">
        <v>0.0</v>
      </c>
      <c r="AJ42" s="188">
        <v>0.0</v>
      </c>
      <c r="AK42" s="154">
        <f t="shared" si="111"/>
        <v>0</v>
      </c>
      <c r="AL42" s="154">
        <f t="shared" si="112"/>
        <v>0</v>
      </c>
      <c r="AM42" s="154">
        <v>0.0</v>
      </c>
      <c r="AN42" s="188">
        <f t="shared" si="113"/>
        <v>0</v>
      </c>
      <c r="AO42" s="188">
        <f t="shared" si="114"/>
        <v>0</v>
      </c>
      <c r="AP42" s="154"/>
      <c r="AQ42" s="154"/>
      <c r="AR42" s="154">
        <f t="shared" si="115"/>
        <v>0</v>
      </c>
      <c r="AS42" s="154"/>
      <c r="AT42" s="154"/>
      <c r="AU42" s="154"/>
      <c r="AV42" s="154">
        <f t="shared" si="116"/>
        <v>0</v>
      </c>
      <c r="AW42" s="154">
        <f t="shared" si="117"/>
        <v>49</v>
      </c>
      <c r="AX42" s="154">
        <f t="shared" si="17"/>
        <v>63</v>
      </c>
      <c r="AY42" s="4"/>
      <c r="AZ42" s="1"/>
      <c r="BA42" s="1"/>
      <c r="BB42" s="4"/>
      <c r="BC42" s="4"/>
      <c r="BD42" s="4"/>
      <c r="BE42" s="4"/>
      <c r="BF42" s="4"/>
    </row>
    <row r="43" ht="15.75" customHeight="1">
      <c r="A43" s="137" t="s">
        <v>113</v>
      </c>
      <c r="B43" s="191">
        <f t="shared" ref="B43:AW43" si="118">SUM(B44:B48)</f>
        <v>0</v>
      </c>
      <c r="C43" s="191">
        <f t="shared" si="118"/>
        <v>36</v>
      </c>
      <c r="D43" s="191">
        <f t="shared" si="118"/>
        <v>0</v>
      </c>
      <c r="E43" s="191">
        <f t="shared" si="118"/>
        <v>36</v>
      </c>
      <c r="F43" s="191">
        <f t="shared" si="118"/>
        <v>0</v>
      </c>
      <c r="G43" s="191">
        <f t="shared" si="118"/>
        <v>0</v>
      </c>
      <c r="H43" s="191">
        <f t="shared" si="118"/>
        <v>0</v>
      </c>
      <c r="I43" s="191">
        <f t="shared" si="118"/>
        <v>0</v>
      </c>
      <c r="J43" s="191">
        <f t="shared" si="118"/>
        <v>36</v>
      </c>
      <c r="K43" s="191">
        <f t="shared" si="118"/>
        <v>29</v>
      </c>
      <c r="L43" s="191">
        <f t="shared" si="118"/>
        <v>0</v>
      </c>
      <c r="M43" s="191">
        <f t="shared" si="118"/>
        <v>65</v>
      </c>
      <c r="N43" s="191">
        <f t="shared" si="118"/>
        <v>224</v>
      </c>
      <c r="O43" s="191">
        <f t="shared" si="118"/>
        <v>0</v>
      </c>
      <c r="P43" s="191">
        <f t="shared" si="118"/>
        <v>0</v>
      </c>
      <c r="Q43" s="191">
        <f t="shared" si="118"/>
        <v>224</v>
      </c>
      <c r="R43" s="191">
        <f t="shared" si="118"/>
        <v>325</v>
      </c>
      <c r="S43" s="187">
        <f t="shared" si="118"/>
        <v>0</v>
      </c>
      <c r="T43" s="187">
        <f t="shared" si="118"/>
        <v>2</v>
      </c>
      <c r="U43" s="141">
        <f t="shared" si="118"/>
        <v>2</v>
      </c>
      <c r="V43" s="187">
        <f t="shared" si="118"/>
        <v>0</v>
      </c>
      <c r="W43" s="187">
        <f t="shared" si="118"/>
        <v>2</v>
      </c>
      <c r="X43" s="141">
        <f t="shared" si="118"/>
        <v>2</v>
      </c>
      <c r="Y43" s="187">
        <f t="shared" si="118"/>
        <v>291</v>
      </c>
      <c r="Z43" s="187">
        <f t="shared" si="118"/>
        <v>291</v>
      </c>
      <c r="AA43" s="141">
        <f t="shared" si="118"/>
        <v>0</v>
      </c>
      <c r="AB43" s="187">
        <f t="shared" si="118"/>
        <v>299</v>
      </c>
      <c r="AC43" s="187">
        <f t="shared" si="118"/>
        <v>2</v>
      </c>
      <c r="AD43" s="187">
        <f t="shared" si="118"/>
        <v>2</v>
      </c>
      <c r="AE43" s="141">
        <f t="shared" si="118"/>
        <v>0</v>
      </c>
      <c r="AF43" s="187">
        <f t="shared" si="118"/>
        <v>83</v>
      </c>
      <c r="AG43" s="141">
        <f t="shared" si="118"/>
        <v>83</v>
      </c>
      <c r="AH43" s="141">
        <f t="shared" si="118"/>
        <v>0</v>
      </c>
      <c r="AI43" s="187">
        <f t="shared" si="118"/>
        <v>1047</v>
      </c>
      <c r="AJ43" s="141">
        <f t="shared" si="118"/>
        <v>1078</v>
      </c>
      <c r="AK43" s="141">
        <f t="shared" si="118"/>
        <v>31</v>
      </c>
      <c r="AL43" s="141">
        <f t="shared" si="118"/>
        <v>1217</v>
      </c>
      <c r="AM43" s="141">
        <f t="shared" si="118"/>
        <v>856</v>
      </c>
      <c r="AN43" s="187">
        <f t="shared" si="118"/>
        <v>35</v>
      </c>
      <c r="AO43" s="187">
        <f t="shared" si="118"/>
        <v>891</v>
      </c>
      <c r="AP43" s="141">
        <f t="shared" si="118"/>
        <v>0</v>
      </c>
      <c r="AQ43" s="141">
        <f t="shared" si="118"/>
        <v>0</v>
      </c>
      <c r="AR43" s="141">
        <f t="shared" si="118"/>
        <v>1782</v>
      </c>
      <c r="AS43" s="141">
        <f t="shared" si="118"/>
        <v>0</v>
      </c>
      <c r="AT43" s="141">
        <f t="shared" si="118"/>
        <v>0</v>
      </c>
      <c r="AU43" s="141">
        <f t="shared" si="118"/>
        <v>0</v>
      </c>
      <c r="AV43" s="141">
        <f t="shared" si="118"/>
        <v>0</v>
      </c>
      <c r="AW43" s="141">
        <f t="shared" si="118"/>
        <v>3298</v>
      </c>
      <c r="AX43" s="141">
        <f t="shared" si="17"/>
        <v>3623</v>
      </c>
      <c r="AY43" s="4"/>
      <c r="AZ43" s="4"/>
      <c r="BA43" s="4"/>
      <c r="BB43" s="4"/>
      <c r="BC43" s="4"/>
      <c r="BD43" s="4"/>
      <c r="BE43" s="4"/>
      <c r="BF43" s="4"/>
    </row>
    <row r="44" ht="15.75" customHeight="1">
      <c r="A44" s="167" t="s">
        <v>114</v>
      </c>
      <c r="B44" s="188">
        <v>0.0</v>
      </c>
      <c r="C44" s="188">
        <v>0.0</v>
      </c>
      <c r="D44" s="188">
        <v>0.0</v>
      </c>
      <c r="E44" s="188">
        <f t="shared" ref="E44:E48" si="119">SUM(B44:D44)</f>
        <v>0</v>
      </c>
      <c r="F44" s="188">
        <v>0.0</v>
      </c>
      <c r="G44" s="188">
        <v>0.0</v>
      </c>
      <c r="H44" s="188">
        <v>0.0</v>
      </c>
      <c r="I44" s="188">
        <f t="shared" ref="I44:I48" si="120">SUM(F44:H44)</f>
        <v>0</v>
      </c>
      <c r="J44" s="186"/>
      <c r="K44" s="188">
        <v>29.0</v>
      </c>
      <c r="L44" s="188">
        <v>0.0</v>
      </c>
      <c r="M44" s="188">
        <f t="shared" ref="M44:M48" si="121">SUM(J44:L44)</f>
        <v>29</v>
      </c>
      <c r="N44" s="188">
        <v>0.0</v>
      </c>
      <c r="O44" s="188">
        <v>0.0</v>
      </c>
      <c r="P44" s="188">
        <v>0.0</v>
      </c>
      <c r="Q44" s="188">
        <f t="shared" ref="Q44:Q48" si="122">SUM(N44:P44)</f>
        <v>0</v>
      </c>
      <c r="R44" s="188">
        <f t="shared" ref="R44:R48" si="123">SUM(E44,I44,M44,Q44)</f>
        <v>29</v>
      </c>
      <c r="S44" s="188">
        <v>0.0</v>
      </c>
      <c r="T44" s="188">
        <v>0.0</v>
      </c>
      <c r="U44" s="154">
        <f t="shared" ref="U44:U48" si="124">T44-S44</f>
        <v>0</v>
      </c>
      <c r="V44" s="190"/>
      <c r="W44" s="190"/>
      <c r="X44" s="154">
        <f t="shared" ref="X44:X48" si="125">W44-V44</f>
        <v>0</v>
      </c>
      <c r="Y44" s="188">
        <v>5.0</v>
      </c>
      <c r="Z44" s="188">
        <v>5.0</v>
      </c>
      <c r="AA44" s="154">
        <f t="shared" ref="AA44:AA48" si="126">Z44-Y44</f>
        <v>0</v>
      </c>
      <c r="AB44" s="188">
        <f t="shared" ref="AB44:AB48" si="127">SUM(S44:Y44)</f>
        <v>5</v>
      </c>
      <c r="AC44" s="188">
        <v>1.0</v>
      </c>
      <c r="AD44" s="188">
        <v>1.0</v>
      </c>
      <c r="AE44" s="154">
        <f t="shared" ref="AE44:AE48" si="128">AD44-AC44</f>
        <v>0</v>
      </c>
      <c r="AF44" s="188">
        <v>0.0</v>
      </c>
      <c r="AG44" s="188">
        <v>0.0</v>
      </c>
      <c r="AH44" s="154">
        <f t="shared" ref="AH44:AH48" si="129">AG44-AF44</f>
        <v>0</v>
      </c>
      <c r="AI44" s="188">
        <v>196.0</v>
      </c>
      <c r="AJ44" s="154">
        <v>196.0</v>
      </c>
      <c r="AK44" s="154">
        <f t="shared" ref="AK44:AK48" si="130">AJ44-AI44</f>
        <v>0</v>
      </c>
      <c r="AL44" s="154">
        <f t="shared" ref="AL44:AL48" si="131">SUM(AC44:AI44)</f>
        <v>198</v>
      </c>
      <c r="AM44" s="154">
        <v>283.0</v>
      </c>
      <c r="AN44" s="188">
        <f t="shared" ref="AN44:AN48" si="132">SUM(U44,X44,AA44,AE44,AH44,AK44)</f>
        <v>0</v>
      </c>
      <c r="AO44" s="188">
        <f t="shared" ref="AO44:AO48" si="133">AM44+AN44</f>
        <v>283</v>
      </c>
      <c r="AP44" s="154"/>
      <c r="AQ44" s="154"/>
      <c r="AR44" s="154">
        <f t="shared" ref="AR44:AR48" si="134">SUM(AM44:AQ44)</f>
        <v>566</v>
      </c>
      <c r="AS44" s="154"/>
      <c r="AT44" s="154"/>
      <c r="AU44" s="154"/>
      <c r="AV44" s="154">
        <f t="shared" ref="AV44:AV48" si="135">SUM(AS44:AU44)</f>
        <v>0</v>
      </c>
      <c r="AW44" s="154">
        <f t="shared" ref="AW44:AW48" si="136">SUM(AB44,AL44,AR44,AV44)</f>
        <v>769</v>
      </c>
      <c r="AX44" s="154">
        <f t="shared" si="17"/>
        <v>798</v>
      </c>
      <c r="AY44" s="4"/>
      <c r="AZ44" s="4"/>
      <c r="BA44" s="4"/>
      <c r="BB44" s="4"/>
      <c r="BC44" s="4"/>
      <c r="BD44" s="4"/>
      <c r="BE44" s="4"/>
      <c r="BF44" s="4"/>
    </row>
    <row r="45" ht="15.75" customHeight="1">
      <c r="A45" s="167" t="s">
        <v>115</v>
      </c>
      <c r="B45" s="188">
        <v>0.0</v>
      </c>
      <c r="C45" s="188">
        <v>36.0</v>
      </c>
      <c r="D45" s="188">
        <v>0.0</v>
      </c>
      <c r="E45" s="188">
        <f t="shared" si="119"/>
        <v>36</v>
      </c>
      <c r="F45" s="188">
        <v>0.0</v>
      </c>
      <c r="G45" s="188">
        <v>0.0</v>
      </c>
      <c r="H45" s="188">
        <v>0.0</v>
      </c>
      <c r="I45" s="188">
        <f t="shared" si="120"/>
        <v>0</v>
      </c>
      <c r="J45" s="188">
        <v>18.0</v>
      </c>
      <c r="K45" s="186"/>
      <c r="L45" s="188">
        <v>0.0</v>
      </c>
      <c r="M45" s="188">
        <f t="shared" si="121"/>
        <v>18</v>
      </c>
      <c r="N45" s="188">
        <v>0.0</v>
      </c>
      <c r="O45" s="188">
        <v>0.0</v>
      </c>
      <c r="P45" s="188">
        <v>0.0</v>
      </c>
      <c r="Q45" s="188">
        <f t="shared" si="122"/>
        <v>0</v>
      </c>
      <c r="R45" s="188">
        <f t="shared" si="123"/>
        <v>54</v>
      </c>
      <c r="S45" s="188">
        <v>0.0</v>
      </c>
      <c r="T45" s="188">
        <v>1.0</v>
      </c>
      <c r="U45" s="154">
        <f t="shared" si="124"/>
        <v>1</v>
      </c>
      <c r="V45" s="190"/>
      <c r="W45" s="190">
        <v>1.0</v>
      </c>
      <c r="X45" s="154">
        <f t="shared" si="125"/>
        <v>1</v>
      </c>
      <c r="Y45" s="188">
        <v>59.0</v>
      </c>
      <c r="Z45" s="188">
        <v>59.0</v>
      </c>
      <c r="AA45" s="154">
        <f t="shared" si="126"/>
        <v>0</v>
      </c>
      <c r="AB45" s="188">
        <f t="shared" si="127"/>
        <v>63</v>
      </c>
      <c r="AC45" s="188">
        <v>0.0</v>
      </c>
      <c r="AD45" s="188">
        <v>0.0</v>
      </c>
      <c r="AE45" s="154">
        <f t="shared" si="128"/>
        <v>0</v>
      </c>
      <c r="AF45" s="188">
        <v>0.0</v>
      </c>
      <c r="AG45" s="188">
        <v>0.0</v>
      </c>
      <c r="AH45" s="154">
        <f t="shared" si="129"/>
        <v>0</v>
      </c>
      <c r="AI45" s="188">
        <v>151.0</v>
      </c>
      <c r="AJ45" s="154">
        <v>182.0</v>
      </c>
      <c r="AK45" s="154">
        <f t="shared" si="130"/>
        <v>31</v>
      </c>
      <c r="AL45" s="154">
        <f t="shared" si="131"/>
        <v>151</v>
      </c>
      <c r="AM45" s="154">
        <v>263.0</v>
      </c>
      <c r="AN45" s="188">
        <f t="shared" si="132"/>
        <v>33</v>
      </c>
      <c r="AO45" s="188">
        <f t="shared" si="133"/>
        <v>296</v>
      </c>
      <c r="AP45" s="154"/>
      <c r="AQ45" s="154"/>
      <c r="AR45" s="154">
        <f t="shared" si="134"/>
        <v>592</v>
      </c>
      <c r="AS45" s="154"/>
      <c r="AT45" s="154"/>
      <c r="AU45" s="154"/>
      <c r="AV45" s="154">
        <f t="shared" si="135"/>
        <v>0</v>
      </c>
      <c r="AW45" s="154">
        <f t="shared" si="136"/>
        <v>806</v>
      </c>
      <c r="AX45" s="154">
        <f t="shared" si="17"/>
        <v>860</v>
      </c>
      <c r="AY45" s="4"/>
      <c r="AZ45" s="4"/>
      <c r="BA45" s="4"/>
      <c r="BB45" s="4"/>
      <c r="BC45" s="4"/>
      <c r="BD45" s="4"/>
      <c r="BE45" s="4"/>
      <c r="BF45" s="4"/>
    </row>
    <row r="46" ht="15.75" customHeight="1">
      <c r="A46" s="167" t="s">
        <v>116</v>
      </c>
      <c r="B46" s="188">
        <v>0.0</v>
      </c>
      <c r="C46" s="188">
        <v>0.0</v>
      </c>
      <c r="D46" s="188">
        <v>0.0</v>
      </c>
      <c r="E46" s="188">
        <f t="shared" si="119"/>
        <v>0</v>
      </c>
      <c r="F46" s="188">
        <v>0.0</v>
      </c>
      <c r="G46" s="188">
        <v>0.0</v>
      </c>
      <c r="H46" s="188">
        <v>0.0</v>
      </c>
      <c r="I46" s="188">
        <f t="shared" si="120"/>
        <v>0</v>
      </c>
      <c r="J46" s="188">
        <v>2.0</v>
      </c>
      <c r="K46" s="186"/>
      <c r="L46" s="188">
        <v>0.0</v>
      </c>
      <c r="M46" s="188">
        <f t="shared" si="121"/>
        <v>2</v>
      </c>
      <c r="N46" s="188">
        <v>224.0</v>
      </c>
      <c r="O46" s="188">
        <v>0.0</v>
      </c>
      <c r="P46" s="188">
        <v>0.0</v>
      </c>
      <c r="Q46" s="188">
        <f t="shared" si="122"/>
        <v>224</v>
      </c>
      <c r="R46" s="188">
        <f t="shared" si="123"/>
        <v>226</v>
      </c>
      <c r="S46" s="188">
        <v>0.0</v>
      </c>
      <c r="T46" s="188">
        <v>0.0</v>
      </c>
      <c r="U46" s="154">
        <f t="shared" si="124"/>
        <v>0</v>
      </c>
      <c r="V46" s="190"/>
      <c r="W46" s="190">
        <v>1.0</v>
      </c>
      <c r="X46" s="154">
        <f t="shared" si="125"/>
        <v>1</v>
      </c>
      <c r="Y46" s="188">
        <v>4.0</v>
      </c>
      <c r="Z46" s="188">
        <v>4.0</v>
      </c>
      <c r="AA46" s="154">
        <f t="shared" si="126"/>
        <v>0</v>
      </c>
      <c r="AB46" s="188">
        <f t="shared" si="127"/>
        <v>6</v>
      </c>
      <c r="AC46" s="188">
        <v>1.0</v>
      </c>
      <c r="AD46" s="188">
        <v>1.0</v>
      </c>
      <c r="AE46" s="154">
        <f t="shared" si="128"/>
        <v>0</v>
      </c>
      <c r="AF46" s="188">
        <v>63.0</v>
      </c>
      <c r="AG46" s="188">
        <v>63.0</v>
      </c>
      <c r="AH46" s="154">
        <f t="shared" si="129"/>
        <v>0</v>
      </c>
      <c r="AI46" s="188">
        <v>346.0</v>
      </c>
      <c r="AJ46" s="154">
        <v>346.0</v>
      </c>
      <c r="AK46" s="154">
        <f t="shared" si="130"/>
        <v>0</v>
      </c>
      <c r="AL46" s="154">
        <f t="shared" si="131"/>
        <v>474</v>
      </c>
      <c r="AM46" s="154">
        <v>142.0</v>
      </c>
      <c r="AN46" s="188">
        <f t="shared" si="132"/>
        <v>1</v>
      </c>
      <c r="AO46" s="188">
        <f t="shared" si="133"/>
        <v>143</v>
      </c>
      <c r="AP46" s="154"/>
      <c r="AQ46" s="154"/>
      <c r="AR46" s="154">
        <f t="shared" si="134"/>
        <v>286</v>
      </c>
      <c r="AS46" s="154"/>
      <c r="AT46" s="154"/>
      <c r="AU46" s="154"/>
      <c r="AV46" s="154">
        <f t="shared" si="135"/>
        <v>0</v>
      </c>
      <c r="AW46" s="154">
        <f t="shared" si="136"/>
        <v>766</v>
      </c>
      <c r="AX46" s="154">
        <f t="shared" si="17"/>
        <v>992</v>
      </c>
      <c r="AY46" s="4"/>
      <c r="AZ46" s="4"/>
      <c r="BA46" s="4"/>
      <c r="BB46" s="4"/>
      <c r="BC46" s="4"/>
      <c r="BD46" s="4"/>
      <c r="BE46" s="4"/>
      <c r="BF46" s="4"/>
    </row>
    <row r="47" ht="15.75" customHeight="1">
      <c r="A47" s="169" t="s">
        <v>117</v>
      </c>
      <c r="B47" s="188">
        <v>0.0</v>
      </c>
      <c r="C47" s="188">
        <v>0.0</v>
      </c>
      <c r="D47" s="188">
        <v>0.0</v>
      </c>
      <c r="E47" s="188">
        <f t="shared" si="119"/>
        <v>0</v>
      </c>
      <c r="F47" s="188">
        <v>0.0</v>
      </c>
      <c r="G47" s="188">
        <v>0.0</v>
      </c>
      <c r="H47" s="188">
        <v>0.0</v>
      </c>
      <c r="I47" s="188">
        <f t="shared" si="120"/>
        <v>0</v>
      </c>
      <c r="J47" s="188">
        <v>3.0</v>
      </c>
      <c r="K47" s="188">
        <v>0.0</v>
      </c>
      <c r="L47" s="188">
        <v>0.0</v>
      </c>
      <c r="M47" s="188">
        <f t="shared" si="121"/>
        <v>3</v>
      </c>
      <c r="N47" s="188">
        <v>0.0</v>
      </c>
      <c r="O47" s="188">
        <v>0.0</v>
      </c>
      <c r="P47" s="188">
        <v>0.0</v>
      </c>
      <c r="Q47" s="188">
        <f t="shared" si="122"/>
        <v>0</v>
      </c>
      <c r="R47" s="188">
        <f t="shared" si="123"/>
        <v>3</v>
      </c>
      <c r="S47" s="188">
        <v>0.0</v>
      </c>
      <c r="T47" s="188">
        <v>1.0</v>
      </c>
      <c r="U47" s="154">
        <f t="shared" si="124"/>
        <v>1</v>
      </c>
      <c r="V47" s="188">
        <v>0.0</v>
      </c>
      <c r="W47" s="188"/>
      <c r="X47" s="154">
        <f t="shared" si="125"/>
        <v>0</v>
      </c>
      <c r="Y47" s="188">
        <v>197.0</v>
      </c>
      <c r="Z47" s="188">
        <v>197.0</v>
      </c>
      <c r="AA47" s="154">
        <f t="shared" si="126"/>
        <v>0</v>
      </c>
      <c r="AB47" s="188">
        <f t="shared" si="127"/>
        <v>199</v>
      </c>
      <c r="AC47" s="188">
        <v>0.0</v>
      </c>
      <c r="AD47" s="188">
        <v>0.0</v>
      </c>
      <c r="AE47" s="154">
        <f t="shared" si="128"/>
        <v>0</v>
      </c>
      <c r="AF47" s="188">
        <v>0.0</v>
      </c>
      <c r="AG47" s="188">
        <v>0.0</v>
      </c>
      <c r="AH47" s="154">
        <f t="shared" si="129"/>
        <v>0</v>
      </c>
      <c r="AI47" s="188">
        <v>293.0</v>
      </c>
      <c r="AJ47" s="154">
        <v>293.0</v>
      </c>
      <c r="AK47" s="154">
        <f t="shared" si="130"/>
        <v>0</v>
      </c>
      <c r="AL47" s="154">
        <f t="shared" si="131"/>
        <v>293</v>
      </c>
      <c r="AM47" s="154">
        <v>0.0</v>
      </c>
      <c r="AN47" s="188">
        <f t="shared" si="132"/>
        <v>1</v>
      </c>
      <c r="AO47" s="188">
        <f t="shared" si="133"/>
        <v>1</v>
      </c>
      <c r="AP47" s="154"/>
      <c r="AQ47" s="154"/>
      <c r="AR47" s="154">
        <f t="shared" si="134"/>
        <v>2</v>
      </c>
      <c r="AS47" s="154"/>
      <c r="AT47" s="154"/>
      <c r="AU47" s="154"/>
      <c r="AV47" s="154">
        <f t="shared" si="135"/>
        <v>0</v>
      </c>
      <c r="AW47" s="154">
        <f t="shared" si="136"/>
        <v>494</v>
      </c>
      <c r="AX47" s="154">
        <f t="shared" si="17"/>
        <v>497</v>
      </c>
      <c r="AY47" s="4"/>
      <c r="AZ47" s="4"/>
      <c r="BA47" s="4"/>
      <c r="BB47" s="4"/>
      <c r="BC47" s="4"/>
      <c r="BD47" s="4"/>
      <c r="BE47" s="4"/>
      <c r="BF47" s="4"/>
    </row>
    <row r="48" ht="15.75" customHeight="1">
      <c r="A48" s="167" t="s">
        <v>118</v>
      </c>
      <c r="B48" s="188">
        <v>0.0</v>
      </c>
      <c r="C48" s="188">
        <v>0.0</v>
      </c>
      <c r="D48" s="188">
        <v>0.0</v>
      </c>
      <c r="E48" s="188">
        <f t="shared" si="119"/>
        <v>0</v>
      </c>
      <c r="F48" s="188">
        <v>0.0</v>
      </c>
      <c r="G48" s="188">
        <v>0.0</v>
      </c>
      <c r="H48" s="188">
        <v>0.0</v>
      </c>
      <c r="I48" s="188">
        <f t="shared" si="120"/>
        <v>0</v>
      </c>
      <c r="J48" s="188">
        <v>13.0</v>
      </c>
      <c r="K48" s="188">
        <v>0.0</v>
      </c>
      <c r="L48" s="188">
        <v>0.0</v>
      </c>
      <c r="M48" s="188">
        <f t="shared" si="121"/>
        <v>13</v>
      </c>
      <c r="N48" s="188">
        <v>0.0</v>
      </c>
      <c r="O48" s="188">
        <v>0.0</v>
      </c>
      <c r="P48" s="188">
        <v>0.0</v>
      </c>
      <c r="Q48" s="188">
        <f t="shared" si="122"/>
        <v>0</v>
      </c>
      <c r="R48" s="188">
        <f t="shared" si="123"/>
        <v>13</v>
      </c>
      <c r="S48" s="188">
        <v>0.0</v>
      </c>
      <c r="T48" s="188">
        <v>0.0</v>
      </c>
      <c r="U48" s="154">
        <f t="shared" si="124"/>
        <v>0</v>
      </c>
      <c r="V48" s="190"/>
      <c r="W48" s="190"/>
      <c r="X48" s="154">
        <f t="shared" si="125"/>
        <v>0</v>
      </c>
      <c r="Y48" s="188">
        <v>26.0</v>
      </c>
      <c r="Z48" s="188">
        <v>26.0</v>
      </c>
      <c r="AA48" s="154">
        <f t="shared" si="126"/>
        <v>0</v>
      </c>
      <c r="AB48" s="188">
        <f t="shared" si="127"/>
        <v>26</v>
      </c>
      <c r="AC48" s="188">
        <v>0.0</v>
      </c>
      <c r="AD48" s="188">
        <v>0.0</v>
      </c>
      <c r="AE48" s="154">
        <f t="shared" si="128"/>
        <v>0</v>
      </c>
      <c r="AF48" s="188">
        <v>20.0</v>
      </c>
      <c r="AG48" s="188">
        <v>20.0</v>
      </c>
      <c r="AH48" s="154">
        <f t="shared" si="129"/>
        <v>0</v>
      </c>
      <c r="AI48" s="188">
        <v>61.0</v>
      </c>
      <c r="AJ48" s="154">
        <v>61.0</v>
      </c>
      <c r="AK48" s="154">
        <f t="shared" si="130"/>
        <v>0</v>
      </c>
      <c r="AL48" s="154">
        <f t="shared" si="131"/>
        <v>101</v>
      </c>
      <c r="AM48" s="154">
        <v>168.0</v>
      </c>
      <c r="AN48" s="188">
        <f t="shared" si="132"/>
        <v>0</v>
      </c>
      <c r="AO48" s="188">
        <f t="shared" si="133"/>
        <v>168</v>
      </c>
      <c r="AP48" s="154"/>
      <c r="AQ48" s="154"/>
      <c r="AR48" s="154">
        <f t="shared" si="134"/>
        <v>336</v>
      </c>
      <c r="AS48" s="154"/>
      <c r="AT48" s="154"/>
      <c r="AU48" s="154"/>
      <c r="AV48" s="154">
        <f t="shared" si="135"/>
        <v>0</v>
      </c>
      <c r="AW48" s="154">
        <f t="shared" si="136"/>
        <v>463</v>
      </c>
      <c r="AX48" s="154">
        <f t="shared" si="17"/>
        <v>476</v>
      </c>
      <c r="AY48" s="4"/>
      <c r="AZ48" s="4"/>
      <c r="BA48" s="4"/>
      <c r="BB48" s="4"/>
      <c r="BC48" s="4"/>
      <c r="BD48" s="4"/>
      <c r="BE48" s="4"/>
      <c r="BF48" s="4"/>
    </row>
    <row r="49" ht="15.75" customHeight="1">
      <c r="A49" s="137" t="s">
        <v>119</v>
      </c>
      <c r="B49" s="191">
        <f t="shared" ref="B49:AW49" si="137">SUM(B50:B55)</f>
        <v>0</v>
      </c>
      <c r="C49" s="191">
        <f t="shared" si="137"/>
        <v>0</v>
      </c>
      <c r="D49" s="191">
        <f t="shared" si="137"/>
        <v>0</v>
      </c>
      <c r="E49" s="191">
        <f t="shared" si="137"/>
        <v>0</v>
      </c>
      <c r="F49" s="191">
        <f t="shared" si="137"/>
        <v>0</v>
      </c>
      <c r="G49" s="191">
        <f t="shared" si="137"/>
        <v>0</v>
      </c>
      <c r="H49" s="191">
        <f t="shared" si="137"/>
        <v>0</v>
      </c>
      <c r="I49" s="191">
        <f t="shared" si="137"/>
        <v>0</v>
      </c>
      <c r="J49" s="191">
        <f t="shared" si="137"/>
        <v>9</v>
      </c>
      <c r="K49" s="191">
        <f t="shared" si="137"/>
        <v>0</v>
      </c>
      <c r="L49" s="191">
        <f t="shared" si="137"/>
        <v>0</v>
      </c>
      <c r="M49" s="191">
        <f t="shared" si="137"/>
        <v>9</v>
      </c>
      <c r="N49" s="191">
        <f t="shared" si="137"/>
        <v>0</v>
      </c>
      <c r="O49" s="191">
        <f t="shared" si="137"/>
        <v>0</v>
      </c>
      <c r="P49" s="191">
        <f t="shared" si="137"/>
        <v>0</v>
      </c>
      <c r="Q49" s="191">
        <f t="shared" si="137"/>
        <v>0</v>
      </c>
      <c r="R49" s="191">
        <f t="shared" si="137"/>
        <v>9</v>
      </c>
      <c r="S49" s="187">
        <f t="shared" si="137"/>
        <v>0</v>
      </c>
      <c r="T49" s="187">
        <f t="shared" si="137"/>
        <v>0</v>
      </c>
      <c r="U49" s="141">
        <f t="shared" si="137"/>
        <v>0</v>
      </c>
      <c r="V49" s="187">
        <f t="shared" si="137"/>
        <v>0</v>
      </c>
      <c r="W49" s="187">
        <f t="shared" si="137"/>
        <v>0</v>
      </c>
      <c r="X49" s="141">
        <f t="shared" si="137"/>
        <v>0</v>
      </c>
      <c r="Y49" s="187">
        <f t="shared" si="137"/>
        <v>1082</v>
      </c>
      <c r="Z49" s="187">
        <f t="shared" si="137"/>
        <v>1082</v>
      </c>
      <c r="AA49" s="141">
        <f t="shared" si="137"/>
        <v>0</v>
      </c>
      <c r="AB49" s="187">
        <f t="shared" si="137"/>
        <v>1082</v>
      </c>
      <c r="AC49" s="187">
        <f t="shared" si="137"/>
        <v>0</v>
      </c>
      <c r="AD49" s="187">
        <f t="shared" si="137"/>
        <v>0</v>
      </c>
      <c r="AE49" s="141">
        <f t="shared" si="137"/>
        <v>0</v>
      </c>
      <c r="AF49" s="187">
        <f t="shared" si="137"/>
        <v>197</v>
      </c>
      <c r="AG49" s="141">
        <f t="shared" si="137"/>
        <v>197</v>
      </c>
      <c r="AH49" s="141">
        <f t="shared" si="137"/>
        <v>0</v>
      </c>
      <c r="AI49" s="187">
        <f t="shared" si="137"/>
        <v>4057</v>
      </c>
      <c r="AJ49" s="141">
        <f t="shared" si="137"/>
        <v>4057</v>
      </c>
      <c r="AK49" s="141">
        <f t="shared" si="137"/>
        <v>0</v>
      </c>
      <c r="AL49" s="141">
        <f t="shared" si="137"/>
        <v>4451</v>
      </c>
      <c r="AM49" s="141">
        <f t="shared" si="137"/>
        <v>1133</v>
      </c>
      <c r="AN49" s="187">
        <f t="shared" si="137"/>
        <v>0</v>
      </c>
      <c r="AO49" s="187">
        <f t="shared" si="137"/>
        <v>1133</v>
      </c>
      <c r="AP49" s="141">
        <f t="shared" si="137"/>
        <v>0</v>
      </c>
      <c r="AQ49" s="141">
        <f t="shared" si="137"/>
        <v>0</v>
      </c>
      <c r="AR49" s="141">
        <f t="shared" si="137"/>
        <v>2266</v>
      </c>
      <c r="AS49" s="141">
        <f t="shared" si="137"/>
        <v>0</v>
      </c>
      <c r="AT49" s="141">
        <f t="shared" si="137"/>
        <v>0</v>
      </c>
      <c r="AU49" s="141">
        <f t="shared" si="137"/>
        <v>0</v>
      </c>
      <c r="AV49" s="141">
        <f t="shared" si="137"/>
        <v>0</v>
      </c>
      <c r="AW49" s="141">
        <f t="shared" si="137"/>
        <v>7799</v>
      </c>
      <c r="AX49" s="141">
        <f t="shared" si="17"/>
        <v>7808</v>
      </c>
      <c r="AY49" s="4"/>
      <c r="AZ49" s="4"/>
      <c r="BA49" s="4"/>
      <c r="BB49" s="4"/>
      <c r="BC49" s="4"/>
      <c r="BD49" s="4"/>
      <c r="BE49" s="4"/>
      <c r="BF49" s="4"/>
    </row>
    <row r="50" ht="15.75" customHeight="1">
      <c r="A50" s="167" t="s">
        <v>120</v>
      </c>
      <c r="B50" s="188">
        <v>0.0</v>
      </c>
      <c r="C50" s="188">
        <v>0.0</v>
      </c>
      <c r="D50" s="188">
        <v>0.0</v>
      </c>
      <c r="E50" s="188">
        <f t="shared" ref="E50:E55" si="138">SUM(B50:D50)</f>
        <v>0</v>
      </c>
      <c r="F50" s="188">
        <v>0.0</v>
      </c>
      <c r="G50" s="188">
        <v>0.0</v>
      </c>
      <c r="H50" s="186"/>
      <c r="I50" s="188">
        <f t="shared" ref="I50:I55" si="139">SUM(F50:H50)</f>
        <v>0</v>
      </c>
      <c r="J50" s="186"/>
      <c r="K50" s="186"/>
      <c r="L50" s="186"/>
      <c r="M50" s="188">
        <f t="shared" ref="M50:M55" si="140">SUM(J50:L50)</f>
        <v>0</v>
      </c>
      <c r="N50" s="186"/>
      <c r="O50" s="186"/>
      <c r="P50" s="186"/>
      <c r="Q50" s="188">
        <f t="shared" ref="Q50:Q55" si="141">SUM(N50:P50)</f>
        <v>0</v>
      </c>
      <c r="R50" s="188">
        <f t="shared" ref="R50:R55" si="142">SUM(E50,I50,M50,Q50)</f>
        <v>0</v>
      </c>
      <c r="S50" s="190"/>
      <c r="T50" s="186">
        <v>0.0</v>
      </c>
      <c r="U50" s="154">
        <f t="shared" ref="U50:U55" si="143">T50-S50</f>
        <v>0</v>
      </c>
      <c r="V50" s="190"/>
      <c r="W50" s="190"/>
      <c r="X50" s="154">
        <f t="shared" ref="X50:X55" si="144">W50-V50</f>
        <v>0</v>
      </c>
      <c r="Y50" s="188">
        <v>114.0</v>
      </c>
      <c r="Z50" s="188">
        <v>114.0</v>
      </c>
      <c r="AA50" s="154">
        <f t="shared" ref="AA50:AA55" si="145">Z50-Y50</f>
        <v>0</v>
      </c>
      <c r="AB50" s="188">
        <f t="shared" ref="AB50:AB55" si="146">SUM(S50:Y50)</f>
        <v>114</v>
      </c>
      <c r="AC50" s="188">
        <v>0.0</v>
      </c>
      <c r="AD50" s="188">
        <v>0.0</v>
      </c>
      <c r="AE50" s="154">
        <f t="shared" ref="AE50:AE55" si="147">AD50-AC50</f>
        <v>0</v>
      </c>
      <c r="AF50" s="188">
        <v>9.0</v>
      </c>
      <c r="AG50" s="188">
        <v>9.0</v>
      </c>
      <c r="AH50" s="154">
        <f t="shared" ref="AH50:AH55" si="148">AG50-AF50</f>
        <v>0</v>
      </c>
      <c r="AI50" s="189">
        <v>572.0</v>
      </c>
      <c r="AJ50" s="189">
        <v>572.0</v>
      </c>
      <c r="AK50" s="154">
        <f t="shared" ref="AK50:AK55" si="149">AJ50-AI50</f>
        <v>0</v>
      </c>
      <c r="AL50" s="154">
        <f t="shared" ref="AL50:AL55" si="150">SUM(AC50:AI50)</f>
        <v>590</v>
      </c>
      <c r="AM50" s="154">
        <v>169.0</v>
      </c>
      <c r="AN50" s="188">
        <f t="shared" ref="AN50:AN55" si="151">SUM(U50,X50,AA50,AE50,AH50,AK50)</f>
        <v>0</v>
      </c>
      <c r="AO50" s="188">
        <f t="shared" ref="AO50:AO55" si="152">AM50+AN50</f>
        <v>169</v>
      </c>
      <c r="AP50" s="154"/>
      <c r="AQ50" s="155"/>
      <c r="AR50" s="154">
        <f t="shared" ref="AR50:AR55" si="153">SUM(AM50:AQ50)</f>
        <v>338</v>
      </c>
      <c r="AS50" s="154"/>
      <c r="AT50" s="154"/>
      <c r="AU50" s="155"/>
      <c r="AV50" s="154">
        <f t="shared" ref="AV50:AV55" si="154">SUM(AS50:AU50)</f>
        <v>0</v>
      </c>
      <c r="AW50" s="154">
        <f t="shared" ref="AW50:AW55" si="155">SUM(AB50,AL50,AR50,AV50)</f>
        <v>1042</v>
      </c>
      <c r="AX50" s="154">
        <f t="shared" si="17"/>
        <v>1042</v>
      </c>
      <c r="AY50" s="4"/>
      <c r="AZ50" s="4"/>
      <c r="BA50" s="4"/>
      <c r="BB50" s="4"/>
      <c r="BC50" s="4"/>
      <c r="BD50" s="4"/>
      <c r="BE50" s="4"/>
      <c r="BF50" s="4"/>
    </row>
    <row r="51" ht="15.75" customHeight="1">
      <c r="A51" s="167" t="s">
        <v>121</v>
      </c>
      <c r="B51" s="188">
        <v>0.0</v>
      </c>
      <c r="C51" s="188">
        <v>0.0</v>
      </c>
      <c r="D51" s="188">
        <v>0.0</v>
      </c>
      <c r="E51" s="188">
        <f t="shared" si="138"/>
        <v>0</v>
      </c>
      <c r="F51" s="188">
        <v>0.0</v>
      </c>
      <c r="G51" s="188">
        <v>0.0</v>
      </c>
      <c r="H51" s="186"/>
      <c r="I51" s="188">
        <f t="shared" si="139"/>
        <v>0</v>
      </c>
      <c r="J51" s="188">
        <v>9.0</v>
      </c>
      <c r="K51" s="186"/>
      <c r="L51" s="188">
        <v>0.0</v>
      </c>
      <c r="M51" s="188">
        <f t="shared" si="140"/>
        <v>9</v>
      </c>
      <c r="N51" s="188">
        <v>0.0</v>
      </c>
      <c r="O51" s="188">
        <v>0.0</v>
      </c>
      <c r="P51" s="188">
        <v>0.0</v>
      </c>
      <c r="Q51" s="188">
        <f t="shared" si="141"/>
        <v>0</v>
      </c>
      <c r="R51" s="188">
        <f t="shared" si="142"/>
        <v>9</v>
      </c>
      <c r="S51" s="188">
        <v>0.0</v>
      </c>
      <c r="T51" s="188">
        <v>0.0</v>
      </c>
      <c r="U51" s="154">
        <f t="shared" si="143"/>
        <v>0</v>
      </c>
      <c r="V51" s="188">
        <v>0.0</v>
      </c>
      <c r="W51" s="188"/>
      <c r="X51" s="154">
        <f t="shared" si="144"/>
        <v>0</v>
      </c>
      <c r="Y51" s="188">
        <v>26.0</v>
      </c>
      <c r="Z51" s="188">
        <v>26.0</v>
      </c>
      <c r="AA51" s="154">
        <f t="shared" si="145"/>
        <v>0</v>
      </c>
      <c r="AB51" s="188">
        <f t="shared" si="146"/>
        <v>26</v>
      </c>
      <c r="AC51" s="188">
        <v>0.0</v>
      </c>
      <c r="AD51" s="188">
        <v>0.0</v>
      </c>
      <c r="AE51" s="154">
        <f t="shared" si="147"/>
        <v>0</v>
      </c>
      <c r="AF51" s="188">
        <v>95.0</v>
      </c>
      <c r="AG51" s="188">
        <v>95.0</v>
      </c>
      <c r="AH51" s="154">
        <f t="shared" si="148"/>
        <v>0</v>
      </c>
      <c r="AI51" s="188">
        <v>356.0</v>
      </c>
      <c r="AJ51" s="188">
        <v>356.0</v>
      </c>
      <c r="AK51" s="154">
        <f t="shared" si="149"/>
        <v>0</v>
      </c>
      <c r="AL51" s="154">
        <f t="shared" si="150"/>
        <v>546</v>
      </c>
      <c r="AM51" s="154">
        <v>529.0</v>
      </c>
      <c r="AN51" s="188">
        <f t="shared" si="151"/>
        <v>0</v>
      </c>
      <c r="AO51" s="188">
        <f t="shared" si="152"/>
        <v>529</v>
      </c>
      <c r="AP51" s="154"/>
      <c r="AQ51" s="154"/>
      <c r="AR51" s="154">
        <f t="shared" si="153"/>
        <v>1058</v>
      </c>
      <c r="AS51" s="154"/>
      <c r="AT51" s="154"/>
      <c r="AU51" s="154"/>
      <c r="AV51" s="154">
        <f t="shared" si="154"/>
        <v>0</v>
      </c>
      <c r="AW51" s="154">
        <f t="shared" si="155"/>
        <v>1630</v>
      </c>
      <c r="AX51" s="154">
        <f t="shared" si="17"/>
        <v>1639</v>
      </c>
      <c r="AY51" s="4"/>
      <c r="AZ51" s="4"/>
      <c r="BA51" s="4"/>
      <c r="BB51" s="4"/>
      <c r="BC51" s="4"/>
      <c r="BD51" s="4"/>
      <c r="BE51" s="4"/>
      <c r="BF51" s="4"/>
    </row>
    <row r="52" ht="15.75" customHeight="1">
      <c r="A52" s="167" t="s">
        <v>122</v>
      </c>
      <c r="B52" s="188">
        <v>0.0</v>
      </c>
      <c r="C52" s="188">
        <v>0.0</v>
      </c>
      <c r="D52" s="188">
        <v>0.0</v>
      </c>
      <c r="E52" s="188">
        <f t="shared" si="138"/>
        <v>0</v>
      </c>
      <c r="F52" s="188">
        <v>0.0</v>
      </c>
      <c r="G52" s="188">
        <v>0.0</v>
      </c>
      <c r="H52" s="186"/>
      <c r="I52" s="188">
        <f t="shared" si="139"/>
        <v>0</v>
      </c>
      <c r="J52" s="186"/>
      <c r="K52" s="186"/>
      <c r="L52" s="186"/>
      <c r="M52" s="188">
        <f t="shared" si="140"/>
        <v>0</v>
      </c>
      <c r="N52" s="186"/>
      <c r="O52" s="186"/>
      <c r="P52" s="186"/>
      <c r="Q52" s="188">
        <f t="shared" si="141"/>
        <v>0</v>
      </c>
      <c r="R52" s="188">
        <f t="shared" si="142"/>
        <v>0</v>
      </c>
      <c r="S52" s="190"/>
      <c r="T52" s="186">
        <v>0.0</v>
      </c>
      <c r="U52" s="154">
        <f t="shared" si="143"/>
        <v>0</v>
      </c>
      <c r="V52" s="190"/>
      <c r="W52" s="190"/>
      <c r="X52" s="154">
        <f t="shared" si="144"/>
        <v>0</v>
      </c>
      <c r="Y52" s="188">
        <v>45.0</v>
      </c>
      <c r="Z52" s="188">
        <v>45.0</v>
      </c>
      <c r="AA52" s="154">
        <f t="shared" si="145"/>
        <v>0</v>
      </c>
      <c r="AB52" s="188">
        <f t="shared" si="146"/>
        <v>45</v>
      </c>
      <c r="AC52" s="188">
        <v>0.0</v>
      </c>
      <c r="AD52" s="188">
        <v>0.0</v>
      </c>
      <c r="AE52" s="154">
        <f t="shared" si="147"/>
        <v>0</v>
      </c>
      <c r="AF52" s="188">
        <v>19.0</v>
      </c>
      <c r="AG52" s="188">
        <v>19.0</v>
      </c>
      <c r="AH52" s="154">
        <f t="shared" si="148"/>
        <v>0</v>
      </c>
      <c r="AI52" s="188">
        <v>1427.0</v>
      </c>
      <c r="AJ52" s="188">
        <v>1427.0</v>
      </c>
      <c r="AK52" s="154">
        <f t="shared" si="149"/>
        <v>0</v>
      </c>
      <c r="AL52" s="154">
        <f t="shared" si="150"/>
        <v>1465</v>
      </c>
      <c r="AM52" s="154">
        <v>70.0</v>
      </c>
      <c r="AN52" s="188">
        <f t="shared" si="151"/>
        <v>0</v>
      </c>
      <c r="AO52" s="188">
        <f t="shared" si="152"/>
        <v>70</v>
      </c>
      <c r="AP52" s="154"/>
      <c r="AQ52" s="154"/>
      <c r="AR52" s="154">
        <f t="shared" si="153"/>
        <v>140</v>
      </c>
      <c r="AS52" s="154"/>
      <c r="AT52" s="154"/>
      <c r="AU52" s="154"/>
      <c r="AV52" s="154">
        <f t="shared" si="154"/>
        <v>0</v>
      </c>
      <c r="AW52" s="154">
        <f t="shared" si="155"/>
        <v>1650</v>
      </c>
      <c r="AX52" s="154">
        <f t="shared" si="17"/>
        <v>1650</v>
      </c>
      <c r="AY52" s="4"/>
      <c r="AZ52" s="4"/>
      <c r="BA52" s="4"/>
      <c r="BB52" s="4"/>
      <c r="BC52" s="4"/>
      <c r="BD52" s="4"/>
      <c r="BE52" s="4"/>
      <c r="BF52" s="4"/>
    </row>
    <row r="53" ht="15.75" customHeight="1">
      <c r="A53" s="167" t="s">
        <v>123</v>
      </c>
      <c r="B53" s="188">
        <v>0.0</v>
      </c>
      <c r="C53" s="188">
        <v>0.0</v>
      </c>
      <c r="D53" s="188">
        <v>0.0</v>
      </c>
      <c r="E53" s="188">
        <f t="shared" si="138"/>
        <v>0</v>
      </c>
      <c r="F53" s="188">
        <v>0.0</v>
      </c>
      <c r="G53" s="188">
        <v>0.0</v>
      </c>
      <c r="H53" s="186"/>
      <c r="I53" s="188">
        <f t="shared" si="139"/>
        <v>0</v>
      </c>
      <c r="J53" s="186"/>
      <c r="K53" s="186"/>
      <c r="L53" s="186"/>
      <c r="M53" s="188">
        <f t="shared" si="140"/>
        <v>0</v>
      </c>
      <c r="N53" s="186"/>
      <c r="O53" s="186"/>
      <c r="P53" s="186"/>
      <c r="Q53" s="188">
        <f t="shared" si="141"/>
        <v>0</v>
      </c>
      <c r="R53" s="188">
        <f t="shared" si="142"/>
        <v>0</v>
      </c>
      <c r="S53" s="190"/>
      <c r="T53" s="186">
        <v>0.0</v>
      </c>
      <c r="U53" s="154">
        <f t="shared" si="143"/>
        <v>0</v>
      </c>
      <c r="V53" s="190"/>
      <c r="W53" s="190"/>
      <c r="X53" s="154">
        <f t="shared" si="144"/>
        <v>0</v>
      </c>
      <c r="Y53" s="188">
        <v>7.0</v>
      </c>
      <c r="Z53" s="188">
        <v>7.0</v>
      </c>
      <c r="AA53" s="154">
        <f t="shared" si="145"/>
        <v>0</v>
      </c>
      <c r="AB53" s="188">
        <f t="shared" si="146"/>
        <v>7</v>
      </c>
      <c r="AC53" s="188">
        <v>0.0</v>
      </c>
      <c r="AD53" s="188">
        <v>0.0</v>
      </c>
      <c r="AE53" s="154">
        <f t="shared" si="147"/>
        <v>0</v>
      </c>
      <c r="AF53" s="188">
        <v>26.0</v>
      </c>
      <c r="AG53" s="188">
        <v>26.0</v>
      </c>
      <c r="AH53" s="154">
        <f t="shared" si="148"/>
        <v>0</v>
      </c>
      <c r="AI53" s="188">
        <v>485.0</v>
      </c>
      <c r="AJ53" s="188">
        <v>485.0</v>
      </c>
      <c r="AK53" s="154">
        <f t="shared" si="149"/>
        <v>0</v>
      </c>
      <c r="AL53" s="154">
        <f t="shared" si="150"/>
        <v>537</v>
      </c>
      <c r="AM53" s="154">
        <v>0.0</v>
      </c>
      <c r="AN53" s="188">
        <f t="shared" si="151"/>
        <v>0</v>
      </c>
      <c r="AO53" s="188">
        <f t="shared" si="152"/>
        <v>0</v>
      </c>
      <c r="AP53" s="154"/>
      <c r="AQ53" s="154"/>
      <c r="AR53" s="154">
        <f t="shared" si="153"/>
        <v>0</v>
      </c>
      <c r="AS53" s="154"/>
      <c r="AT53" s="154"/>
      <c r="AU53" s="154"/>
      <c r="AV53" s="154">
        <f t="shared" si="154"/>
        <v>0</v>
      </c>
      <c r="AW53" s="154">
        <f t="shared" si="155"/>
        <v>544</v>
      </c>
      <c r="AX53" s="154">
        <f t="shared" si="17"/>
        <v>544</v>
      </c>
      <c r="AY53" s="4"/>
      <c r="AZ53" s="4"/>
      <c r="BA53" s="4"/>
      <c r="BB53" s="4"/>
      <c r="BC53" s="4"/>
      <c r="BD53" s="4"/>
      <c r="BE53" s="4"/>
      <c r="BF53" s="4"/>
    </row>
    <row r="54" ht="15.75" customHeight="1">
      <c r="A54" s="167" t="s">
        <v>124</v>
      </c>
      <c r="B54" s="188">
        <v>0.0</v>
      </c>
      <c r="C54" s="188">
        <v>0.0</v>
      </c>
      <c r="D54" s="188">
        <v>0.0</v>
      </c>
      <c r="E54" s="188">
        <f t="shared" si="138"/>
        <v>0</v>
      </c>
      <c r="F54" s="188">
        <v>0.0</v>
      </c>
      <c r="G54" s="188">
        <v>0.0</v>
      </c>
      <c r="H54" s="186"/>
      <c r="I54" s="188">
        <f t="shared" si="139"/>
        <v>0</v>
      </c>
      <c r="J54" s="186"/>
      <c r="K54" s="186"/>
      <c r="L54" s="186"/>
      <c r="M54" s="188">
        <f t="shared" si="140"/>
        <v>0</v>
      </c>
      <c r="N54" s="186"/>
      <c r="O54" s="186"/>
      <c r="P54" s="186"/>
      <c r="Q54" s="188">
        <f t="shared" si="141"/>
        <v>0</v>
      </c>
      <c r="R54" s="188">
        <f t="shared" si="142"/>
        <v>0</v>
      </c>
      <c r="S54" s="190"/>
      <c r="T54" s="186">
        <v>0.0</v>
      </c>
      <c r="U54" s="154">
        <f t="shared" si="143"/>
        <v>0</v>
      </c>
      <c r="V54" s="190"/>
      <c r="W54" s="190"/>
      <c r="X54" s="154">
        <f t="shared" si="144"/>
        <v>0</v>
      </c>
      <c r="Y54" s="188">
        <v>681.0</v>
      </c>
      <c r="Z54" s="188">
        <v>681.0</v>
      </c>
      <c r="AA54" s="154">
        <f t="shared" si="145"/>
        <v>0</v>
      </c>
      <c r="AB54" s="188">
        <f t="shared" si="146"/>
        <v>681</v>
      </c>
      <c r="AC54" s="188">
        <v>0.0</v>
      </c>
      <c r="AD54" s="188">
        <v>0.0</v>
      </c>
      <c r="AE54" s="154">
        <f t="shared" si="147"/>
        <v>0</v>
      </c>
      <c r="AF54" s="188">
        <v>0.0</v>
      </c>
      <c r="AG54" s="188">
        <v>0.0</v>
      </c>
      <c r="AH54" s="154">
        <f t="shared" si="148"/>
        <v>0</v>
      </c>
      <c r="AI54" s="188">
        <v>743.0</v>
      </c>
      <c r="AJ54" s="188">
        <v>743.0</v>
      </c>
      <c r="AK54" s="154">
        <f t="shared" si="149"/>
        <v>0</v>
      </c>
      <c r="AL54" s="154">
        <f t="shared" si="150"/>
        <v>743</v>
      </c>
      <c r="AM54" s="154">
        <v>220.0</v>
      </c>
      <c r="AN54" s="188">
        <f t="shared" si="151"/>
        <v>0</v>
      </c>
      <c r="AO54" s="188">
        <f t="shared" si="152"/>
        <v>220</v>
      </c>
      <c r="AP54" s="154"/>
      <c r="AQ54" s="154"/>
      <c r="AR54" s="154">
        <f t="shared" si="153"/>
        <v>440</v>
      </c>
      <c r="AS54" s="154"/>
      <c r="AT54" s="154"/>
      <c r="AU54" s="154"/>
      <c r="AV54" s="154">
        <f t="shared" si="154"/>
        <v>0</v>
      </c>
      <c r="AW54" s="154">
        <f t="shared" si="155"/>
        <v>1864</v>
      </c>
      <c r="AX54" s="154">
        <f t="shared" si="17"/>
        <v>1864</v>
      </c>
      <c r="AY54" s="4"/>
      <c r="AZ54" s="4"/>
      <c r="BA54" s="4"/>
      <c r="BB54" s="4"/>
      <c r="BC54" s="4"/>
      <c r="BD54" s="4"/>
      <c r="BE54" s="4"/>
      <c r="BF54" s="4"/>
    </row>
    <row r="55" ht="15.75" customHeight="1">
      <c r="A55" s="167" t="s">
        <v>125</v>
      </c>
      <c r="B55" s="188">
        <v>0.0</v>
      </c>
      <c r="C55" s="188">
        <v>0.0</v>
      </c>
      <c r="D55" s="188">
        <v>0.0</v>
      </c>
      <c r="E55" s="188">
        <f t="shared" si="138"/>
        <v>0</v>
      </c>
      <c r="F55" s="188">
        <v>0.0</v>
      </c>
      <c r="G55" s="188">
        <v>0.0</v>
      </c>
      <c r="H55" s="186"/>
      <c r="I55" s="188">
        <f t="shared" si="139"/>
        <v>0</v>
      </c>
      <c r="J55" s="186"/>
      <c r="K55" s="186"/>
      <c r="L55" s="186"/>
      <c r="M55" s="188">
        <f t="shared" si="140"/>
        <v>0</v>
      </c>
      <c r="N55" s="186"/>
      <c r="O55" s="186"/>
      <c r="P55" s="186"/>
      <c r="Q55" s="188">
        <f t="shared" si="141"/>
        <v>0</v>
      </c>
      <c r="R55" s="188">
        <f t="shared" si="142"/>
        <v>0</v>
      </c>
      <c r="S55" s="190"/>
      <c r="T55" s="186">
        <v>0.0</v>
      </c>
      <c r="U55" s="154">
        <f t="shared" si="143"/>
        <v>0</v>
      </c>
      <c r="V55" s="190"/>
      <c r="W55" s="190"/>
      <c r="X55" s="154">
        <f t="shared" si="144"/>
        <v>0</v>
      </c>
      <c r="Y55" s="188">
        <v>209.0</v>
      </c>
      <c r="Z55" s="188">
        <v>209.0</v>
      </c>
      <c r="AA55" s="154">
        <f t="shared" si="145"/>
        <v>0</v>
      </c>
      <c r="AB55" s="188">
        <f t="shared" si="146"/>
        <v>209</v>
      </c>
      <c r="AC55" s="188">
        <v>0.0</v>
      </c>
      <c r="AD55" s="188">
        <v>0.0</v>
      </c>
      <c r="AE55" s="154">
        <f t="shared" si="147"/>
        <v>0</v>
      </c>
      <c r="AF55" s="188">
        <v>48.0</v>
      </c>
      <c r="AG55" s="188">
        <v>48.0</v>
      </c>
      <c r="AH55" s="154">
        <f t="shared" si="148"/>
        <v>0</v>
      </c>
      <c r="AI55" s="188">
        <v>474.0</v>
      </c>
      <c r="AJ55" s="188">
        <v>474.0</v>
      </c>
      <c r="AK55" s="154">
        <f t="shared" si="149"/>
        <v>0</v>
      </c>
      <c r="AL55" s="154">
        <f t="shared" si="150"/>
        <v>570</v>
      </c>
      <c r="AM55" s="154">
        <v>145.0</v>
      </c>
      <c r="AN55" s="188">
        <f t="shared" si="151"/>
        <v>0</v>
      </c>
      <c r="AO55" s="188">
        <f t="shared" si="152"/>
        <v>145</v>
      </c>
      <c r="AP55" s="154"/>
      <c r="AQ55" s="154"/>
      <c r="AR55" s="154">
        <f t="shared" si="153"/>
        <v>290</v>
      </c>
      <c r="AS55" s="154"/>
      <c r="AT55" s="154"/>
      <c r="AU55" s="154"/>
      <c r="AV55" s="154">
        <f t="shared" si="154"/>
        <v>0</v>
      </c>
      <c r="AW55" s="154">
        <f t="shared" si="155"/>
        <v>1069</v>
      </c>
      <c r="AX55" s="154">
        <f t="shared" si="17"/>
        <v>1069</v>
      </c>
      <c r="AY55" s="4"/>
      <c r="AZ55" s="4"/>
      <c r="BA55" s="4"/>
      <c r="BB55" s="4"/>
      <c r="BC55" s="4"/>
      <c r="BD55" s="4"/>
      <c r="BE55" s="4"/>
      <c r="BF55" s="4"/>
    </row>
    <row r="56" ht="15.75" customHeight="1">
      <c r="A56" s="137" t="s">
        <v>126</v>
      </c>
      <c r="B56" s="191">
        <f t="shared" ref="B56:AW56" si="156">SUM(B57:B62)</f>
        <v>4</v>
      </c>
      <c r="C56" s="191">
        <f t="shared" si="156"/>
        <v>2</v>
      </c>
      <c r="D56" s="191">
        <f t="shared" si="156"/>
        <v>0</v>
      </c>
      <c r="E56" s="191">
        <f t="shared" si="156"/>
        <v>6</v>
      </c>
      <c r="F56" s="191">
        <f t="shared" si="156"/>
        <v>0</v>
      </c>
      <c r="G56" s="191">
        <f t="shared" si="156"/>
        <v>0</v>
      </c>
      <c r="H56" s="191">
        <f t="shared" si="156"/>
        <v>0</v>
      </c>
      <c r="I56" s="191">
        <f t="shared" si="156"/>
        <v>0</v>
      </c>
      <c r="J56" s="191">
        <f t="shared" si="156"/>
        <v>3</v>
      </c>
      <c r="K56" s="191">
        <f t="shared" si="156"/>
        <v>0</v>
      </c>
      <c r="L56" s="191">
        <f t="shared" si="156"/>
        <v>0</v>
      </c>
      <c r="M56" s="191">
        <f t="shared" si="156"/>
        <v>3</v>
      </c>
      <c r="N56" s="191">
        <f t="shared" si="156"/>
        <v>2</v>
      </c>
      <c r="O56" s="191">
        <f t="shared" si="156"/>
        <v>0</v>
      </c>
      <c r="P56" s="191">
        <f t="shared" si="156"/>
        <v>0</v>
      </c>
      <c r="Q56" s="191">
        <f t="shared" si="156"/>
        <v>2</v>
      </c>
      <c r="R56" s="191">
        <f t="shared" si="156"/>
        <v>11</v>
      </c>
      <c r="S56" s="187">
        <f t="shared" si="156"/>
        <v>3485</v>
      </c>
      <c r="T56" s="187">
        <f t="shared" si="156"/>
        <v>3485</v>
      </c>
      <c r="U56" s="141">
        <f t="shared" si="156"/>
        <v>0</v>
      </c>
      <c r="V56" s="187">
        <f t="shared" si="156"/>
        <v>5317</v>
      </c>
      <c r="W56" s="187">
        <f t="shared" si="156"/>
        <v>5304</v>
      </c>
      <c r="X56" s="141">
        <f t="shared" si="156"/>
        <v>-13</v>
      </c>
      <c r="Y56" s="187">
        <f t="shared" si="156"/>
        <v>3225</v>
      </c>
      <c r="Z56" s="187">
        <f t="shared" si="156"/>
        <v>5568</v>
      </c>
      <c r="AA56" s="141">
        <f t="shared" si="156"/>
        <v>2343</v>
      </c>
      <c r="AB56" s="187">
        <f t="shared" si="156"/>
        <v>20803</v>
      </c>
      <c r="AC56" s="187">
        <f t="shared" si="156"/>
        <v>1917</v>
      </c>
      <c r="AD56" s="187">
        <f t="shared" si="156"/>
        <v>1917</v>
      </c>
      <c r="AE56" s="141">
        <f t="shared" si="156"/>
        <v>0</v>
      </c>
      <c r="AF56" s="187">
        <f t="shared" si="156"/>
        <v>670</v>
      </c>
      <c r="AG56" s="141">
        <f t="shared" si="156"/>
        <v>5984</v>
      </c>
      <c r="AH56" s="141">
        <f t="shared" si="156"/>
        <v>5314</v>
      </c>
      <c r="AI56" s="187">
        <f t="shared" si="156"/>
        <v>2897</v>
      </c>
      <c r="AJ56" s="141">
        <f t="shared" si="156"/>
        <v>5124</v>
      </c>
      <c r="AK56" s="141">
        <f t="shared" si="156"/>
        <v>2227</v>
      </c>
      <c r="AL56" s="141">
        <f t="shared" si="156"/>
        <v>18699</v>
      </c>
      <c r="AM56" s="141">
        <f t="shared" si="156"/>
        <v>5333</v>
      </c>
      <c r="AN56" s="187">
        <f t="shared" si="156"/>
        <v>9871</v>
      </c>
      <c r="AO56" s="187">
        <f t="shared" si="156"/>
        <v>15204</v>
      </c>
      <c r="AP56" s="141">
        <f t="shared" si="156"/>
        <v>0</v>
      </c>
      <c r="AQ56" s="141">
        <f t="shared" si="156"/>
        <v>0</v>
      </c>
      <c r="AR56" s="141">
        <f t="shared" si="156"/>
        <v>30408</v>
      </c>
      <c r="AS56" s="141">
        <f t="shared" si="156"/>
        <v>0</v>
      </c>
      <c r="AT56" s="141">
        <f t="shared" si="156"/>
        <v>0</v>
      </c>
      <c r="AU56" s="141">
        <f t="shared" si="156"/>
        <v>0</v>
      </c>
      <c r="AV56" s="141">
        <f t="shared" si="156"/>
        <v>0</v>
      </c>
      <c r="AW56" s="141">
        <f t="shared" si="156"/>
        <v>69910</v>
      </c>
      <c r="AX56" s="141">
        <f t="shared" si="17"/>
        <v>69921</v>
      </c>
      <c r="AY56" s="4"/>
      <c r="AZ56" s="4"/>
      <c r="BA56" s="4"/>
      <c r="BB56" s="4"/>
      <c r="BC56" s="4"/>
      <c r="BD56" s="4"/>
      <c r="BE56" s="4"/>
      <c r="BF56" s="4"/>
    </row>
    <row r="57" ht="15.75" customHeight="1">
      <c r="A57" s="167" t="s">
        <v>127</v>
      </c>
      <c r="B57" s="188">
        <v>0.0</v>
      </c>
      <c r="C57" s="188">
        <v>0.0</v>
      </c>
      <c r="D57" s="188">
        <v>0.0</v>
      </c>
      <c r="E57" s="188">
        <f t="shared" ref="E57:E62" si="157">SUM(B57:D57)</f>
        <v>0</v>
      </c>
      <c r="F57" s="188">
        <v>0.0</v>
      </c>
      <c r="G57" s="188">
        <v>0.0</v>
      </c>
      <c r="H57" s="188">
        <v>0.0</v>
      </c>
      <c r="I57" s="188">
        <f t="shared" ref="I57:I62" si="158">SUM(F57:H57)</f>
        <v>0</v>
      </c>
      <c r="J57" s="188">
        <v>2.0</v>
      </c>
      <c r="K57" s="186"/>
      <c r="L57" s="188">
        <v>0.0</v>
      </c>
      <c r="M57" s="188">
        <f t="shared" ref="M57:M62" si="159">SUM(J57:L57)</f>
        <v>2</v>
      </c>
      <c r="N57" s="188">
        <v>0.0</v>
      </c>
      <c r="O57" s="188">
        <v>0.0</v>
      </c>
      <c r="P57" s="188">
        <v>0.0</v>
      </c>
      <c r="Q57" s="188">
        <f t="shared" ref="Q57:Q62" si="160">SUM(N57:P57)</f>
        <v>0</v>
      </c>
      <c r="R57" s="188">
        <f t="shared" ref="R57:R62" si="161">SUM(E57,I57,M57,Q57)</f>
        <v>2</v>
      </c>
      <c r="S57" s="188">
        <v>987.0</v>
      </c>
      <c r="T57" s="188">
        <v>987.0</v>
      </c>
      <c r="U57" s="154">
        <f t="shared" ref="U57:U62" si="162">T57-S57</f>
        <v>0</v>
      </c>
      <c r="V57" s="188">
        <v>990.0</v>
      </c>
      <c r="W57" s="188">
        <v>990.0</v>
      </c>
      <c r="X57" s="154">
        <f t="shared" ref="X57:X62" si="163">W57-V57</f>
        <v>0</v>
      </c>
      <c r="Y57" s="188">
        <v>538.0</v>
      </c>
      <c r="Z57" s="188">
        <v>995.0</v>
      </c>
      <c r="AA57" s="154">
        <f t="shared" ref="AA57:AA62" si="164">Z57-Y57</f>
        <v>457</v>
      </c>
      <c r="AB57" s="188">
        <f t="shared" ref="AB57:AB62" si="165">SUM(S57:Y57)</f>
        <v>4492</v>
      </c>
      <c r="AC57" s="188">
        <v>25.0</v>
      </c>
      <c r="AD57" s="188">
        <v>25.0</v>
      </c>
      <c r="AE57" s="154">
        <f t="shared" ref="AE57:AE62" si="166">AD57-AC57</f>
        <v>0</v>
      </c>
      <c r="AF57" s="188">
        <v>5.0</v>
      </c>
      <c r="AG57" s="154">
        <v>995.0</v>
      </c>
      <c r="AH57" s="154">
        <f t="shared" ref="AH57:AH62" si="167">AG57-AF57</f>
        <v>990</v>
      </c>
      <c r="AI57" s="188">
        <v>573.0</v>
      </c>
      <c r="AJ57" s="154">
        <v>997.0</v>
      </c>
      <c r="AK57" s="154">
        <f t="shared" ref="AK57:AK62" si="168">AJ57-AI57</f>
        <v>424</v>
      </c>
      <c r="AL57" s="154">
        <f t="shared" ref="AL57:AL62" si="169">SUM(AC57:AI57)</f>
        <v>2613</v>
      </c>
      <c r="AM57" s="154">
        <v>1095.0</v>
      </c>
      <c r="AN57" s="188">
        <f t="shared" ref="AN57:AN62" si="170">SUM(U57,X57,AA57,AE57,AH57,AK57)</f>
        <v>1871</v>
      </c>
      <c r="AO57" s="188">
        <f t="shared" ref="AO57:AO62" si="171">AM57+AN57</f>
        <v>2966</v>
      </c>
      <c r="AP57" s="154"/>
      <c r="AQ57" s="154"/>
      <c r="AR57" s="154">
        <f t="shared" ref="AR57:AR62" si="172">SUM(AM57:AQ57)</f>
        <v>5932</v>
      </c>
      <c r="AS57" s="154"/>
      <c r="AT57" s="154"/>
      <c r="AU57" s="154"/>
      <c r="AV57" s="154">
        <f t="shared" ref="AV57:AV62" si="173">SUM(AS57:AU57)</f>
        <v>0</v>
      </c>
      <c r="AW57" s="154">
        <f t="shared" ref="AW57:AW62" si="174">SUM(AB57,AL57,AR57,AV57)</f>
        <v>13037</v>
      </c>
      <c r="AX57" s="154">
        <f t="shared" si="17"/>
        <v>13039</v>
      </c>
      <c r="AY57" s="4"/>
      <c r="AZ57" s="4"/>
      <c r="BA57" s="4"/>
      <c r="BB57" s="4"/>
      <c r="BC57" s="4"/>
      <c r="BD57" s="4"/>
      <c r="BE57" s="4"/>
      <c r="BF57" s="4"/>
    </row>
    <row r="58" ht="15.75" customHeight="1">
      <c r="A58" s="167" t="s">
        <v>128</v>
      </c>
      <c r="B58" s="188">
        <v>0.0</v>
      </c>
      <c r="C58" s="188">
        <v>0.0</v>
      </c>
      <c r="D58" s="188">
        <v>0.0</v>
      </c>
      <c r="E58" s="188">
        <f t="shared" si="157"/>
        <v>0</v>
      </c>
      <c r="F58" s="188">
        <v>0.0</v>
      </c>
      <c r="G58" s="188">
        <v>0.0</v>
      </c>
      <c r="H58" s="186"/>
      <c r="I58" s="188">
        <f t="shared" si="158"/>
        <v>0</v>
      </c>
      <c r="J58" s="186"/>
      <c r="K58" s="186"/>
      <c r="L58" s="188">
        <v>0.0</v>
      </c>
      <c r="M58" s="188">
        <f t="shared" si="159"/>
        <v>0</v>
      </c>
      <c r="N58" s="186"/>
      <c r="O58" s="186"/>
      <c r="P58" s="186"/>
      <c r="Q58" s="188">
        <f t="shared" si="160"/>
        <v>0</v>
      </c>
      <c r="R58" s="188">
        <f t="shared" si="161"/>
        <v>0</v>
      </c>
      <c r="S58" s="188">
        <v>210.0</v>
      </c>
      <c r="T58" s="188">
        <v>210.0</v>
      </c>
      <c r="U58" s="154">
        <f t="shared" si="162"/>
        <v>0</v>
      </c>
      <c r="V58" s="188">
        <v>574.0</v>
      </c>
      <c r="W58" s="188">
        <v>572.0</v>
      </c>
      <c r="X58" s="154">
        <f t="shared" si="163"/>
        <v>-2</v>
      </c>
      <c r="Y58" s="188">
        <v>259.0</v>
      </c>
      <c r="Z58" s="188">
        <v>455.0</v>
      </c>
      <c r="AA58" s="154">
        <f t="shared" si="164"/>
        <v>196</v>
      </c>
      <c r="AB58" s="188">
        <f t="shared" si="165"/>
        <v>1823</v>
      </c>
      <c r="AC58" s="188">
        <v>97.0</v>
      </c>
      <c r="AD58" s="188">
        <v>97.0</v>
      </c>
      <c r="AE58" s="154">
        <f t="shared" si="166"/>
        <v>0</v>
      </c>
      <c r="AF58" s="188">
        <v>314.0</v>
      </c>
      <c r="AG58" s="154">
        <v>1087.0</v>
      </c>
      <c r="AH58" s="154">
        <f t="shared" si="167"/>
        <v>773</v>
      </c>
      <c r="AI58" s="188">
        <v>316.0</v>
      </c>
      <c r="AJ58" s="154">
        <v>593.0</v>
      </c>
      <c r="AK58" s="154">
        <f t="shared" si="168"/>
        <v>277</v>
      </c>
      <c r="AL58" s="154">
        <f t="shared" si="169"/>
        <v>2684</v>
      </c>
      <c r="AM58" s="154">
        <v>909.0</v>
      </c>
      <c r="AN58" s="188">
        <f t="shared" si="170"/>
        <v>1244</v>
      </c>
      <c r="AO58" s="188">
        <f t="shared" si="171"/>
        <v>2153</v>
      </c>
      <c r="AP58" s="154"/>
      <c r="AQ58" s="154"/>
      <c r="AR58" s="154">
        <f t="shared" si="172"/>
        <v>4306</v>
      </c>
      <c r="AS58" s="154"/>
      <c r="AT58" s="154"/>
      <c r="AU58" s="154"/>
      <c r="AV58" s="154">
        <f t="shared" si="173"/>
        <v>0</v>
      </c>
      <c r="AW58" s="154">
        <f t="shared" si="174"/>
        <v>8813</v>
      </c>
      <c r="AX58" s="154">
        <f t="shared" si="17"/>
        <v>8813</v>
      </c>
      <c r="AY58" s="4"/>
      <c r="AZ58" s="4"/>
      <c r="BA58" s="4"/>
      <c r="BB58" s="4"/>
      <c r="BC58" s="4"/>
      <c r="BD58" s="4"/>
      <c r="BE58" s="4"/>
      <c r="BF58" s="4"/>
    </row>
    <row r="59" ht="15.75" customHeight="1">
      <c r="A59" s="167" t="s">
        <v>129</v>
      </c>
      <c r="B59" s="188">
        <v>0.0</v>
      </c>
      <c r="C59" s="188">
        <v>0.0</v>
      </c>
      <c r="D59" s="188">
        <v>0.0</v>
      </c>
      <c r="E59" s="188">
        <f t="shared" si="157"/>
        <v>0</v>
      </c>
      <c r="F59" s="188">
        <v>0.0</v>
      </c>
      <c r="G59" s="188">
        <v>0.0</v>
      </c>
      <c r="H59" s="186"/>
      <c r="I59" s="188">
        <f t="shared" si="158"/>
        <v>0</v>
      </c>
      <c r="J59" s="186"/>
      <c r="K59" s="186"/>
      <c r="L59" s="186"/>
      <c r="M59" s="188">
        <f t="shared" si="159"/>
        <v>0</v>
      </c>
      <c r="N59" s="186"/>
      <c r="O59" s="186"/>
      <c r="P59" s="186"/>
      <c r="Q59" s="188">
        <f t="shared" si="160"/>
        <v>0</v>
      </c>
      <c r="R59" s="188">
        <f t="shared" si="161"/>
        <v>0</v>
      </c>
      <c r="S59" s="188">
        <v>927.0</v>
      </c>
      <c r="T59" s="188">
        <v>927.0</v>
      </c>
      <c r="U59" s="154">
        <f t="shared" si="162"/>
        <v>0</v>
      </c>
      <c r="V59" s="188">
        <v>667.0</v>
      </c>
      <c r="W59" s="188">
        <v>667.0</v>
      </c>
      <c r="X59" s="154">
        <f t="shared" si="163"/>
        <v>0</v>
      </c>
      <c r="Y59" s="188">
        <v>340.0</v>
      </c>
      <c r="Z59" s="188">
        <v>556.0</v>
      </c>
      <c r="AA59" s="154">
        <f t="shared" si="164"/>
        <v>216</v>
      </c>
      <c r="AB59" s="188">
        <f t="shared" si="165"/>
        <v>3528</v>
      </c>
      <c r="AC59" s="188">
        <v>0.0</v>
      </c>
      <c r="AD59" s="188">
        <v>0.0</v>
      </c>
      <c r="AE59" s="154">
        <f t="shared" si="166"/>
        <v>0</v>
      </c>
      <c r="AF59" s="188">
        <v>85.0</v>
      </c>
      <c r="AG59" s="154">
        <v>752.0</v>
      </c>
      <c r="AH59" s="154">
        <f t="shared" si="167"/>
        <v>667</v>
      </c>
      <c r="AI59" s="188">
        <v>399.0</v>
      </c>
      <c r="AJ59" s="154">
        <v>693.0</v>
      </c>
      <c r="AK59" s="154">
        <f t="shared" si="168"/>
        <v>294</v>
      </c>
      <c r="AL59" s="154">
        <f t="shared" si="169"/>
        <v>1903</v>
      </c>
      <c r="AM59" s="154">
        <v>810.0</v>
      </c>
      <c r="AN59" s="188">
        <f t="shared" si="170"/>
        <v>1177</v>
      </c>
      <c r="AO59" s="188">
        <f t="shared" si="171"/>
        <v>1987</v>
      </c>
      <c r="AP59" s="154"/>
      <c r="AQ59" s="154"/>
      <c r="AR59" s="154">
        <f t="shared" si="172"/>
        <v>3974</v>
      </c>
      <c r="AS59" s="154"/>
      <c r="AT59" s="154"/>
      <c r="AU59" s="154"/>
      <c r="AV59" s="154">
        <f t="shared" si="173"/>
        <v>0</v>
      </c>
      <c r="AW59" s="154">
        <f t="shared" si="174"/>
        <v>9405</v>
      </c>
      <c r="AX59" s="154">
        <f t="shared" si="17"/>
        <v>9405</v>
      </c>
      <c r="AY59" s="4"/>
      <c r="AZ59" s="4"/>
      <c r="BA59" s="4"/>
      <c r="BB59" s="4"/>
      <c r="BC59" s="4"/>
      <c r="BD59" s="4"/>
      <c r="BE59" s="4"/>
      <c r="BF59" s="4"/>
    </row>
    <row r="60" ht="15.75" customHeight="1">
      <c r="A60" s="167" t="s">
        <v>130</v>
      </c>
      <c r="B60" s="188">
        <v>4.0</v>
      </c>
      <c r="C60" s="188">
        <v>2.0</v>
      </c>
      <c r="D60" s="188">
        <v>0.0</v>
      </c>
      <c r="E60" s="188">
        <f t="shared" si="157"/>
        <v>6</v>
      </c>
      <c r="F60" s="188">
        <v>0.0</v>
      </c>
      <c r="G60" s="188">
        <v>0.0</v>
      </c>
      <c r="H60" s="188">
        <v>0.0</v>
      </c>
      <c r="I60" s="188">
        <f t="shared" si="158"/>
        <v>0</v>
      </c>
      <c r="J60" s="188">
        <v>0.0</v>
      </c>
      <c r="K60" s="186"/>
      <c r="L60" s="188">
        <v>0.0</v>
      </c>
      <c r="M60" s="188">
        <f t="shared" si="159"/>
        <v>0</v>
      </c>
      <c r="N60" s="188">
        <v>0.0</v>
      </c>
      <c r="O60" s="188">
        <v>0.0</v>
      </c>
      <c r="P60" s="186"/>
      <c r="Q60" s="188">
        <f t="shared" si="160"/>
        <v>0</v>
      </c>
      <c r="R60" s="188">
        <f t="shared" si="161"/>
        <v>6</v>
      </c>
      <c r="S60" s="190"/>
      <c r="T60" s="190"/>
      <c r="U60" s="154">
        <f t="shared" si="162"/>
        <v>0</v>
      </c>
      <c r="V60" s="188">
        <v>201.0</v>
      </c>
      <c r="W60" s="188">
        <v>202.0</v>
      </c>
      <c r="X60" s="154">
        <f t="shared" si="163"/>
        <v>1</v>
      </c>
      <c r="Y60" s="188">
        <v>9.0</v>
      </c>
      <c r="Z60" s="188">
        <v>728.0</v>
      </c>
      <c r="AA60" s="154">
        <f t="shared" si="164"/>
        <v>719</v>
      </c>
      <c r="AB60" s="188">
        <f t="shared" si="165"/>
        <v>413</v>
      </c>
      <c r="AC60" s="188">
        <v>0.0</v>
      </c>
      <c r="AD60" s="188">
        <v>0.0</v>
      </c>
      <c r="AE60" s="154">
        <f t="shared" si="166"/>
        <v>0</v>
      </c>
      <c r="AF60" s="188">
        <v>0.0</v>
      </c>
      <c r="AG60" s="154">
        <v>2.0</v>
      </c>
      <c r="AH60" s="154">
        <f t="shared" si="167"/>
        <v>2</v>
      </c>
      <c r="AI60" s="188">
        <v>2.0</v>
      </c>
      <c r="AJ60" s="154">
        <v>4.0</v>
      </c>
      <c r="AK60" s="154">
        <f t="shared" si="168"/>
        <v>2</v>
      </c>
      <c r="AL60" s="154">
        <f t="shared" si="169"/>
        <v>6</v>
      </c>
      <c r="AM60" s="154">
        <v>9.0</v>
      </c>
      <c r="AN60" s="188">
        <f t="shared" si="170"/>
        <v>724</v>
      </c>
      <c r="AO60" s="188">
        <f t="shared" si="171"/>
        <v>733</v>
      </c>
      <c r="AP60" s="154"/>
      <c r="AQ60" s="155"/>
      <c r="AR60" s="154">
        <f t="shared" si="172"/>
        <v>1466</v>
      </c>
      <c r="AS60" s="154"/>
      <c r="AT60" s="154"/>
      <c r="AU60" s="155"/>
      <c r="AV60" s="154">
        <f t="shared" si="173"/>
        <v>0</v>
      </c>
      <c r="AW60" s="154">
        <f t="shared" si="174"/>
        <v>1885</v>
      </c>
      <c r="AX60" s="154">
        <f t="shared" si="17"/>
        <v>1891</v>
      </c>
      <c r="AY60" s="4"/>
      <c r="AZ60" s="4"/>
      <c r="BA60" s="4"/>
      <c r="BB60" s="4"/>
      <c r="BC60" s="4"/>
      <c r="BD60" s="4"/>
      <c r="BE60" s="4"/>
      <c r="BF60" s="4"/>
    </row>
    <row r="61" ht="15.75" customHeight="1">
      <c r="A61" s="169" t="s">
        <v>131</v>
      </c>
      <c r="B61" s="188">
        <v>0.0</v>
      </c>
      <c r="C61" s="188">
        <v>0.0</v>
      </c>
      <c r="D61" s="188">
        <v>0.0</v>
      </c>
      <c r="E61" s="188">
        <f t="shared" si="157"/>
        <v>0</v>
      </c>
      <c r="F61" s="188">
        <v>0.0</v>
      </c>
      <c r="G61" s="188">
        <v>0.0</v>
      </c>
      <c r="H61" s="188">
        <v>0.0</v>
      </c>
      <c r="I61" s="188">
        <f t="shared" si="158"/>
        <v>0</v>
      </c>
      <c r="J61" s="188">
        <v>1.0</v>
      </c>
      <c r="K61" s="188">
        <v>0.0</v>
      </c>
      <c r="L61" s="188">
        <v>0.0</v>
      </c>
      <c r="M61" s="188">
        <f t="shared" si="159"/>
        <v>1</v>
      </c>
      <c r="N61" s="188">
        <v>2.0</v>
      </c>
      <c r="O61" s="188">
        <v>0.0</v>
      </c>
      <c r="P61" s="188">
        <v>0.0</v>
      </c>
      <c r="Q61" s="188">
        <f t="shared" si="160"/>
        <v>2</v>
      </c>
      <c r="R61" s="188">
        <f t="shared" si="161"/>
        <v>3</v>
      </c>
      <c r="S61" s="188">
        <v>1260.0</v>
      </c>
      <c r="T61" s="188">
        <v>1260.0</v>
      </c>
      <c r="U61" s="154">
        <f t="shared" si="162"/>
        <v>0</v>
      </c>
      <c r="V61" s="188">
        <v>1905.0</v>
      </c>
      <c r="W61" s="188">
        <f>1849+48</f>
        <v>1897</v>
      </c>
      <c r="X61" s="154">
        <f t="shared" si="163"/>
        <v>-8</v>
      </c>
      <c r="Y61" s="188">
        <v>1361.0</v>
      </c>
      <c r="Z61" s="188">
        <f>1560+15</f>
        <v>1575</v>
      </c>
      <c r="AA61" s="154">
        <f t="shared" si="164"/>
        <v>214</v>
      </c>
      <c r="AB61" s="188">
        <f t="shared" si="165"/>
        <v>7675</v>
      </c>
      <c r="AC61" s="188">
        <v>769.0</v>
      </c>
      <c r="AD61" s="188">
        <v>769.0</v>
      </c>
      <c r="AE61" s="154">
        <f t="shared" si="166"/>
        <v>0</v>
      </c>
      <c r="AF61" s="188">
        <v>0.0</v>
      </c>
      <c r="AG61" s="154">
        <v>1560.0</v>
      </c>
      <c r="AH61" s="154">
        <f t="shared" si="167"/>
        <v>1560</v>
      </c>
      <c r="AI61" s="188">
        <v>919.0</v>
      </c>
      <c r="AJ61" s="154">
        <f>1604+3</f>
        <v>1607</v>
      </c>
      <c r="AK61" s="154">
        <f t="shared" si="168"/>
        <v>688</v>
      </c>
      <c r="AL61" s="154">
        <f t="shared" si="169"/>
        <v>5577</v>
      </c>
      <c r="AM61" s="154">
        <f>1482+1</f>
        <v>1483</v>
      </c>
      <c r="AN61" s="188">
        <f t="shared" si="170"/>
        <v>2454</v>
      </c>
      <c r="AO61" s="188">
        <f t="shared" si="171"/>
        <v>3937</v>
      </c>
      <c r="AP61" s="154"/>
      <c r="AQ61" s="154"/>
      <c r="AR61" s="154">
        <f t="shared" si="172"/>
        <v>7874</v>
      </c>
      <c r="AS61" s="154"/>
      <c r="AT61" s="154"/>
      <c r="AU61" s="154"/>
      <c r="AV61" s="154">
        <f t="shared" si="173"/>
        <v>0</v>
      </c>
      <c r="AW61" s="154">
        <f t="shared" si="174"/>
        <v>21126</v>
      </c>
      <c r="AX61" s="154">
        <f t="shared" si="17"/>
        <v>21129</v>
      </c>
      <c r="AY61" s="4"/>
      <c r="AZ61" s="4"/>
      <c r="BA61" s="4"/>
      <c r="BB61" s="4"/>
      <c r="BC61" s="4"/>
      <c r="BD61" s="4"/>
      <c r="BE61" s="4"/>
      <c r="BF61" s="4"/>
    </row>
    <row r="62" ht="15.75" customHeight="1">
      <c r="A62" s="169" t="s">
        <v>132</v>
      </c>
      <c r="B62" s="188">
        <v>0.0</v>
      </c>
      <c r="C62" s="188">
        <v>0.0</v>
      </c>
      <c r="D62" s="188">
        <v>0.0</v>
      </c>
      <c r="E62" s="188">
        <f t="shared" si="157"/>
        <v>0</v>
      </c>
      <c r="F62" s="188">
        <v>0.0</v>
      </c>
      <c r="G62" s="188">
        <v>0.0</v>
      </c>
      <c r="H62" s="188">
        <v>0.0</v>
      </c>
      <c r="I62" s="188">
        <f t="shared" si="158"/>
        <v>0</v>
      </c>
      <c r="J62" s="188">
        <v>0.0</v>
      </c>
      <c r="K62" s="188">
        <v>0.0</v>
      </c>
      <c r="L62" s="188">
        <v>0.0</v>
      </c>
      <c r="M62" s="188">
        <f t="shared" si="159"/>
        <v>0</v>
      </c>
      <c r="N62" s="188">
        <v>0.0</v>
      </c>
      <c r="O62" s="188">
        <v>0.0</v>
      </c>
      <c r="P62" s="188">
        <v>0.0</v>
      </c>
      <c r="Q62" s="188">
        <f t="shared" si="160"/>
        <v>0</v>
      </c>
      <c r="R62" s="188">
        <f t="shared" si="161"/>
        <v>0</v>
      </c>
      <c r="S62" s="188">
        <v>101.0</v>
      </c>
      <c r="T62" s="188">
        <v>101.0</v>
      </c>
      <c r="U62" s="154">
        <f t="shared" si="162"/>
        <v>0</v>
      </c>
      <c r="V62" s="188">
        <v>980.0</v>
      </c>
      <c r="W62" s="188">
        <f>5+971</f>
        <v>976</v>
      </c>
      <c r="X62" s="154">
        <f t="shared" si="163"/>
        <v>-4</v>
      </c>
      <c r="Y62" s="188">
        <v>718.0</v>
      </c>
      <c r="Z62" s="188">
        <f>1257+2</f>
        <v>1259</v>
      </c>
      <c r="AA62" s="154">
        <f t="shared" si="164"/>
        <v>541</v>
      </c>
      <c r="AB62" s="188">
        <f t="shared" si="165"/>
        <v>2872</v>
      </c>
      <c r="AC62" s="188">
        <v>1026.0</v>
      </c>
      <c r="AD62" s="188">
        <v>1026.0</v>
      </c>
      <c r="AE62" s="154">
        <f t="shared" si="166"/>
        <v>0</v>
      </c>
      <c r="AF62" s="188">
        <v>266.0</v>
      </c>
      <c r="AG62" s="154">
        <v>1588.0</v>
      </c>
      <c r="AH62" s="154">
        <f t="shared" si="167"/>
        <v>1322</v>
      </c>
      <c r="AI62" s="188">
        <v>688.0</v>
      </c>
      <c r="AJ62" s="154">
        <v>1230.0</v>
      </c>
      <c r="AK62" s="154">
        <f t="shared" si="168"/>
        <v>542</v>
      </c>
      <c r="AL62" s="154">
        <f t="shared" si="169"/>
        <v>5916</v>
      </c>
      <c r="AM62" s="154">
        <v>1027.0</v>
      </c>
      <c r="AN62" s="188">
        <f t="shared" si="170"/>
        <v>2401</v>
      </c>
      <c r="AO62" s="188">
        <f t="shared" si="171"/>
        <v>3428</v>
      </c>
      <c r="AP62" s="154"/>
      <c r="AQ62" s="154"/>
      <c r="AR62" s="154">
        <f t="shared" si="172"/>
        <v>6856</v>
      </c>
      <c r="AS62" s="154"/>
      <c r="AT62" s="154"/>
      <c r="AU62" s="154"/>
      <c r="AV62" s="154">
        <f t="shared" si="173"/>
        <v>0</v>
      </c>
      <c r="AW62" s="154">
        <f t="shared" si="174"/>
        <v>15644</v>
      </c>
      <c r="AX62" s="154">
        <f t="shared" si="17"/>
        <v>15644</v>
      </c>
      <c r="AY62" s="4"/>
      <c r="AZ62" s="4"/>
      <c r="BA62" s="4"/>
      <c r="BB62" s="4"/>
      <c r="BC62" s="4"/>
      <c r="BD62" s="4"/>
      <c r="BE62" s="4"/>
      <c r="BF62" s="4"/>
    </row>
    <row r="63" ht="15.75" customHeight="1">
      <c r="A63" s="137" t="s">
        <v>133</v>
      </c>
      <c r="B63" s="141">
        <f t="shared" ref="B63:AW63" si="175">SUM(B64:B67)</f>
        <v>0</v>
      </c>
      <c r="C63" s="141">
        <f t="shared" si="175"/>
        <v>0</v>
      </c>
      <c r="D63" s="141">
        <f t="shared" si="175"/>
        <v>0</v>
      </c>
      <c r="E63" s="141">
        <f t="shared" si="175"/>
        <v>0</v>
      </c>
      <c r="F63" s="141">
        <f t="shared" si="175"/>
        <v>0</v>
      </c>
      <c r="G63" s="141">
        <f t="shared" si="175"/>
        <v>0</v>
      </c>
      <c r="H63" s="141">
        <f t="shared" si="175"/>
        <v>1</v>
      </c>
      <c r="I63" s="141">
        <f t="shared" si="175"/>
        <v>1</v>
      </c>
      <c r="J63" s="141">
        <f t="shared" si="175"/>
        <v>143</v>
      </c>
      <c r="K63" s="141">
        <f t="shared" si="175"/>
        <v>0</v>
      </c>
      <c r="L63" s="141">
        <f t="shared" si="175"/>
        <v>0</v>
      </c>
      <c r="M63" s="141">
        <f t="shared" si="175"/>
        <v>143</v>
      </c>
      <c r="N63" s="141">
        <f t="shared" si="175"/>
        <v>68</v>
      </c>
      <c r="O63" s="141">
        <f t="shared" si="175"/>
        <v>0</v>
      </c>
      <c r="P63" s="141">
        <f t="shared" si="175"/>
        <v>1</v>
      </c>
      <c r="Q63" s="141">
        <f t="shared" si="175"/>
        <v>69</v>
      </c>
      <c r="R63" s="141">
        <f t="shared" si="175"/>
        <v>213</v>
      </c>
      <c r="S63" s="187">
        <f t="shared" si="175"/>
        <v>0</v>
      </c>
      <c r="T63" s="187">
        <f t="shared" si="175"/>
        <v>0</v>
      </c>
      <c r="U63" s="141">
        <f t="shared" si="175"/>
        <v>0</v>
      </c>
      <c r="V63" s="187">
        <f t="shared" si="175"/>
        <v>0</v>
      </c>
      <c r="W63" s="187">
        <f t="shared" si="175"/>
        <v>0</v>
      </c>
      <c r="X63" s="141">
        <f t="shared" si="175"/>
        <v>0</v>
      </c>
      <c r="Y63" s="187">
        <f t="shared" si="175"/>
        <v>1</v>
      </c>
      <c r="Z63" s="187">
        <f t="shared" si="175"/>
        <v>1</v>
      </c>
      <c r="AA63" s="141">
        <f t="shared" si="175"/>
        <v>0</v>
      </c>
      <c r="AB63" s="141">
        <f t="shared" si="175"/>
        <v>1</v>
      </c>
      <c r="AC63" s="187">
        <f t="shared" si="175"/>
        <v>0</v>
      </c>
      <c r="AD63" s="187">
        <f t="shared" si="175"/>
        <v>0</v>
      </c>
      <c r="AE63" s="141">
        <f t="shared" si="175"/>
        <v>0</v>
      </c>
      <c r="AF63" s="187">
        <f t="shared" si="175"/>
        <v>0</v>
      </c>
      <c r="AG63" s="141">
        <f t="shared" si="175"/>
        <v>0</v>
      </c>
      <c r="AH63" s="141">
        <f t="shared" si="175"/>
        <v>0</v>
      </c>
      <c r="AI63" s="187">
        <f t="shared" si="175"/>
        <v>2</v>
      </c>
      <c r="AJ63" s="141">
        <f t="shared" si="175"/>
        <v>2</v>
      </c>
      <c r="AK63" s="141">
        <f t="shared" si="175"/>
        <v>0</v>
      </c>
      <c r="AL63" s="141">
        <f t="shared" si="175"/>
        <v>2</v>
      </c>
      <c r="AM63" s="141">
        <f t="shared" si="175"/>
        <v>9</v>
      </c>
      <c r="AN63" s="187">
        <f t="shared" si="175"/>
        <v>0</v>
      </c>
      <c r="AO63" s="187">
        <f t="shared" si="175"/>
        <v>9</v>
      </c>
      <c r="AP63" s="141">
        <f t="shared" si="175"/>
        <v>0</v>
      </c>
      <c r="AQ63" s="141">
        <f t="shared" si="175"/>
        <v>0</v>
      </c>
      <c r="AR63" s="141">
        <f t="shared" si="175"/>
        <v>18</v>
      </c>
      <c r="AS63" s="141">
        <f t="shared" si="175"/>
        <v>0</v>
      </c>
      <c r="AT63" s="141">
        <f t="shared" si="175"/>
        <v>0</v>
      </c>
      <c r="AU63" s="141">
        <f t="shared" si="175"/>
        <v>0</v>
      </c>
      <c r="AV63" s="141">
        <f t="shared" si="175"/>
        <v>0</v>
      </c>
      <c r="AW63" s="141">
        <f t="shared" si="175"/>
        <v>21</v>
      </c>
      <c r="AX63" s="141">
        <f t="shared" si="17"/>
        <v>234</v>
      </c>
      <c r="AY63" s="4"/>
      <c r="AZ63" s="4"/>
      <c r="BA63" s="4"/>
      <c r="BB63" s="4"/>
      <c r="BC63" s="4"/>
      <c r="BD63" s="4"/>
      <c r="BE63" s="4"/>
      <c r="BF63" s="4"/>
    </row>
    <row r="64" ht="15.75" customHeight="1">
      <c r="A64" s="167" t="s">
        <v>134</v>
      </c>
      <c r="B64" s="188">
        <v>0.0</v>
      </c>
      <c r="C64" s="188">
        <v>0.0</v>
      </c>
      <c r="D64" s="188">
        <v>0.0</v>
      </c>
      <c r="E64" s="188">
        <f t="shared" ref="E64:E67" si="176">SUM(B64:D64)</f>
        <v>0</v>
      </c>
      <c r="F64" s="188">
        <v>0.0</v>
      </c>
      <c r="G64" s="188">
        <v>0.0</v>
      </c>
      <c r="H64" s="188">
        <v>0.0</v>
      </c>
      <c r="I64" s="188">
        <f t="shared" ref="I64:I67" si="177">SUM(F64:H64)</f>
        <v>0</v>
      </c>
      <c r="J64" s="188">
        <v>0.0</v>
      </c>
      <c r="K64" s="186"/>
      <c r="L64" s="186"/>
      <c r="M64" s="188">
        <f t="shared" ref="M64:M67" si="178">SUM(J64:L64)</f>
        <v>0</v>
      </c>
      <c r="N64" s="188">
        <v>68.0</v>
      </c>
      <c r="O64" s="186"/>
      <c r="P64" s="188">
        <v>1.0</v>
      </c>
      <c r="Q64" s="188">
        <f t="shared" ref="Q64:Q67" si="179">SUM(N64:P64)</f>
        <v>69</v>
      </c>
      <c r="R64" s="188">
        <f t="shared" ref="R64:R67" si="180">SUM(E64,I64,M64,Q64)</f>
        <v>69</v>
      </c>
      <c r="S64" s="190"/>
      <c r="T64" s="190">
        <v>0.0</v>
      </c>
      <c r="U64" s="154">
        <f t="shared" ref="U64:U67" si="181">T64-S64</f>
        <v>0</v>
      </c>
      <c r="V64" s="190"/>
      <c r="W64" s="190"/>
      <c r="X64" s="154">
        <f t="shared" ref="X64:X67" si="182">W64-V64</f>
        <v>0</v>
      </c>
      <c r="Y64" s="188">
        <v>1.0</v>
      </c>
      <c r="Z64" s="188">
        <v>1.0</v>
      </c>
      <c r="AA64" s="154">
        <f t="shared" ref="AA64:AA67" si="183">Z64-Y64</f>
        <v>0</v>
      </c>
      <c r="AB64" s="154">
        <f t="shared" ref="AB64:AB67" si="184">SUM(S64:Y64)</f>
        <v>1</v>
      </c>
      <c r="AC64" s="188">
        <v>0.0</v>
      </c>
      <c r="AD64" s="188">
        <v>0.0</v>
      </c>
      <c r="AE64" s="154">
        <f t="shared" ref="AE64:AE67" si="185">AD64-AC64</f>
        <v>0</v>
      </c>
      <c r="AF64" s="188">
        <v>0.0</v>
      </c>
      <c r="AG64" s="188">
        <v>0.0</v>
      </c>
      <c r="AH64" s="154">
        <f t="shared" ref="AH64:AH67" si="186">AG64-AF64</f>
        <v>0</v>
      </c>
      <c r="AI64" s="188">
        <v>2.0</v>
      </c>
      <c r="AJ64" s="188">
        <v>2.0</v>
      </c>
      <c r="AK64" s="154">
        <f t="shared" ref="AK64:AK67" si="187">AJ64-AI64</f>
        <v>0</v>
      </c>
      <c r="AL64" s="154">
        <f t="shared" ref="AL64:AL67" si="188">SUM(AC64:AI64)</f>
        <v>2</v>
      </c>
      <c r="AM64" s="154">
        <v>9.0</v>
      </c>
      <c r="AN64" s="188">
        <f t="shared" ref="AN64:AN67" si="189">SUM(U64,X64,AA64,AE64,AH64,AK64)</f>
        <v>0</v>
      </c>
      <c r="AO64" s="188">
        <f t="shared" ref="AO64:AO67" si="190">AM64+AN64</f>
        <v>9</v>
      </c>
      <c r="AP64" s="154"/>
      <c r="AQ64" s="154"/>
      <c r="AR64" s="154">
        <f t="shared" ref="AR64:AR67" si="191">SUM(AM64:AQ64)</f>
        <v>18</v>
      </c>
      <c r="AS64" s="154"/>
      <c r="AT64" s="154"/>
      <c r="AU64" s="154"/>
      <c r="AV64" s="154">
        <f t="shared" ref="AV64:AV67" si="192">SUM(AS64:AU64)</f>
        <v>0</v>
      </c>
      <c r="AW64" s="154">
        <f t="shared" ref="AW64:AW67" si="193">SUM(AB64,AL64,AR64,AV64)</f>
        <v>21</v>
      </c>
      <c r="AX64" s="154">
        <f t="shared" si="17"/>
        <v>90</v>
      </c>
      <c r="AY64" s="4"/>
      <c r="AZ64" s="4"/>
      <c r="BA64" s="4"/>
      <c r="BB64" s="4"/>
      <c r="BC64" s="4"/>
      <c r="BD64" s="4"/>
      <c r="BE64" s="4"/>
      <c r="BF64" s="4"/>
    </row>
    <row r="65" ht="15.75" customHeight="1">
      <c r="A65" s="169" t="s">
        <v>135</v>
      </c>
      <c r="B65" s="188">
        <v>0.0</v>
      </c>
      <c r="C65" s="188">
        <v>0.0</v>
      </c>
      <c r="D65" s="188">
        <v>0.0</v>
      </c>
      <c r="E65" s="188">
        <f t="shared" si="176"/>
        <v>0</v>
      </c>
      <c r="F65" s="188">
        <v>0.0</v>
      </c>
      <c r="G65" s="188">
        <v>0.0</v>
      </c>
      <c r="H65" s="188">
        <v>1.0</v>
      </c>
      <c r="I65" s="188">
        <f t="shared" si="177"/>
        <v>1</v>
      </c>
      <c r="J65" s="188">
        <v>29.0</v>
      </c>
      <c r="K65" s="188">
        <v>0.0</v>
      </c>
      <c r="L65" s="188">
        <v>0.0</v>
      </c>
      <c r="M65" s="188">
        <f t="shared" si="178"/>
        <v>29</v>
      </c>
      <c r="N65" s="188">
        <v>0.0</v>
      </c>
      <c r="O65" s="188">
        <v>0.0</v>
      </c>
      <c r="P65" s="188">
        <v>0.0</v>
      </c>
      <c r="Q65" s="188">
        <f t="shared" si="179"/>
        <v>0</v>
      </c>
      <c r="R65" s="188">
        <f t="shared" si="180"/>
        <v>30</v>
      </c>
      <c r="S65" s="188">
        <v>0.0</v>
      </c>
      <c r="T65" s="188">
        <v>0.0</v>
      </c>
      <c r="U65" s="154">
        <f t="shared" si="181"/>
        <v>0</v>
      </c>
      <c r="V65" s="188">
        <v>0.0</v>
      </c>
      <c r="W65" s="188"/>
      <c r="X65" s="154">
        <f t="shared" si="182"/>
        <v>0</v>
      </c>
      <c r="Y65" s="188">
        <v>0.0</v>
      </c>
      <c r="Z65" s="188">
        <v>0.0</v>
      </c>
      <c r="AA65" s="154">
        <f t="shared" si="183"/>
        <v>0</v>
      </c>
      <c r="AB65" s="154">
        <f t="shared" si="184"/>
        <v>0</v>
      </c>
      <c r="AC65" s="188">
        <v>0.0</v>
      </c>
      <c r="AD65" s="188">
        <v>0.0</v>
      </c>
      <c r="AE65" s="154">
        <f t="shared" si="185"/>
        <v>0</v>
      </c>
      <c r="AF65" s="188">
        <v>0.0</v>
      </c>
      <c r="AG65" s="188">
        <v>0.0</v>
      </c>
      <c r="AH65" s="154">
        <f t="shared" si="186"/>
        <v>0</v>
      </c>
      <c r="AI65" s="188">
        <v>0.0</v>
      </c>
      <c r="AJ65" s="188">
        <v>0.0</v>
      </c>
      <c r="AK65" s="154">
        <f t="shared" si="187"/>
        <v>0</v>
      </c>
      <c r="AL65" s="154">
        <f t="shared" si="188"/>
        <v>0</v>
      </c>
      <c r="AM65" s="154">
        <v>0.0</v>
      </c>
      <c r="AN65" s="188">
        <f t="shared" si="189"/>
        <v>0</v>
      </c>
      <c r="AO65" s="188">
        <f t="shared" si="190"/>
        <v>0</v>
      </c>
      <c r="AP65" s="154"/>
      <c r="AQ65" s="154"/>
      <c r="AR65" s="154">
        <f t="shared" si="191"/>
        <v>0</v>
      </c>
      <c r="AS65" s="154"/>
      <c r="AT65" s="154"/>
      <c r="AU65" s="154"/>
      <c r="AV65" s="154">
        <f t="shared" si="192"/>
        <v>0</v>
      </c>
      <c r="AW65" s="154">
        <f t="shared" si="193"/>
        <v>0</v>
      </c>
      <c r="AX65" s="154">
        <f t="shared" si="17"/>
        <v>30</v>
      </c>
      <c r="AY65" s="4"/>
      <c r="AZ65" s="4"/>
      <c r="BA65" s="4"/>
      <c r="BB65" s="4"/>
      <c r="BC65" s="4"/>
      <c r="BD65" s="4"/>
      <c r="BE65" s="4"/>
      <c r="BF65" s="4"/>
    </row>
    <row r="66" ht="15.75" customHeight="1">
      <c r="A66" s="167" t="s">
        <v>136</v>
      </c>
      <c r="B66" s="188">
        <v>0.0</v>
      </c>
      <c r="C66" s="188">
        <v>0.0</v>
      </c>
      <c r="D66" s="188">
        <v>0.0</v>
      </c>
      <c r="E66" s="188">
        <f t="shared" si="176"/>
        <v>0</v>
      </c>
      <c r="F66" s="188">
        <v>0.0</v>
      </c>
      <c r="G66" s="188">
        <v>0.0</v>
      </c>
      <c r="H66" s="188">
        <v>0.0</v>
      </c>
      <c r="I66" s="188">
        <f t="shared" si="177"/>
        <v>0</v>
      </c>
      <c r="J66" s="188">
        <v>105.0</v>
      </c>
      <c r="K66" s="186"/>
      <c r="L66" s="188">
        <v>0.0</v>
      </c>
      <c r="M66" s="188">
        <f t="shared" si="178"/>
        <v>105</v>
      </c>
      <c r="N66" s="188">
        <v>0.0</v>
      </c>
      <c r="O66" s="188">
        <v>0.0</v>
      </c>
      <c r="P66" s="188">
        <v>0.0</v>
      </c>
      <c r="Q66" s="188">
        <f t="shared" si="179"/>
        <v>0</v>
      </c>
      <c r="R66" s="188">
        <f t="shared" si="180"/>
        <v>105</v>
      </c>
      <c r="S66" s="188">
        <v>0.0</v>
      </c>
      <c r="T66" s="190">
        <v>0.0</v>
      </c>
      <c r="U66" s="154">
        <f t="shared" si="181"/>
        <v>0</v>
      </c>
      <c r="V66" s="190"/>
      <c r="W66" s="190"/>
      <c r="X66" s="154">
        <f t="shared" si="182"/>
        <v>0</v>
      </c>
      <c r="Y66" s="190"/>
      <c r="Z66" s="190"/>
      <c r="AA66" s="154">
        <f t="shared" si="183"/>
        <v>0</v>
      </c>
      <c r="AB66" s="154">
        <f t="shared" si="184"/>
        <v>0</v>
      </c>
      <c r="AC66" s="188">
        <v>0.0</v>
      </c>
      <c r="AD66" s="188">
        <v>0.0</v>
      </c>
      <c r="AE66" s="154">
        <f t="shared" si="185"/>
        <v>0</v>
      </c>
      <c r="AF66" s="188">
        <v>0.0</v>
      </c>
      <c r="AG66" s="188">
        <v>0.0</v>
      </c>
      <c r="AH66" s="154">
        <f t="shared" si="186"/>
        <v>0</v>
      </c>
      <c r="AI66" s="188">
        <v>0.0</v>
      </c>
      <c r="AJ66" s="188">
        <v>0.0</v>
      </c>
      <c r="AK66" s="154">
        <f t="shared" si="187"/>
        <v>0</v>
      </c>
      <c r="AL66" s="154">
        <f t="shared" si="188"/>
        <v>0</v>
      </c>
      <c r="AM66" s="154">
        <v>0.0</v>
      </c>
      <c r="AN66" s="188">
        <f t="shared" si="189"/>
        <v>0</v>
      </c>
      <c r="AO66" s="188">
        <f t="shared" si="190"/>
        <v>0</v>
      </c>
      <c r="AP66" s="154"/>
      <c r="AQ66" s="154"/>
      <c r="AR66" s="154">
        <f t="shared" si="191"/>
        <v>0</v>
      </c>
      <c r="AS66" s="154"/>
      <c r="AT66" s="154"/>
      <c r="AU66" s="154"/>
      <c r="AV66" s="154">
        <f t="shared" si="192"/>
        <v>0</v>
      </c>
      <c r="AW66" s="154">
        <f t="shared" si="193"/>
        <v>0</v>
      </c>
      <c r="AX66" s="154">
        <f t="shared" si="17"/>
        <v>105</v>
      </c>
      <c r="AY66" s="4"/>
      <c r="AZ66" s="4"/>
      <c r="BA66" s="4"/>
      <c r="BB66" s="4"/>
      <c r="BC66" s="4"/>
      <c r="BD66" s="4"/>
      <c r="BE66" s="4"/>
      <c r="BF66" s="4"/>
    </row>
    <row r="67" ht="15.75" customHeight="1">
      <c r="A67" s="167" t="s">
        <v>137</v>
      </c>
      <c r="B67" s="188">
        <v>0.0</v>
      </c>
      <c r="C67" s="188">
        <v>0.0</v>
      </c>
      <c r="D67" s="188">
        <v>0.0</v>
      </c>
      <c r="E67" s="188">
        <f t="shared" si="176"/>
        <v>0</v>
      </c>
      <c r="F67" s="188">
        <v>0.0</v>
      </c>
      <c r="G67" s="188">
        <v>0.0</v>
      </c>
      <c r="H67" s="188">
        <v>0.0</v>
      </c>
      <c r="I67" s="188">
        <f t="shared" si="177"/>
        <v>0</v>
      </c>
      <c r="J67" s="188">
        <v>9.0</v>
      </c>
      <c r="K67" s="186"/>
      <c r="L67" s="188">
        <v>0.0</v>
      </c>
      <c r="M67" s="188">
        <f t="shared" si="178"/>
        <v>9</v>
      </c>
      <c r="N67" s="188">
        <v>0.0</v>
      </c>
      <c r="O67" s="188">
        <v>0.0</v>
      </c>
      <c r="P67" s="188">
        <v>0.0</v>
      </c>
      <c r="Q67" s="188">
        <f t="shared" si="179"/>
        <v>0</v>
      </c>
      <c r="R67" s="188">
        <f t="shared" si="180"/>
        <v>9</v>
      </c>
      <c r="S67" s="188">
        <v>0.0</v>
      </c>
      <c r="T67" s="190">
        <v>0.0</v>
      </c>
      <c r="U67" s="154">
        <f t="shared" si="181"/>
        <v>0</v>
      </c>
      <c r="V67" s="190"/>
      <c r="W67" s="190"/>
      <c r="X67" s="154">
        <f t="shared" si="182"/>
        <v>0</v>
      </c>
      <c r="Y67" s="190"/>
      <c r="Z67" s="190"/>
      <c r="AA67" s="154">
        <f t="shared" si="183"/>
        <v>0</v>
      </c>
      <c r="AB67" s="154">
        <f t="shared" si="184"/>
        <v>0</v>
      </c>
      <c r="AC67" s="188">
        <v>0.0</v>
      </c>
      <c r="AD67" s="188">
        <v>0.0</v>
      </c>
      <c r="AE67" s="154">
        <f t="shared" si="185"/>
        <v>0</v>
      </c>
      <c r="AF67" s="188">
        <v>0.0</v>
      </c>
      <c r="AG67" s="188">
        <v>0.0</v>
      </c>
      <c r="AH67" s="154">
        <f t="shared" si="186"/>
        <v>0</v>
      </c>
      <c r="AI67" s="188">
        <v>0.0</v>
      </c>
      <c r="AJ67" s="188">
        <v>0.0</v>
      </c>
      <c r="AK67" s="154">
        <f t="shared" si="187"/>
        <v>0</v>
      </c>
      <c r="AL67" s="154">
        <f t="shared" si="188"/>
        <v>0</v>
      </c>
      <c r="AM67" s="154">
        <v>0.0</v>
      </c>
      <c r="AN67" s="188">
        <f t="shared" si="189"/>
        <v>0</v>
      </c>
      <c r="AO67" s="188">
        <f t="shared" si="190"/>
        <v>0</v>
      </c>
      <c r="AP67" s="154"/>
      <c r="AQ67" s="154"/>
      <c r="AR67" s="154">
        <f t="shared" si="191"/>
        <v>0</v>
      </c>
      <c r="AS67" s="154"/>
      <c r="AT67" s="154"/>
      <c r="AU67" s="154"/>
      <c r="AV67" s="154">
        <f t="shared" si="192"/>
        <v>0</v>
      </c>
      <c r="AW67" s="154">
        <f t="shared" si="193"/>
        <v>0</v>
      </c>
      <c r="AX67" s="154">
        <f t="shared" si="17"/>
        <v>9</v>
      </c>
      <c r="AY67" s="4"/>
      <c r="AZ67" s="4"/>
      <c r="BA67" s="4"/>
      <c r="BB67" s="4"/>
      <c r="BC67" s="4"/>
      <c r="BD67" s="4"/>
      <c r="BE67" s="4"/>
      <c r="BF67" s="4"/>
    </row>
    <row r="68" ht="15.75" customHeight="1">
      <c r="A68" s="137" t="s">
        <v>138</v>
      </c>
      <c r="B68" s="191">
        <f t="shared" ref="B68:AW68" si="194">SUM(B69:B74)</f>
        <v>0</v>
      </c>
      <c r="C68" s="191">
        <f t="shared" si="194"/>
        <v>0</v>
      </c>
      <c r="D68" s="191">
        <f t="shared" si="194"/>
        <v>1</v>
      </c>
      <c r="E68" s="191">
        <f t="shared" si="194"/>
        <v>1</v>
      </c>
      <c r="F68" s="191">
        <f t="shared" si="194"/>
        <v>2</v>
      </c>
      <c r="G68" s="191">
        <f t="shared" si="194"/>
        <v>1</v>
      </c>
      <c r="H68" s="191">
        <f t="shared" si="194"/>
        <v>779</v>
      </c>
      <c r="I68" s="191">
        <f t="shared" si="194"/>
        <v>782</v>
      </c>
      <c r="J68" s="191">
        <f t="shared" si="194"/>
        <v>16</v>
      </c>
      <c r="K68" s="191">
        <f t="shared" si="194"/>
        <v>1</v>
      </c>
      <c r="L68" s="191">
        <f t="shared" si="194"/>
        <v>0</v>
      </c>
      <c r="M68" s="191">
        <f t="shared" si="194"/>
        <v>17</v>
      </c>
      <c r="N68" s="191">
        <f t="shared" si="194"/>
        <v>1</v>
      </c>
      <c r="O68" s="191">
        <f t="shared" si="194"/>
        <v>0</v>
      </c>
      <c r="P68" s="191">
        <f t="shared" si="194"/>
        <v>0</v>
      </c>
      <c r="Q68" s="191">
        <f t="shared" si="194"/>
        <v>1</v>
      </c>
      <c r="R68" s="191">
        <f t="shared" si="194"/>
        <v>801</v>
      </c>
      <c r="S68" s="187">
        <f t="shared" si="194"/>
        <v>0</v>
      </c>
      <c r="T68" s="187">
        <f t="shared" si="194"/>
        <v>0</v>
      </c>
      <c r="U68" s="141">
        <f t="shared" si="194"/>
        <v>0</v>
      </c>
      <c r="V68" s="187">
        <f t="shared" si="194"/>
        <v>0</v>
      </c>
      <c r="W68" s="187">
        <f t="shared" si="194"/>
        <v>4</v>
      </c>
      <c r="X68" s="141">
        <f t="shared" si="194"/>
        <v>4</v>
      </c>
      <c r="Y68" s="187">
        <f t="shared" si="194"/>
        <v>161</v>
      </c>
      <c r="Z68" s="187">
        <f t="shared" si="194"/>
        <v>161</v>
      </c>
      <c r="AA68" s="141">
        <f t="shared" si="194"/>
        <v>0</v>
      </c>
      <c r="AB68" s="141">
        <f t="shared" si="194"/>
        <v>169</v>
      </c>
      <c r="AC68" s="187">
        <f t="shared" si="194"/>
        <v>2</v>
      </c>
      <c r="AD68" s="187">
        <f t="shared" si="194"/>
        <v>2</v>
      </c>
      <c r="AE68" s="141">
        <f t="shared" si="194"/>
        <v>0</v>
      </c>
      <c r="AF68" s="187">
        <f t="shared" si="194"/>
        <v>2</v>
      </c>
      <c r="AG68" s="141">
        <f t="shared" si="194"/>
        <v>2</v>
      </c>
      <c r="AH68" s="141">
        <f t="shared" si="194"/>
        <v>0</v>
      </c>
      <c r="AI68" s="187">
        <f t="shared" si="194"/>
        <v>3</v>
      </c>
      <c r="AJ68" s="141">
        <f t="shared" si="194"/>
        <v>3</v>
      </c>
      <c r="AK68" s="141">
        <f t="shared" si="194"/>
        <v>0</v>
      </c>
      <c r="AL68" s="141">
        <f t="shared" si="194"/>
        <v>11</v>
      </c>
      <c r="AM68" s="141">
        <f t="shared" si="194"/>
        <v>2151</v>
      </c>
      <c r="AN68" s="187">
        <f t="shared" si="194"/>
        <v>4</v>
      </c>
      <c r="AO68" s="187">
        <f t="shared" si="194"/>
        <v>2155</v>
      </c>
      <c r="AP68" s="141">
        <f t="shared" si="194"/>
        <v>0</v>
      </c>
      <c r="AQ68" s="141">
        <f t="shared" si="194"/>
        <v>0</v>
      </c>
      <c r="AR68" s="141">
        <f t="shared" si="194"/>
        <v>4310</v>
      </c>
      <c r="AS68" s="141">
        <f t="shared" si="194"/>
        <v>0</v>
      </c>
      <c r="AT68" s="141">
        <f t="shared" si="194"/>
        <v>0</v>
      </c>
      <c r="AU68" s="141">
        <f t="shared" si="194"/>
        <v>0</v>
      </c>
      <c r="AV68" s="141">
        <f t="shared" si="194"/>
        <v>0</v>
      </c>
      <c r="AW68" s="141">
        <f t="shared" si="194"/>
        <v>4490</v>
      </c>
      <c r="AX68" s="141">
        <f t="shared" si="17"/>
        <v>5291</v>
      </c>
      <c r="AY68" s="4"/>
      <c r="AZ68" s="4"/>
      <c r="BA68" s="4"/>
      <c r="BB68" s="4"/>
      <c r="BC68" s="4"/>
      <c r="BD68" s="4"/>
      <c r="BE68" s="4"/>
      <c r="BF68" s="4"/>
    </row>
    <row r="69" ht="15.75" customHeight="1">
      <c r="A69" s="167" t="s">
        <v>139</v>
      </c>
      <c r="B69" s="188">
        <v>0.0</v>
      </c>
      <c r="C69" s="188">
        <v>0.0</v>
      </c>
      <c r="D69" s="188">
        <v>0.0</v>
      </c>
      <c r="E69" s="188">
        <f t="shared" ref="E69:E74" si="195">SUM(B69:D69)</f>
        <v>0</v>
      </c>
      <c r="F69" s="188">
        <v>0.0</v>
      </c>
      <c r="G69" s="188">
        <v>0.0</v>
      </c>
      <c r="H69" s="186"/>
      <c r="I69" s="188">
        <f t="shared" ref="I69:I74" si="196">SUM(F69:H69)</f>
        <v>0</v>
      </c>
      <c r="J69" s="186"/>
      <c r="K69" s="186"/>
      <c r="L69" s="186"/>
      <c r="M69" s="188">
        <f t="shared" ref="M69:M74" si="197">SUM(J69:L69)</f>
        <v>0</v>
      </c>
      <c r="N69" s="186"/>
      <c r="O69" s="186"/>
      <c r="P69" s="186"/>
      <c r="Q69" s="188">
        <f t="shared" ref="Q69:Q74" si="198">SUM(N69:P69)</f>
        <v>0</v>
      </c>
      <c r="R69" s="188">
        <f t="shared" ref="R69:R74" si="199">SUM(E69,I69,M69,Q69)</f>
        <v>0</v>
      </c>
      <c r="S69" s="190"/>
      <c r="T69" s="190">
        <v>0.0</v>
      </c>
      <c r="U69" s="154">
        <f t="shared" ref="U69:U74" si="200">T69-S69</f>
        <v>0</v>
      </c>
      <c r="V69" s="190"/>
      <c r="W69" s="190"/>
      <c r="X69" s="154">
        <f t="shared" ref="X69:X74" si="201">W69-V69</f>
        <v>0</v>
      </c>
      <c r="Y69" s="188">
        <v>22.0</v>
      </c>
      <c r="Z69" s="188">
        <v>22.0</v>
      </c>
      <c r="AA69" s="154">
        <f t="shared" ref="AA69:AA74" si="202">Z69-Y69</f>
        <v>0</v>
      </c>
      <c r="AB69" s="154">
        <f t="shared" ref="AB69:AB74" si="203">SUM(S69:Y69)</f>
        <v>22</v>
      </c>
      <c r="AC69" s="188">
        <v>0.0</v>
      </c>
      <c r="AD69" s="188">
        <v>0.0</v>
      </c>
      <c r="AE69" s="154">
        <f t="shared" ref="AE69:AE74" si="204">AD69-AC69</f>
        <v>0</v>
      </c>
      <c r="AF69" s="188">
        <v>0.0</v>
      </c>
      <c r="AG69" s="188">
        <v>0.0</v>
      </c>
      <c r="AH69" s="154">
        <f t="shared" ref="AH69:AH74" si="205">AG69-AF69</f>
        <v>0</v>
      </c>
      <c r="AI69" s="189">
        <v>0.0</v>
      </c>
      <c r="AJ69" s="189">
        <v>0.0</v>
      </c>
      <c r="AK69" s="154">
        <f t="shared" ref="AK69:AK74" si="206">AJ69-AI69</f>
        <v>0</v>
      </c>
      <c r="AL69" s="154">
        <f t="shared" ref="AL69:AL74" si="207">SUM(AC69:AI69)</f>
        <v>0</v>
      </c>
      <c r="AM69" s="154">
        <v>0.0</v>
      </c>
      <c r="AN69" s="188">
        <f t="shared" ref="AN69:AN74" si="208">SUM(U69,X69,AA69,AE69,AH69,AK69)</f>
        <v>0</v>
      </c>
      <c r="AO69" s="188">
        <f t="shared" ref="AO69:AO74" si="209">AM69+AN69</f>
        <v>0</v>
      </c>
      <c r="AP69" s="154"/>
      <c r="AQ69" s="155"/>
      <c r="AR69" s="154">
        <f t="shared" ref="AR69:AR74" si="210">SUM(AM69:AQ69)</f>
        <v>0</v>
      </c>
      <c r="AS69" s="154"/>
      <c r="AT69" s="154"/>
      <c r="AU69" s="155"/>
      <c r="AV69" s="154">
        <f t="shared" ref="AV69:AV74" si="211">SUM(AS69:AU69)</f>
        <v>0</v>
      </c>
      <c r="AW69" s="154">
        <f t="shared" ref="AW69:AW74" si="212">SUM(AB69,AL69,AR69,AV69)</f>
        <v>22</v>
      </c>
      <c r="AX69" s="154">
        <f t="shared" si="17"/>
        <v>22</v>
      </c>
      <c r="AY69" s="4"/>
      <c r="AZ69" s="4"/>
      <c r="BA69" s="4"/>
      <c r="BB69" s="4"/>
      <c r="BC69" s="4"/>
      <c r="BD69" s="4"/>
      <c r="BE69" s="4"/>
      <c r="BF69" s="4"/>
    </row>
    <row r="70" ht="15.75" customHeight="1">
      <c r="A70" s="167" t="s">
        <v>140</v>
      </c>
      <c r="B70" s="188">
        <v>0.0</v>
      </c>
      <c r="C70" s="188">
        <v>0.0</v>
      </c>
      <c r="D70" s="188">
        <v>0.0</v>
      </c>
      <c r="E70" s="188">
        <f t="shared" si="195"/>
        <v>0</v>
      </c>
      <c r="F70" s="188">
        <v>0.0</v>
      </c>
      <c r="G70" s="188">
        <v>0.0</v>
      </c>
      <c r="H70" s="186"/>
      <c r="I70" s="188">
        <f t="shared" si="196"/>
        <v>0</v>
      </c>
      <c r="J70" s="186"/>
      <c r="K70" s="186"/>
      <c r="L70" s="186"/>
      <c r="M70" s="188">
        <f t="shared" si="197"/>
        <v>0</v>
      </c>
      <c r="N70" s="186"/>
      <c r="O70" s="186"/>
      <c r="P70" s="186"/>
      <c r="Q70" s="188">
        <f t="shared" si="198"/>
        <v>0</v>
      </c>
      <c r="R70" s="188">
        <f t="shared" si="199"/>
        <v>0</v>
      </c>
      <c r="S70" s="190"/>
      <c r="T70" s="190">
        <v>0.0</v>
      </c>
      <c r="U70" s="154">
        <f t="shared" si="200"/>
        <v>0</v>
      </c>
      <c r="V70" s="190"/>
      <c r="W70" s="190"/>
      <c r="X70" s="154">
        <f t="shared" si="201"/>
        <v>0</v>
      </c>
      <c r="Y70" s="188">
        <v>6.0</v>
      </c>
      <c r="Z70" s="188">
        <v>6.0</v>
      </c>
      <c r="AA70" s="154">
        <f t="shared" si="202"/>
        <v>0</v>
      </c>
      <c r="AB70" s="154">
        <f t="shared" si="203"/>
        <v>6</v>
      </c>
      <c r="AC70" s="188">
        <v>0.0</v>
      </c>
      <c r="AD70" s="188">
        <v>0.0</v>
      </c>
      <c r="AE70" s="154">
        <f t="shared" si="204"/>
        <v>0</v>
      </c>
      <c r="AF70" s="188">
        <v>0.0</v>
      </c>
      <c r="AG70" s="188">
        <v>0.0</v>
      </c>
      <c r="AH70" s="154">
        <f t="shared" si="205"/>
        <v>0</v>
      </c>
      <c r="AI70" s="189">
        <v>0.0</v>
      </c>
      <c r="AJ70" s="189">
        <v>0.0</v>
      </c>
      <c r="AK70" s="154">
        <f t="shared" si="206"/>
        <v>0</v>
      </c>
      <c r="AL70" s="154">
        <f t="shared" si="207"/>
        <v>0</v>
      </c>
      <c r="AM70" s="154">
        <v>2140.0</v>
      </c>
      <c r="AN70" s="188">
        <f t="shared" si="208"/>
        <v>0</v>
      </c>
      <c r="AO70" s="188">
        <f t="shared" si="209"/>
        <v>2140</v>
      </c>
      <c r="AP70" s="154"/>
      <c r="AQ70" s="155"/>
      <c r="AR70" s="154">
        <f t="shared" si="210"/>
        <v>4280</v>
      </c>
      <c r="AS70" s="154"/>
      <c r="AT70" s="154"/>
      <c r="AU70" s="155"/>
      <c r="AV70" s="154">
        <f t="shared" si="211"/>
        <v>0</v>
      </c>
      <c r="AW70" s="154">
        <f t="shared" si="212"/>
        <v>4286</v>
      </c>
      <c r="AX70" s="154">
        <f t="shared" si="17"/>
        <v>4286</v>
      </c>
      <c r="AY70" s="4"/>
      <c r="AZ70" s="4"/>
      <c r="BA70" s="4"/>
      <c r="BB70" s="4"/>
      <c r="BC70" s="4"/>
      <c r="BD70" s="4"/>
      <c r="BE70" s="4"/>
      <c r="BF70" s="4"/>
    </row>
    <row r="71" ht="15.75" customHeight="1">
      <c r="A71" s="169" t="s">
        <v>141</v>
      </c>
      <c r="B71" s="188">
        <v>0.0</v>
      </c>
      <c r="C71" s="188">
        <v>0.0</v>
      </c>
      <c r="D71" s="188">
        <v>1.0</v>
      </c>
      <c r="E71" s="188">
        <f t="shared" si="195"/>
        <v>1</v>
      </c>
      <c r="F71" s="188">
        <v>0.0</v>
      </c>
      <c r="G71" s="188">
        <v>1.0</v>
      </c>
      <c r="H71" s="188">
        <v>711.0</v>
      </c>
      <c r="I71" s="188">
        <f t="shared" si="196"/>
        <v>712</v>
      </c>
      <c r="J71" s="188">
        <v>16.0</v>
      </c>
      <c r="K71" s="188">
        <v>1.0</v>
      </c>
      <c r="L71" s="188">
        <v>0.0</v>
      </c>
      <c r="M71" s="188">
        <f t="shared" si="197"/>
        <v>17</v>
      </c>
      <c r="N71" s="188">
        <v>1.0</v>
      </c>
      <c r="O71" s="188">
        <v>0.0</v>
      </c>
      <c r="P71" s="188">
        <v>0.0</v>
      </c>
      <c r="Q71" s="188">
        <f t="shared" si="198"/>
        <v>1</v>
      </c>
      <c r="R71" s="188">
        <f t="shared" si="199"/>
        <v>731</v>
      </c>
      <c r="S71" s="188">
        <v>0.0</v>
      </c>
      <c r="T71" s="188">
        <v>0.0</v>
      </c>
      <c r="U71" s="154">
        <f t="shared" si="200"/>
        <v>0</v>
      </c>
      <c r="V71" s="188">
        <v>0.0</v>
      </c>
      <c r="W71" s="188">
        <v>4.0</v>
      </c>
      <c r="X71" s="154">
        <f t="shared" si="201"/>
        <v>4</v>
      </c>
      <c r="Y71" s="188">
        <v>13.0</v>
      </c>
      <c r="Z71" s="188">
        <v>13.0</v>
      </c>
      <c r="AA71" s="154">
        <f t="shared" si="202"/>
        <v>0</v>
      </c>
      <c r="AB71" s="154">
        <f t="shared" si="203"/>
        <v>21</v>
      </c>
      <c r="AC71" s="188">
        <v>1.0</v>
      </c>
      <c r="AD71" s="188">
        <v>1.0</v>
      </c>
      <c r="AE71" s="154">
        <f t="shared" si="204"/>
        <v>0</v>
      </c>
      <c r="AF71" s="188">
        <v>2.0</v>
      </c>
      <c r="AG71" s="188">
        <v>2.0</v>
      </c>
      <c r="AH71" s="154">
        <f t="shared" si="205"/>
        <v>0</v>
      </c>
      <c r="AI71" s="189">
        <v>3.0</v>
      </c>
      <c r="AJ71" s="189">
        <v>3.0</v>
      </c>
      <c r="AK71" s="154">
        <f t="shared" si="206"/>
        <v>0</v>
      </c>
      <c r="AL71" s="154">
        <f t="shared" si="207"/>
        <v>9</v>
      </c>
      <c r="AM71" s="154">
        <v>9.0</v>
      </c>
      <c r="AN71" s="188">
        <f t="shared" si="208"/>
        <v>4</v>
      </c>
      <c r="AO71" s="188">
        <f t="shared" si="209"/>
        <v>13</v>
      </c>
      <c r="AP71" s="154"/>
      <c r="AQ71" s="155"/>
      <c r="AR71" s="154">
        <f t="shared" si="210"/>
        <v>26</v>
      </c>
      <c r="AS71" s="154"/>
      <c r="AT71" s="154"/>
      <c r="AU71" s="155"/>
      <c r="AV71" s="154">
        <f t="shared" si="211"/>
        <v>0</v>
      </c>
      <c r="AW71" s="154">
        <f t="shared" si="212"/>
        <v>56</v>
      </c>
      <c r="AX71" s="154">
        <f t="shared" si="17"/>
        <v>787</v>
      </c>
      <c r="AY71" s="4"/>
      <c r="AZ71" s="4"/>
      <c r="BA71" s="4"/>
      <c r="BB71" s="4"/>
      <c r="BC71" s="4"/>
      <c r="BD71" s="4"/>
      <c r="BE71" s="4"/>
      <c r="BF71" s="4"/>
    </row>
    <row r="72" ht="15.75" customHeight="1">
      <c r="A72" s="167" t="s">
        <v>142</v>
      </c>
      <c r="B72" s="188">
        <v>0.0</v>
      </c>
      <c r="C72" s="188">
        <v>0.0</v>
      </c>
      <c r="D72" s="188">
        <v>0.0</v>
      </c>
      <c r="E72" s="188">
        <f t="shared" si="195"/>
        <v>0</v>
      </c>
      <c r="F72" s="188">
        <v>0.0</v>
      </c>
      <c r="G72" s="188">
        <v>0.0</v>
      </c>
      <c r="H72" s="186"/>
      <c r="I72" s="188">
        <f t="shared" si="196"/>
        <v>0</v>
      </c>
      <c r="J72" s="186"/>
      <c r="K72" s="186"/>
      <c r="L72" s="186"/>
      <c r="M72" s="188">
        <f t="shared" si="197"/>
        <v>0</v>
      </c>
      <c r="N72" s="186"/>
      <c r="O72" s="186"/>
      <c r="P72" s="186"/>
      <c r="Q72" s="188">
        <f t="shared" si="198"/>
        <v>0</v>
      </c>
      <c r="R72" s="188">
        <f t="shared" si="199"/>
        <v>0</v>
      </c>
      <c r="S72" s="190"/>
      <c r="T72" s="190">
        <v>0.0</v>
      </c>
      <c r="U72" s="154">
        <f t="shared" si="200"/>
        <v>0</v>
      </c>
      <c r="V72" s="190"/>
      <c r="W72" s="190"/>
      <c r="X72" s="154">
        <f t="shared" si="201"/>
        <v>0</v>
      </c>
      <c r="Y72" s="188">
        <v>7.0</v>
      </c>
      <c r="Z72" s="188">
        <v>7.0</v>
      </c>
      <c r="AA72" s="154">
        <f t="shared" si="202"/>
        <v>0</v>
      </c>
      <c r="AB72" s="154">
        <f t="shared" si="203"/>
        <v>7</v>
      </c>
      <c r="AC72" s="188">
        <v>0.0</v>
      </c>
      <c r="AD72" s="188">
        <v>0.0</v>
      </c>
      <c r="AE72" s="154">
        <f t="shared" si="204"/>
        <v>0</v>
      </c>
      <c r="AF72" s="188">
        <v>0.0</v>
      </c>
      <c r="AG72" s="188">
        <v>0.0</v>
      </c>
      <c r="AH72" s="154">
        <f t="shared" si="205"/>
        <v>0</v>
      </c>
      <c r="AI72" s="188">
        <v>0.0</v>
      </c>
      <c r="AJ72" s="188">
        <v>0.0</v>
      </c>
      <c r="AK72" s="154">
        <f t="shared" si="206"/>
        <v>0</v>
      </c>
      <c r="AL72" s="154">
        <f t="shared" si="207"/>
        <v>0</v>
      </c>
      <c r="AM72" s="154">
        <v>0.0</v>
      </c>
      <c r="AN72" s="188">
        <f t="shared" si="208"/>
        <v>0</v>
      </c>
      <c r="AO72" s="188">
        <f t="shared" si="209"/>
        <v>0</v>
      </c>
      <c r="AP72" s="154"/>
      <c r="AQ72" s="154"/>
      <c r="AR72" s="154">
        <f t="shared" si="210"/>
        <v>0</v>
      </c>
      <c r="AS72" s="154"/>
      <c r="AT72" s="154"/>
      <c r="AU72" s="154"/>
      <c r="AV72" s="154">
        <f t="shared" si="211"/>
        <v>0</v>
      </c>
      <c r="AW72" s="154">
        <f t="shared" si="212"/>
        <v>7</v>
      </c>
      <c r="AX72" s="154">
        <f t="shared" si="17"/>
        <v>7</v>
      </c>
      <c r="AY72" s="4"/>
      <c r="AZ72" s="4"/>
      <c r="BA72" s="4"/>
      <c r="BB72" s="4"/>
      <c r="BC72" s="4"/>
      <c r="BD72" s="4"/>
      <c r="BE72" s="4"/>
      <c r="BF72" s="4"/>
    </row>
    <row r="73" ht="15.75" customHeight="1">
      <c r="A73" s="167" t="s">
        <v>143</v>
      </c>
      <c r="B73" s="188">
        <v>0.0</v>
      </c>
      <c r="C73" s="188">
        <v>0.0</v>
      </c>
      <c r="D73" s="188">
        <v>0.0</v>
      </c>
      <c r="E73" s="188">
        <f t="shared" si="195"/>
        <v>0</v>
      </c>
      <c r="F73" s="188">
        <v>2.0</v>
      </c>
      <c r="G73" s="188">
        <v>0.0</v>
      </c>
      <c r="H73" s="188">
        <v>68.0</v>
      </c>
      <c r="I73" s="188">
        <f t="shared" si="196"/>
        <v>70</v>
      </c>
      <c r="J73" s="188">
        <v>0.0</v>
      </c>
      <c r="K73" s="186"/>
      <c r="L73" s="188">
        <v>0.0</v>
      </c>
      <c r="M73" s="188">
        <f t="shared" si="197"/>
        <v>0</v>
      </c>
      <c r="N73" s="188">
        <v>0.0</v>
      </c>
      <c r="O73" s="188">
        <v>0.0</v>
      </c>
      <c r="P73" s="188">
        <v>0.0</v>
      </c>
      <c r="Q73" s="188">
        <f t="shared" si="198"/>
        <v>0</v>
      </c>
      <c r="R73" s="188">
        <f t="shared" si="199"/>
        <v>70</v>
      </c>
      <c r="S73" s="190"/>
      <c r="T73" s="190">
        <v>0.0</v>
      </c>
      <c r="U73" s="154">
        <f t="shared" si="200"/>
        <v>0</v>
      </c>
      <c r="V73" s="190"/>
      <c r="W73" s="190"/>
      <c r="X73" s="154">
        <f t="shared" si="201"/>
        <v>0</v>
      </c>
      <c r="Y73" s="188">
        <v>106.0</v>
      </c>
      <c r="Z73" s="188">
        <v>106.0</v>
      </c>
      <c r="AA73" s="154">
        <f t="shared" si="202"/>
        <v>0</v>
      </c>
      <c r="AB73" s="154">
        <f t="shared" si="203"/>
        <v>106</v>
      </c>
      <c r="AC73" s="188">
        <v>1.0</v>
      </c>
      <c r="AD73" s="188">
        <v>1.0</v>
      </c>
      <c r="AE73" s="154">
        <f t="shared" si="204"/>
        <v>0</v>
      </c>
      <c r="AF73" s="188">
        <v>0.0</v>
      </c>
      <c r="AG73" s="188">
        <v>0.0</v>
      </c>
      <c r="AH73" s="154">
        <f t="shared" si="205"/>
        <v>0</v>
      </c>
      <c r="AI73" s="188">
        <v>0.0</v>
      </c>
      <c r="AJ73" s="188">
        <v>0.0</v>
      </c>
      <c r="AK73" s="154">
        <f t="shared" si="206"/>
        <v>0</v>
      </c>
      <c r="AL73" s="154">
        <f t="shared" si="207"/>
        <v>2</v>
      </c>
      <c r="AM73" s="154">
        <v>2.0</v>
      </c>
      <c r="AN73" s="188">
        <f t="shared" si="208"/>
        <v>0</v>
      </c>
      <c r="AO73" s="188">
        <f t="shared" si="209"/>
        <v>2</v>
      </c>
      <c r="AP73" s="154"/>
      <c r="AQ73" s="154"/>
      <c r="AR73" s="154">
        <f t="shared" si="210"/>
        <v>4</v>
      </c>
      <c r="AS73" s="154"/>
      <c r="AT73" s="154"/>
      <c r="AU73" s="154"/>
      <c r="AV73" s="154">
        <f t="shared" si="211"/>
        <v>0</v>
      </c>
      <c r="AW73" s="154">
        <f t="shared" si="212"/>
        <v>112</v>
      </c>
      <c r="AX73" s="154">
        <f t="shared" si="17"/>
        <v>182</v>
      </c>
      <c r="AY73" s="4"/>
      <c r="AZ73" s="4"/>
      <c r="BA73" s="4"/>
      <c r="BB73" s="4"/>
      <c r="BC73" s="4"/>
      <c r="BD73" s="4"/>
      <c r="BE73" s="4"/>
      <c r="BF73" s="4"/>
    </row>
    <row r="74" ht="15.75" customHeight="1">
      <c r="A74" s="167" t="s">
        <v>144</v>
      </c>
      <c r="B74" s="188">
        <v>0.0</v>
      </c>
      <c r="C74" s="188">
        <v>0.0</v>
      </c>
      <c r="D74" s="188">
        <v>0.0</v>
      </c>
      <c r="E74" s="188">
        <f t="shared" si="195"/>
        <v>0</v>
      </c>
      <c r="F74" s="188">
        <v>0.0</v>
      </c>
      <c r="G74" s="188">
        <v>0.0</v>
      </c>
      <c r="H74" s="186"/>
      <c r="I74" s="188">
        <f t="shared" si="196"/>
        <v>0</v>
      </c>
      <c r="J74" s="186"/>
      <c r="K74" s="186"/>
      <c r="L74" s="186"/>
      <c r="M74" s="188">
        <f t="shared" si="197"/>
        <v>0</v>
      </c>
      <c r="N74" s="186"/>
      <c r="O74" s="186"/>
      <c r="P74" s="186"/>
      <c r="Q74" s="188">
        <f t="shared" si="198"/>
        <v>0</v>
      </c>
      <c r="R74" s="188">
        <f t="shared" si="199"/>
        <v>0</v>
      </c>
      <c r="S74" s="190"/>
      <c r="T74" s="190">
        <v>0.0</v>
      </c>
      <c r="U74" s="154">
        <f t="shared" si="200"/>
        <v>0</v>
      </c>
      <c r="V74" s="190"/>
      <c r="W74" s="190"/>
      <c r="X74" s="154">
        <f t="shared" si="201"/>
        <v>0</v>
      </c>
      <c r="Y74" s="188">
        <v>7.0</v>
      </c>
      <c r="Z74" s="188">
        <v>7.0</v>
      </c>
      <c r="AA74" s="154">
        <f t="shared" si="202"/>
        <v>0</v>
      </c>
      <c r="AB74" s="154">
        <f t="shared" si="203"/>
        <v>7</v>
      </c>
      <c r="AC74" s="188">
        <v>0.0</v>
      </c>
      <c r="AD74" s="188">
        <v>0.0</v>
      </c>
      <c r="AE74" s="154">
        <f t="shared" si="204"/>
        <v>0</v>
      </c>
      <c r="AF74" s="188">
        <v>0.0</v>
      </c>
      <c r="AG74" s="188">
        <v>0.0</v>
      </c>
      <c r="AH74" s="154">
        <f t="shared" si="205"/>
        <v>0</v>
      </c>
      <c r="AI74" s="188">
        <v>0.0</v>
      </c>
      <c r="AJ74" s="188">
        <v>0.0</v>
      </c>
      <c r="AK74" s="154">
        <f t="shared" si="206"/>
        <v>0</v>
      </c>
      <c r="AL74" s="154">
        <f t="shared" si="207"/>
        <v>0</v>
      </c>
      <c r="AM74" s="154">
        <v>0.0</v>
      </c>
      <c r="AN74" s="188">
        <f t="shared" si="208"/>
        <v>0</v>
      </c>
      <c r="AO74" s="188">
        <f t="shared" si="209"/>
        <v>0</v>
      </c>
      <c r="AP74" s="154"/>
      <c r="AQ74" s="154"/>
      <c r="AR74" s="154">
        <f t="shared" si="210"/>
        <v>0</v>
      </c>
      <c r="AS74" s="154"/>
      <c r="AT74" s="154"/>
      <c r="AU74" s="154"/>
      <c r="AV74" s="154">
        <f t="shared" si="211"/>
        <v>0</v>
      </c>
      <c r="AW74" s="154">
        <f t="shared" si="212"/>
        <v>7</v>
      </c>
      <c r="AX74" s="154">
        <f t="shared" si="17"/>
        <v>7</v>
      </c>
      <c r="AY74" s="4"/>
      <c r="AZ74" s="4"/>
      <c r="BA74" s="4"/>
      <c r="BB74" s="4"/>
      <c r="BC74" s="4"/>
      <c r="BD74" s="4"/>
      <c r="BE74" s="4"/>
      <c r="BF74" s="4"/>
    </row>
    <row r="75" ht="15.75" customHeight="1">
      <c r="A75" s="137" t="s">
        <v>145</v>
      </c>
      <c r="B75" s="141">
        <f t="shared" ref="B75:AW75" si="213">SUM(B76:B80)</f>
        <v>0</v>
      </c>
      <c r="C75" s="141">
        <f t="shared" si="213"/>
        <v>194</v>
      </c>
      <c r="D75" s="141">
        <f t="shared" si="213"/>
        <v>57</v>
      </c>
      <c r="E75" s="141">
        <f t="shared" si="213"/>
        <v>251</v>
      </c>
      <c r="F75" s="141">
        <f t="shared" si="213"/>
        <v>2</v>
      </c>
      <c r="G75" s="141">
        <f t="shared" si="213"/>
        <v>56</v>
      </c>
      <c r="H75" s="141">
        <f t="shared" si="213"/>
        <v>129</v>
      </c>
      <c r="I75" s="141">
        <f t="shared" si="213"/>
        <v>187</v>
      </c>
      <c r="J75" s="141">
        <f t="shared" si="213"/>
        <v>0</v>
      </c>
      <c r="K75" s="141">
        <f t="shared" si="213"/>
        <v>0</v>
      </c>
      <c r="L75" s="141">
        <f t="shared" si="213"/>
        <v>0</v>
      </c>
      <c r="M75" s="141">
        <f t="shared" si="213"/>
        <v>0</v>
      </c>
      <c r="N75" s="141">
        <f t="shared" si="213"/>
        <v>0</v>
      </c>
      <c r="O75" s="141">
        <f t="shared" si="213"/>
        <v>0</v>
      </c>
      <c r="P75" s="141">
        <f t="shared" si="213"/>
        <v>0</v>
      </c>
      <c r="Q75" s="141">
        <f t="shared" si="213"/>
        <v>0</v>
      </c>
      <c r="R75" s="141">
        <f t="shared" si="213"/>
        <v>438</v>
      </c>
      <c r="S75" s="187">
        <f t="shared" si="213"/>
        <v>0</v>
      </c>
      <c r="T75" s="187">
        <f t="shared" si="213"/>
        <v>2</v>
      </c>
      <c r="U75" s="141">
        <f t="shared" si="213"/>
        <v>2</v>
      </c>
      <c r="V75" s="187">
        <f t="shared" si="213"/>
        <v>0</v>
      </c>
      <c r="W75" s="187">
        <f t="shared" si="213"/>
        <v>0</v>
      </c>
      <c r="X75" s="141">
        <f t="shared" si="213"/>
        <v>0</v>
      </c>
      <c r="Y75" s="187">
        <f t="shared" si="213"/>
        <v>381</v>
      </c>
      <c r="Z75" s="187">
        <f t="shared" si="213"/>
        <v>381</v>
      </c>
      <c r="AA75" s="141">
        <f t="shared" si="213"/>
        <v>0</v>
      </c>
      <c r="AB75" s="141">
        <f t="shared" si="213"/>
        <v>385</v>
      </c>
      <c r="AC75" s="187">
        <f t="shared" si="213"/>
        <v>23</v>
      </c>
      <c r="AD75" s="187">
        <f t="shared" si="213"/>
        <v>23</v>
      </c>
      <c r="AE75" s="141">
        <f t="shared" si="213"/>
        <v>0</v>
      </c>
      <c r="AF75" s="187">
        <f t="shared" si="213"/>
        <v>3</v>
      </c>
      <c r="AG75" s="141">
        <f t="shared" si="213"/>
        <v>3</v>
      </c>
      <c r="AH75" s="141">
        <f t="shared" si="213"/>
        <v>0</v>
      </c>
      <c r="AI75" s="187">
        <f t="shared" si="213"/>
        <v>1</v>
      </c>
      <c r="AJ75" s="141">
        <f t="shared" si="213"/>
        <v>1</v>
      </c>
      <c r="AK75" s="141">
        <f t="shared" si="213"/>
        <v>0</v>
      </c>
      <c r="AL75" s="141">
        <f t="shared" si="213"/>
        <v>53</v>
      </c>
      <c r="AM75" s="141">
        <f t="shared" si="213"/>
        <v>3</v>
      </c>
      <c r="AN75" s="187">
        <f t="shared" si="213"/>
        <v>2</v>
      </c>
      <c r="AO75" s="187">
        <f t="shared" si="213"/>
        <v>5</v>
      </c>
      <c r="AP75" s="141">
        <f t="shared" si="213"/>
        <v>0</v>
      </c>
      <c r="AQ75" s="141">
        <f t="shared" si="213"/>
        <v>0</v>
      </c>
      <c r="AR75" s="141">
        <f t="shared" si="213"/>
        <v>10</v>
      </c>
      <c r="AS75" s="141">
        <f t="shared" si="213"/>
        <v>0</v>
      </c>
      <c r="AT75" s="141">
        <f t="shared" si="213"/>
        <v>0</v>
      </c>
      <c r="AU75" s="141">
        <f t="shared" si="213"/>
        <v>0</v>
      </c>
      <c r="AV75" s="141">
        <f t="shared" si="213"/>
        <v>0</v>
      </c>
      <c r="AW75" s="141">
        <f t="shared" si="213"/>
        <v>448</v>
      </c>
      <c r="AX75" s="141">
        <f t="shared" si="17"/>
        <v>886</v>
      </c>
      <c r="AY75" s="4"/>
      <c r="AZ75" s="4"/>
      <c r="BA75" s="4"/>
      <c r="BB75" s="4"/>
      <c r="BC75" s="4"/>
      <c r="BD75" s="4"/>
      <c r="BE75" s="4"/>
      <c r="BF75" s="4"/>
    </row>
    <row r="76" ht="15.75" customHeight="1">
      <c r="A76" s="167" t="s">
        <v>146</v>
      </c>
      <c r="B76" s="186"/>
      <c r="C76" s="186"/>
      <c r="D76" s="186"/>
      <c r="E76" s="188">
        <f t="shared" ref="E76:E80" si="214">SUM(B76:D76)</f>
        <v>0</v>
      </c>
      <c r="F76" s="186"/>
      <c r="G76" s="186"/>
      <c r="H76" s="186"/>
      <c r="I76" s="188">
        <f t="shared" ref="I76:I80" si="215">SUM(F76:H76)</f>
        <v>0</v>
      </c>
      <c r="J76" s="186"/>
      <c r="K76" s="186"/>
      <c r="L76" s="186"/>
      <c r="M76" s="188">
        <f t="shared" ref="M76:M80" si="216">SUM(J76:L76)</f>
        <v>0</v>
      </c>
      <c r="N76" s="186"/>
      <c r="O76" s="186"/>
      <c r="P76" s="186"/>
      <c r="Q76" s="188">
        <f t="shared" ref="Q76:Q80" si="217">SUM(N76:P76)</f>
        <v>0</v>
      </c>
      <c r="R76" s="188">
        <f t="shared" ref="R76:R80" si="218">SUM(E76,I76,M76,Q76)</f>
        <v>0</v>
      </c>
      <c r="S76" s="190"/>
      <c r="T76" s="190"/>
      <c r="U76" s="154">
        <f t="shared" ref="U76:U80" si="219">T76-S76</f>
        <v>0</v>
      </c>
      <c r="V76" s="190"/>
      <c r="W76" s="190"/>
      <c r="X76" s="154">
        <f t="shared" ref="X76:X80" si="220">W76-V76</f>
        <v>0</v>
      </c>
      <c r="Y76" s="190"/>
      <c r="Z76" s="190"/>
      <c r="AA76" s="154">
        <f t="shared" ref="AA76:AA80" si="221">Z76-Y76</f>
        <v>0</v>
      </c>
      <c r="AB76" s="154">
        <f t="shared" ref="AB76:AB80" si="222">SUM(S76:Y76)</f>
        <v>0</v>
      </c>
      <c r="AC76" s="188">
        <v>0.0</v>
      </c>
      <c r="AD76" s="188">
        <v>0.0</v>
      </c>
      <c r="AE76" s="154">
        <f t="shared" ref="AE76:AE80" si="223">AD76-AC76</f>
        <v>0</v>
      </c>
      <c r="AF76" s="188">
        <v>0.0</v>
      </c>
      <c r="AG76" s="188">
        <v>0.0</v>
      </c>
      <c r="AH76" s="154">
        <f t="shared" ref="AH76:AH80" si="224">AG76-AF76</f>
        <v>0</v>
      </c>
      <c r="AI76" s="188">
        <v>0.0</v>
      </c>
      <c r="AJ76" s="188">
        <v>0.0</v>
      </c>
      <c r="AK76" s="154">
        <f t="shared" ref="AK76:AK80" si="225">AJ76-AI76</f>
        <v>0</v>
      </c>
      <c r="AL76" s="154">
        <f t="shared" ref="AL76:AL80" si="226">SUM(AC76:AI76)</f>
        <v>0</v>
      </c>
      <c r="AM76" s="125">
        <v>0.0</v>
      </c>
      <c r="AN76" s="188">
        <f t="shared" ref="AN76:AN80" si="227">SUM(U76,X76,AA76,AE76,AH76,AK76)</f>
        <v>0</v>
      </c>
      <c r="AO76" s="188">
        <f t="shared" ref="AO76:AO80" si="228">AM76+AN76</f>
        <v>0</v>
      </c>
      <c r="AP76" s="125"/>
      <c r="AQ76" s="125"/>
      <c r="AR76" s="154">
        <f t="shared" ref="AR76:AR80" si="229">SUM(AM76:AQ76)</f>
        <v>0</v>
      </c>
      <c r="AS76" s="125"/>
      <c r="AT76" s="125"/>
      <c r="AU76" s="125"/>
      <c r="AV76" s="154">
        <f t="shared" ref="AV76:AV80" si="230">SUM(AS76:AU76)</f>
        <v>0</v>
      </c>
      <c r="AW76" s="154">
        <f t="shared" ref="AW76:AW80" si="231">SUM(AB76,AL76,AR76,AV76)</f>
        <v>0</v>
      </c>
      <c r="AX76" s="154">
        <f t="shared" si="17"/>
        <v>0</v>
      </c>
      <c r="AY76" s="4"/>
      <c r="AZ76" s="4"/>
      <c r="BA76" s="4"/>
      <c r="BB76" s="4"/>
      <c r="BC76" s="4"/>
      <c r="BD76" s="4"/>
      <c r="BE76" s="4"/>
      <c r="BF76" s="4"/>
    </row>
    <row r="77" ht="15.75" customHeight="1">
      <c r="A77" s="167" t="s">
        <v>147</v>
      </c>
      <c r="B77" s="188">
        <v>0.0</v>
      </c>
      <c r="C77" s="188">
        <v>63.0</v>
      </c>
      <c r="D77" s="188">
        <v>31.0</v>
      </c>
      <c r="E77" s="188">
        <f t="shared" si="214"/>
        <v>94</v>
      </c>
      <c r="F77" s="188">
        <v>0.0</v>
      </c>
      <c r="G77" s="188">
        <v>31.0</v>
      </c>
      <c r="H77" s="188">
        <v>40.0</v>
      </c>
      <c r="I77" s="188">
        <f t="shared" si="215"/>
        <v>71</v>
      </c>
      <c r="J77" s="188">
        <v>0.0</v>
      </c>
      <c r="K77" s="186"/>
      <c r="L77" s="188">
        <v>0.0</v>
      </c>
      <c r="M77" s="188">
        <f t="shared" si="216"/>
        <v>0</v>
      </c>
      <c r="N77" s="188">
        <v>0.0</v>
      </c>
      <c r="O77" s="186"/>
      <c r="P77" s="186"/>
      <c r="Q77" s="188">
        <f t="shared" si="217"/>
        <v>0</v>
      </c>
      <c r="R77" s="188">
        <f t="shared" si="218"/>
        <v>165</v>
      </c>
      <c r="S77" s="190"/>
      <c r="T77" s="190"/>
      <c r="U77" s="154">
        <f t="shared" si="219"/>
        <v>0</v>
      </c>
      <c r="V77" s="190"/>
      <c r="W77" s="190"/>
      <c r="X77" s="154">
        <f t="shared" si="220"/>
        <v>0</v>
      </c>
      <c r="Y77" s="188">
        <v>114.0</v>
      </c>
      <c r="Z77" s="188">
        <v>114.0</v>
      </c>
      <c r="AA77" s="154">
        <f t="shared" si="221"/>
        <v>0</v>
      </c>
      <c r="AB77" s="154">
        <f t="shared" si="222"/>
        <v>114</v>
      </c>
      <c r="AC77" s="188">
        <v>11.0</v>
      </c>
      <c r="AD77" s="188">
        <v>11.0</v>
      </c>
      <c r="AE77" s="154">
        <f t="shared" si="223"/>
        <v>0</v>
      </c>
      <c r="AF77" s="188">
        <v>3.0</v>
      </c>
      <c r="AG77" s="188">
        <v>3.0</v>
      </c>
      <c r="AH77" s="154">
        <f t="shared" si="224"/>
        <v>0</v>
      </c>
      <c r="AI77" s="188">
        <v>0.0</v>
      </c>
      <c r="AJ77" s="188">
        <v>0.0</v>
      </c>
      <c r="AK77" s="154">
        <f t="shared" si="225"/>
        <v>0</v>
      </c>
      <c r="AL77" s="154">
        <f t="shared" si="226"/>
        <v>28</v>
      </c>
      <c r="AM77" s="154">
        <v>0.0</v>
      </c>
      <c r="AN77" s="188">
        <f t="shared" si="227"/>
        <v>0</v>
      </c>
      <c r="AO77" s="188">
        <f t="shared" si="228"/>
        <v>0</v>
      </c>
      <c r="AP77" s="154"/>
      <c r="AQ77" s="154"/>
      <c r="AR77" s="154">
        <f t="shared" si="229"/>
        <v>0</v>
      </c>
      <c r="AS77" s="154"/>
      <c r="AT77" s="154"/>
      <c r="AU77" s="154"/>
      <c r="AV77" s="154">
        <f t="shared" si="230"/>
        <v>0</v>
      </c>
      <c r="AW77" s="154">
        <f t="shared" si="231"/>
        <v>142</v>
      </c>
      <c r="AX77" s="154">
        <f t="shared" si="17"/>
        <v>307</v>
      </c>
      <c r="AY77" s="4"/>
      <c r="AZ77" s="4"/>
      <c r="BA77" s="4"/>
      <c r="BB77" s="4"/>
      <c r="BC77" s="4"/>
      <c r="BD77" s="4"/>
      <c r="BE77" s="4"/>
      <c r="BF77" s="4"/>
    </row>
    <row r="78" ht="15.75" customHeight="1">
      <c r="A78" s="169" t="s">
        <v>148</v>
      </c>
      <c r="B78" s="188">
        <v>0.0</v>
      </c>
      <c r="C78" s="188">
        <v>17.0</v>
      </c>
      <c r="D78" s="188">
        <v>6.0</v>
      </c>
      <c r="E78" s="188">
        <f t="shared" si="214"/>
        <v>23</v>
      </c>
      <c r="F78" s="188">
        <v>0.0</v>
      </c>
      <c r="G78" s="188">
        <v>6.0</v>
      </c>
      <c r="H78" s="188">
        <v>21.0</v>
      </c>
      <c r="I78" s="188">
        <f t="shared" si="215"/>
        <v>27</v>
      </c>
      <c r="J78" s="188">
        <v>0.0</v>
      </c>
      <c r="K78" s="188">
        <v>0.0</v>
      </c>
      <c r="L78" s="188">
        <v>0.0</v>
      </c>
      <c r="M78" s="188">
        <f t="shared" si="216"/>
        <v>0</v>
      </c>
      <c r="N78" s="188">
        <v>0.0</v>
      </c>
      <c r="O78" s="188">
        <v>0.0</v>
      </c>
      <c r="P78" s="188">
        <v>0.0</v>
      </c>
      <c r="Q78" s="188">
        <f t="shared" si="217"/>
        <v>0</v>
      </c>
      <c r="R78" s="188">
        <f t="shared" si="218"/>
        <v>50</v>
      </c>
      <c r="S78" s="188">
        <v>0.0</v>
      </c>
      <c r="T78" s="188">
        <v>2.0</v>
      </c>
      <c r="U78" s="154">
        <f t="shared" si="219"/>
        <v>2</v>
      </c>
      <c r="V78" s="188">
        <v>0.0</v>
      </c>
      <c r="W78" s="188"/>
      <c r="X78" s="154">
        <f t="shared" si="220"/>
        <v>0</v>
      </c>
      <c r="Y78" s="188">
        <v>67.0</v>
      </c>
      <c r="Z78" s="188">
        <v>67.0</v>
      </c>
      <c r="AA78" s="154">
        <f t="shared" si="221"/>
        <v>0</v>
      </c>
      <c r="AB78" s="154">
        <f t="shared" si="222"/>
        <v>71</v>
      </c>
      <c r="AC78" s="188">
        <v>3.0</v>
      </c>
      <c r="AD78" s="188">
        <v>3.0</v>
      </c>
      <c r="AE78" s="154">
        <f t="shared" si="223"/>
        <v>0</v>
      </c>
      <c r="AF78" s="188">
        <v>0.0</v>
      </c>
      <c r="AG78" s="188">
        <v>0.0</v>
      </c>
      <c r="AH78" s="154">
        <f t="shared" si="224"/>
        <v>0</v>
      </c>
      <c r="AI78" s="188">
        <v>0.0</v>
      </c>
      <c r="AJ78" s="188">
        <v>0.0</v>
      </c>
      <c r="AK78" s="154">
        <f t="shared" si="225"/>
        <v>0</v>
      </c>
      <c r="AL78" s="154">
        <f t="shared" si="226"/>
        <v>6</v>
      </c>
      <c r="AM78" s="154">
        <v>1.0</v>
      </c>
      <c r="AN78" s="188">
        <f t="shared" si="227"/>
        <v>2</v>
      </c>
      <c r="AO78" s="188">
        <f t="shared" si="228"/>
        <v>3</v>
      </c>
      <c r="AP78" s="154"/>
      <c r="AQ78" s="154"/>
      <c r="AR78" s="154">
        <f t="shared" si="229"/>
        <v>6</v>
      </c>
      <c r="AS78" s="154"/>
      <c r="AT78" s="154"/>
      <c r="AU78" s="154"/>
      <c r="AV78" s="154">
        <f t="shared" si="230"/>
        <v>0</v>
      </c>
      <c r="AW78" s="154">
        <f t="shared" si="231"/>
        <v>83</v>
      </c>
      <c r="AX78" s="154">
        <f t="shared" si="17"/>
        <v>133</v>
      </c>
      <c r="AY78" s="4"/>
      <c r="AZ78" s="4"/>
      <c r="BA78" s="4"/>
      <c r="BB78" s="4"/>
      <c r="BC78" s="4"/>
      <c r="BD78" s="4"/>
      <c r="BE78" s="4"/>
      <c r="BF78" s="4"/>
    </row>
    <row r="79" ht="15.75" customHeight="1">
      <c r="A79" s="167" t="s">
        <v>149</v>
      </c>
      <c r="B79" s="188">
        <v>0.0</v>
      </c>
      <c r="C79" s="188">
        <v>114.0</v>
      </c>
      <c r="D79" s="188">
        <v>20.0</v>
      </c>
      <c r="E79" s="188">
        <f t="shared" si="214"/>
        <v>134</v>
      </c>
      <c r="F79" s="188">
        <v>2.0</v>
      </c>
      <c r="G79" s="188">
        <v>19.0</v>
      </c>
      <c r="H79" s="188">
        <v>68.0</v>
      </c>
      <c r="I79" s="188">
        <f t="shared" si="215"/>
        <v>89</v>
      </c>
      <c r="J79" s="186"/>
      <c r="K79" s="186"/>
      <c r="L79" s="188">
        <v>0.0</v>
      </c>
      <c r="M79" s="188">
        <f t="shared" si="216"/>
        <v>0</v>
      </c>
      <c r="N79" s="188">
        <v>0.0</v>
      </c>
      <c r="O79" s="186"/>
      <c r="P79" s="186"/>
      <c r="Q79" s="188">
        <f t="shared" si="217"/>
        <v>0</v>
      </c>
      <c r="R79" s="188">
        <f t="shared" si="218"/>
        <v>223</v>
      </c>
      <c r="S79" s="190"/>
      <c r="T79" s="190"/>
      <c r="U79" s="154">
        <f t="shared" si="219"/>
        <v>0</v>
      </c>
      <c r="V79" s="190"/>
      <c r="W79" s="190"/>
      <c r="X79" s="154">
        <f t="shared" si="220"/>
        <v>0</v>
      </c>
      <c r="Y79" s="188">
        <v>200.0</v>
      </c>
      <c r="Z79" s="188">
        <v>200.0</v>
      </c>
      <c r="AA79" s="154">
        <f t="shared" si="221"/>
        <v>0</v>
      </c>
      <c r="AB79" s="154">
        <f t="shared" si="222"/>
        <v>200</v>
      </c>
      <c r="AC79" s="188">
        <v>9.0</v>
      </c>
      <c r="AD79" s="188">
        <v>9.0</v>
      </c>
      <c r="AE79" s="154">
        <f t="shared" si="223"/>
        <v>0</v>
      </c>
      <c r="AF79" s="188">
        <v>0.0</v>
      </c>
      <c r="AG79" s="188">
        <v>0.0</v>
      </c>
      <c r="AH79" s="154">
        <f t="shared" si="224"/>
        <v>0</v>
      </c>
      <c r="AI79" s="188">
        <v>1.0</v>
      </c>
      <c r="AJ79" s="188">
        <v>1.0</v>
      </c>
      <c r="AK79" s="154">
        <f t="shared" si="225"/>
        <v>0</v>
      </c>
      <c r="AL79" s="154">
        <f t="shared" si="226"/>
        <v>19</v>
      </c>
      <c r="AM79" s="154">
        <v>2.0</v>
      </c>
      <c r="AN79" s="188">
        <f t="shared" si="227"/>
        <v>0</v>
      </c>
      <c r="AO79" s="188">
        <f t="shared" si="228"/>
        <v>2</v>
      </c>
      <c r="AP79" s="154"/>
      <c r="AQ79" s="154"/>
      <c r="AR79" s="154">
        <f t="shared" si="229"/>
        <v>4</v>
      </c>
      <c r="AS79" s="154"/>
      <c r="AT79" s="154"/>
      <c r="AU79" s="154"/>
      <c r="AV79" s="154">
        <f t="shared" si="230"/>
        <v>0</v>
      </c>
      <c r="AW79" s="154">
        <f t="shared" si="231"/>
        <v>223</v>
      </c>
      <c r="AX79" s="154">
        <f t="shared" si="17"/>
        <v>446</v>
      </c>
      <c r="AY79" s="4"/>
      <c r="AZ79" s="4"/>
      <c r="BA79" s="4"/>
      <c r="BB79" s="4"/>
      <c r="BC79" s="4"/>
      <c r="BD79" s="4"/>
      <c r="BE79" s="4"/>
      <c r="BF79" s="4"/>
    </row>
    <row r="80" ht="15.75" customHeight="1">
      <c r="A80" s="167" t="s">
        <v>150</v>
      </c>
      <c r="B80" s="188">
        <v>0.0</v>
      </c>
      <c r="C80" s="188">
        <v>0.0</v>
      </c>
      <c r="D80" s="188">
        <v>0.0</v>
      </c>
      <c r="E80" s="188">
        <f t="shared" si="214"/>
        <v>0</v>
      </c>
      <c r="F80" s="188">
        <v>0.0</v>
      </c>
      <c r="G80" s="188">
        <v>0.0</v>
      </c>
      <c r="H80" s="186"/>
      <c r="I80" s="188">
        <f t="shared" si="215"/>
        <v>0</v>
      </c>
      <c r="J80" s="186"/>
      <c r="K80" s="186"/>
      <c r="L80" s="186"/>
      <c r="M80" s="188">
        <f t="shared" si="216"/>
        <v>0</v>
      </c>
      <c r="N80" s="186"/>
      <c r="O80" s="186"/>
      <c r="P80" s="186"/>
      <c r="Q80" s="188">
        <f t="shared" si="217"/>
        <v>0</v>
      </c>
      <c r="R80" s="188">
        <f t="shared" si="218"/>
        <v>0</v>
      </c>
      <c r="S80" s="190"/>
      <c r="T80" s="190"/>
      <c r="U80" s="154">
        <f t="shared" si="219"/>
        <v>0</v>
      </c>
      <c r="V80" s="190"/>
      <c r="W80" s="190"/>
      <c r="X80" s="154">
        <f t="shared" si="220"/>
        <v>0</v>
      </c>
      <c r="Y80" s="188">
        <v>0.0</v>
      </c>
      <c r="Z80" s="188">
        <v>0.0</v>
      </c>
      <c r="AA80" s="154">
        <f t="shared" si="221"/>
        <v>0</v>
      </c>
      <c r="AB80" s="154">
        <f t="shared" si="222"/>
        <v>0</v>
      </c>
      <c r="AC80" s="188">
        <v>0.0</v>
      </c>
      <c r="AD80" s="188">
        <v>0.0</v>
      </c>
      <c r="AE80" s="154">
        <f t="shared" si="223"/>
        <v>0</v>
      </c>
      <c r="AF80" s="188">
        <v>0.0</v>
      </c>
      <c r="AG80" s="188">
        <v>0.0</v>
      </c>
      <c r="AH80" s="154">
        <f t="shared" si="224"/>
        <v>0</v>
      </c>
      <c r="AI80" s="188">
        <v>0.0</v>
      </c>
      <c r="AJ80" s="188">
        <v>0.0</v>
      </c>
      <c r="AK80" s="154">
        <f t="shared" si="225"/>
        <v>0</v>
      </c>
      <c r="AL80" s="154">
        <f t="shared" si="226"/>
        <v>0</v>
      </c>
      <c r="AM80" s="154">
        <v>0.0</v>
      </c>
      <c r="AN80" s="188">
        <f t="shared" si="227"/>
        <v>0</v>
      </c>
      <c r="AO80" s="188">
        <f t="shared" si="228"/>
        <v>0</v>
      </c>
      <c r="AP80" s="154"/>
      <c r="AQ80" s="154"/>
      <c r="AR80" s="154">
        <f t="shared" si="229"/>
        <v>0</v>
      </c>
      <c r="AS80" s="154"/>
      <c r="AT80" s="154"/>
      <c r="AU80" s="154"/>
      <c r="AV80" s="154">
        <f t="shared" si="230"/>
        <v>0</v>
      </c>
      <c r="AW80" s="154">
        <f t="shared" si="231"/>
        <v>0</v>
      </c>
      <c r="AX80" s="154">
        <f t="shared" si="17"/>
        <v>0</v>
      </c>
      <c r="AY80" s="4"/>
      <c r="AZ80" s="4"/>
      <c r="BA80" s="4"/>
      <c r="BB80" s="4"/>
      <c r="BC80" s="4"/>
      <c r="BD80" s="4"/>
      <c r="BE80" s="4"/>
      <c r="BF80" s="4"/>
    </row>
    <row r="81" ht="15.75" customHeight="1">
      <c r="A81" s="137" t="s">
        <v>151</v>
      </c>
      <c r="B81" s="191">
        <f t="shared" ref="B81:AW81" si="232">SUM(B82:B86)</f>
        <v>0</v>
      </c>
      <c r="C81" s="191">
        <f t="shared" si="232"/>
        <v>1028</v>
      </c>
      <c r="D81" s="191">
        <f t="shared" si="232"/>
        <v>0</v>
      </c>
      <c r="E81" s="191">
        <f t="shared" si="232"/>
        <v>1028</v>
      </c>
      <c r="F81" s="191">
        <f t="shared" si="232"/>
        <v>40</v>
      </c>
      <c r="G81" s="191">
        <f t="shared" si="232"/>
        <v>0</v>
      </c>
      <c r="H81" s="191">
        <f t="shared" si="232"/>
        <v>1</v>
      </c>
      <c r="I81" s="191">
        <f t="shared" si="232"/>
        <v>41</v>
      </c>
      <c r="J81" s="191">
        <f t="shared" si="232"/>
        <v>2</v>
      </c>
      <c r="K81" s="191">
        <f t="shared" si="232"/>
        <v>0</v>
      </c>
      <c r="L81" s="191">
        <f t="shared" si="232"/>
        <v>0</v>
      </c>
      <c r="M81" s="191">
        <f t="shared" si="232"/>
        <v>2</v>
      </c>
      <c r="N81" s="191">
        <f t="shared" si="232"/>
        <v>0</v>
      </c>
      <c r="O81" s="191">
        <f t="shared" si="232"/>
        <v>0</v>
      </c>
      <c r="P81" s="191">
        <f t="shared" si="232"/>
        <v>0</v>
      </c>
      <c r="Q81" s="191">
        <f t="shared" si="232"/>
        <v>0</v>
      </c>
      <c r="R81" s="191">
        <f t="shared" si="232"/>
        <v>1071</v>
      </c>
      <c r="S81" s="187">
        <f t="shared" si="232"/>
        <v>0</v>
      </c>
      <c r="T81" s="187">
        <f t="shared" si="232"/>
        <v>4</v>
      </c>
      <c r="U81" s="141">
        <f t="shared" si="232"/>
        <v>4</v>
      </c>
      <c r="V81" s="187">
        <f t="shared" si="232"/>
        <v>0</v>
      </c>
      <c r="W81" s="187">
        <f t="shared" si="232"/>
        <v>6</v>
      </c>
      <c r="X81" s="141">
        <f t="shared" si="232"/>
        <v>6</v>
      </c>
      <c r="Y81" s="187">
        <f t="shared" si="232"/>
        <v>347</v>
      </c>
      <c r="Z81" s="187">
        <f t="shared" si="232"/>
        <v>347</v>
      </c>
      <c r="AA81" s="141">
        <f t="shared" si="232"/>
        <v>0</v>
      </c>
      <c r="AB81" s="141">
        <f t="shared" si="232"/>
        <v>367</v>
      </c>
      <c r="AC81" s="187">
        <f t="shared" si="232"/>
        <v>1</v>
      </c>
      <c r="AD81" s="187">
        <f t="shared" si="232"/>
        <v>1</v>
      </c>
      <c r="AE81" s="141">
        <f t="shared" si="232"/>
        <v>0</v>
      </c>
      <c r="AF81" s="187">
        <f t="shared" si="232"/>
        <v>93</v>
      </c>
      <c r="AG81" s="141">
        <f t="shared" si="232"/>
        <v>92</v>
      </c>
      <c r="AH81" s="141">
        <f t="shared" si="232"/>
        <v>-1</v>
      </c>
      <c r="AI81" s="187">
        <f t="shared" si="232"/>
        <v>1250</v>
      </c>
      <c r="AJ81" s="141">
        <f t="shared" si="232"/>
        <v>1265</v>
      </c>
      <c r="AK81" s="141">
        <f t="shared" si="232"/>
        <v>15</v>
      </c>
      <c r="AL81" s="141">
        <f t="shared" si="232"/>
        <v>1436</v>
      </c>
      <c r="AM81" s="141">
        <f t="shared" si="232"/>
        <v>2351</v>
      </c>
      <c r="AN81" s="187">
        <f t="shared" si="232"/>
        <v>24</v>
      </c>
      <c r="AO81" s="187">
        <f t="shared" si="232"/>
        <v>2375</v>
      </c>
      <c r="AP81" s="141">
        <f t="shared" si="232"/>
        <v>0</v>
      </c>
      <c r="AQ81" s="141">
        <f t="shared" si="232"/>
        <v>0</v>
      </c>
      <c r="AR81" s="141">
        <f t="shared" si="232"/>
        <v>4750</v>
      </c>
      <c r="AS81" s="141">
        <f t="shared" si="232"/>
        <v>0</v>
      </c>
      <c r="AT81" s="141">
        <f t="shared" si="232"/>
        <v>0</v>
      </c>
      <c r="AU81" s="141">
        <f t="shared" si="232"/>
        <v>0</v>
      </c>
      <c r="AV81" s="141">
        <f t="shared" si="232"/>
        <v>0</v>
      </c>
      <c r="AW81" s="141">
        <f t="shared" si="232"/>
        <v>6553</v>
      </c>
      <c r="AX81" s="141">
        <f t="shared" si="17"/>
        <v>7624</v>
      </c>
      <c r="AY81" s="4"/>
      <c r="AZ81" s="4"/>
      <c r="BA81" s="4"/>
      <c r="BB81" s="4"/>
      <c r="BC81" s="4"/>
      <c r="BD81" s="4"/>
      <c r="BE81" s="4"/>
      <c r="BF81" s="4"/>
    </row>
    <row r="82" ht="15.75" customHeight="1">
      <c r="A82" s="167" t="s">
        <v>152</v>
      </c>
      <c r="B82" s="188">
        <v>0.0</v>
      </c>
      <c r="C82" s="188">
        <v>211.0</v>
      </c>
      <c r="D82" s="188">
        <v>0.0</v>
      </c>
      <c r="E82" s="188">
        <f t="shared" ref="E82:E86" si="233">SUM(B82:D82)</f>
        <v>211</v>
      </c>
      <c r="F82" s="188">
        <v>7.0</v>
      </c>
      <c r="G82" s="188">
        <v>0.0</v>
      </c>
      <c r="H82" s="188">
        <v>0.0</v>
      </c>
      <c r="I82" s="188">
        <f t="shared" ref="I82:I86" si="234">SUM(F82:H82)</f>
        <v>7</v>
      </c>
      <c r="J82" s="188">
        <v>2.0</v>
      </c>
      <c r="K82" s="186"/>
      <c r="L82" s="188">
        <v>0.0</v>
      </c>
      <c r="M82" s="188">
        <f t="shared" ref="M82:M86" si="235">SUM(J82:L82)</f>
        <v>2</v>
      </c>
      <c r="N82" s="188">
        <v>0.0</v>
      </c>
      <c r="O82" s="188">
        <v>0.0</v>
      </c>
      <c r="P82" s="188">
        <v>0.0</v>
      </c>
      <c r="Q82" s="188">
        <f t="shared" ref="Q82:Q86" si="236">SUM(N82:P82)</f>
        <v>0</v>
      </c>
      <c r="R82" s="188">
        <f t="shared" ref="R82:R86" si="237">SUM(E82,I82,M82,Q82)</f>
        <v>220</v>
      </c>
      <c r="S82" s="188">
        <v>0.0</v>
      </c>
      <c r="T82" s="186">
        <v>1.0</v>
      </c>
      <c r="U82" s="154">
        <f t="shared" ref="U82:U86" si="238">T82-S82</f>
        <v>1</v>
      </c>
      <c r="V82" s="190"/>
      <c r="W82" s="190">
        <v>1.0</v>
      </c>
      <c r="X82" s="154">
        <f t="shared" ref="X82:X86" si="239">W82-V82</f>
        <v>1</v>
      </c>
      <c r="Y82" s="188">
        <v>38.0</v>
      </c>
      <c r="Z82" s="188">
        <v>38.0</v>
      </c>
      <c r="AA82" s="154">
        <f t="shared" ref="AA82:AA86" si="240">Z82-Y82</f>
        <v>0</v>
      </c>
      <c r="AB82" s="154">
        <f t="shared" ref="AB82:AB86" si="241">SUM(S82:Y82)</f>
        <v>42</v>
      </c>
      <c r="AC82" s="188">
        <v>0.0</v>
      </c>
      <c r="AD82" s="188">
        <v>0.0</v>
      </c>
      <c r="AE82" s="154">
        <f t="shared" ref="AE82:AE86" si="242">AD82-AC82</f>
        <v>0</v>
      </c>
      <c r="AF82" s="188">
        <v>76.0</v>
      </c>
      <c r="AG82" s="154">
        <v>76.0</v>
      </c>
      <c r="AH82" s="154">
        <f t="shared" ref="AH82:AH86" si="243">AG82-AF82</f>
        <v>0</v>
      </c>
      <c r="AI82" s="188">
        <v>1236.0</v>
      </c>
      <c r="AJ82" s="154">
        <v>1251.0</v>
      </c>
      <c r="AK82" s="154">
        <f t="shared" ref="AK82:AK86" si="244">AJ82-AI82</f>
        <v>15</v>
      </c>
      <c r="AL82" s="154">
        <f t="shared" ref="AL82:AL86" si="245">SUM(AC82:AI82)</f>
        <v>1388</v>
      </c>
      <c r="AM82" s="154">
        <v>1366.0</v>
      </c>
      <c r="AN82" s="188">
        <f t="shared" ref="AN82:AN86" si="246">SUM(U82,X82,AA82,AE82,AH82,AK82)</f>
        <v>17</v>
      </c>
      <c r="AO82" s="188">
        <f t="shared" ref="AO82:AO86" si="247">AM82+AN82</f>
        <v>1383</v>
      </c>
      <c r="AP82" s="154"/>
      <c r="AQ82" s="154"/>
      <c r="AR82" s="154">
        <f t="shared" ref="AR82:AR86" si="248">SUM(AM82:AQ82)</f>
        <v>2766</v>
      </c>
      <c r="AS82" s="154"/>
      <c r="AT82" s="154"/>
      <c r="AU82" s="154"/>
      <c r="AV82" s="154">
        <f t="shared" ref="AV82:AV86" si="249">SUM(AS82:AU82)</f>
        <v>0</v>
      </c>
      <c r="AW82" s="154">
        <f t="shared" ref="AW82:AW86" si="250">SUM(AB82,AL82,AR82,AV82)</f>
        <v>4196</v>
      </c>
      <c r="AX82" s="154">
        <f t="shared" si="17"/>
        <v>4416</v>
      </c>
      <c r="AY82" s="4"/>
      <c r="AZ82" s="4"/>
      <c r="BA82" s="4"/>
      <c r="BB82" s="4"/>
      <c r="BC82" s="4"/>
      <c r="BD82" s="4"/>
      <c r="BE82" s="4"/>
      <c r="BF82" s="4"/>
    </row>
    <row r="83" ht="15.75" customHeight="1">
      <c r="A83" s="167" t="s">
        <v>153</v>
      </c>
      <c r="B83" s="188">
        <v>0.0</v>
      </c>
      <c r="C83" s="188">
        <v>0.0</v>
      </c>
      <c r="D83" s="188">
        <v>0.0</v>
      </c>
      <c r="E83" s="188">
        <f t="shared" si="233"/>
        <v>0</v>
      </c>
      <c r="F83" s="188">
        <v>1.0</v>
      </c>
      <c r="G83" s="188">
        <v>0.0</v>
      </c>
      <c r="H83" s="188">
        <v>0.0</v>
      </c>
      <c r="I83" s="188">
        <f t="shared" si="234"/>
        <v>1</v>
      </c>
      <c r="J83" s="188">
        <v>0.0</v>
      </c>
      <c r="K83" s="186"/>
      <c r="L83" s="188">
        <v>0.0</v>
      </c>
      <c r="M83" s="188">
        <f t="shared" si="235"/>
        <v>0</v>
      </c>
      <c r="N83" s="188">
        <v>0.0</v>
      </c>
      <c r="O83" s="188">
        <v>0.0</v>
      </c>
      <c r="P83" s="188">
        <v>0.0</v>
      </c>
      <c r="Q83" s="188">
        <f t="shared" si="236"/>
        <v>0</v>
      </c>
      <c r="R83" s="188">
        <f t="shared" si="237"/>
        <v>1</v>
      </c>
      <c r="S83" s="188">
        <v>0.0</v>
      </c>
      <c r="T83" s="186"/>
      <c r="U83" s="154">
        <f t="shared" si="238"/>
        <v>0</v>
      </c>
      <c r="V83" s="190"/>
      <c r="W83" s="190"/>
      <c r="X83" s="154">
        <f t="shared" si="239"/>
        <v>0</v>
      </c>
      <c r="Y83" s="188">
        <v>0.0</v>
      </c>
      <c r="Z83" s="188">
        <v>0.0</v>
      </c>
      <c r="AA83" s="154">
        <f t="shared" si="240"/>
        <v>0</v>
      </c>
      <c r="AB83" s="154">
        <f t="shared" si="241"/>
        <v>0</v>
      </c>
      <c r="AC83" s="188">
        <v>0.0</v>
      </c>
      <c r="AD83" s="188">
        <v>0.0</v>
      </c>
      <c r="AE83" s="154">
        <f t="shared" si="242"/>
        <v>0</v>
      </c>
      <c r="AF83" s="188">
        <v>0.0</v>
      </c>
      <c r="AG83" s="154">
        <v>0.0</v>
      </c>
      <c r="AH83" s="154">
        <f t="shared" si="243"/>
        <v>0</v>
      </c>
      <c r="AI83" s="188">
        <v>0.0</v>
      </c>
      <c r="AJ83" s="154">
        <v>0.0</v>
      </c>
      <c r="AK83" s="154">
        <f t="shared" si="244"/>
        <v>0</v>
      </c>
      <c r="AL83" s="154">
        <f t="shared" si="245"/>
        <v>0</v>
      </c>
      <c r="AM83" s="154">
        <v>0.0</v>
      </c>
      <c r="AN83" s="188">
        <f t="shared" si="246"/>
        <v>0</v>
      </c>
      <c r="AO83" s="188">
        <f t="shared" si="247"/>
        <v>0</v>
      </c>
      <c r="AP83" s="154"/>
      <c r="AQ83" s="154"/>
      <c r="AR83" s="154">
        <f t="shared" si="248"/>
        <v>0</v>
      </c>
      <c r="AS83" s="154"/>
      <c r="AT83" s="154"/>
      <c r="AU83" s="154"/>
      <c r="AV83" s="154">
        <f t="shared" si="249"/>
        <v>0</v>
      </c>
      <c r="AW83" s="154">
        <f t="shared" si="250"/>
        <v>0</v>
      </c>
      <c r="AX83" s="154">
        <f t="shared" si="17"/>
        <v>1</v>
      </c>
      <c r="AY83" s="4"/>
      <c r="AZ83" s="4"/>
      <c r="BA83" s="4"/>
      <c r="BB83" s="4"/>
      <c r="BC83" s="4"/>
      <c r="BD83" s="4"/>
      <c r="BE83" s="4"/>
      <c r="BF83" s="4"/>
    </row>
    <row r="84" ht="15.75" customHeight="1">
      <c r="A84" s="169" t="s">
        <v>154</v>
      </c>
      <c r="B84" s="188">
        <v>0.0</v>
      </c>
      <c r="C84" s="188">
        <v>652.0</v>
      </c>
      <c r="D84" s="188">
        <v>0.0</v>
      </c>
      <c r="E84" s="188">
        <f t="shared" si="233"/>
        <v>652</v>
      </c>
      <c r="F84" s="188">
        <v>25.0</v>
      </c>
      <c r="G84" s="188">
        <v>0.0</v>
      </c>
      <c r="H84" s="188">
        <v>1.0</v>
      </c>
      <c r="I84" s="188">
        <f t="shared" si="234"/>
        <v>26</v>
      </c>
      <c r="J84" s="188">
        <v>0.0</v>
      </c>
      <c r="K84" s="188">
        <v>0.0</v>
      </c>
      <c r="L84" s="188">
        <v>0.0</v>
      </c>
      <c r="M84" s="188">
        <f t="shared" si="235"/>
        <v>0</v>
      </c>
      <c r="N84" s="188">
        <v>0.0</v>
      </c>
      <c r="O84" s="188">
        <v>0.0</v>
      </c>
      <c r="P84" s="188">
        <v>0.0</v>
      </c>
      <c r="Q84" s="188">
        <f t="shared" si="236"/>
        <v>0</v>
      </c>
      <c r="R84" s="188">
        <f t="shared" si="237"/>
        <v>678</v>
      </c>
      <c r="S84" s="188">
        <v>0.0</v>
      </c>
      <c r="T84" s="188">
        <v>2.0</v>
      </c>
      <c r="U84" s="154">
        <f t="shared" si="238"/>
        <v>2</v>
      </c>
      <c r="V84" s="188">
        <v>0.0</v>
      </c>
      <c r="W84" s="188"/>
      <c r="X84" s="154">
        <f t="shared" si="239"/>
        <v>0</v>
      </c>
      <c r="Y84" s="188">
        <v>41.0</v>
      </c>
      <c r="Z84" s="188">
        <v>41.0</v>
      </c>
      <c r="AA84" s="154">
        <f t="shared" si="240"/>
        <v>0</v>
      </c>
      <c r="AB84" s="154">
        <f t="shared" si="241"/>
        <v>45</v>
      </c>
      <c r="AC84" s="188">
        <v>1.0</v>
      </c>
      <c r="AD84" s="188">
        <v>1.0</v>
      </c>
      <c r="AE84" s="154">
        <f t="shared" si="242"/>
        <v>0</v>
      </c>
      <c r="AF84" s="188">
        <v>3.0</v>
      </c>
      <c r="AG84" s="154">
        <v>3.0</v>
      </c>
      <c r="AH84" s="154">
        <f t="shared" si="243"/>
        <v>0</v>
      </c>
      <c r="AI84" s="188">
        <v>0.0</v>
      </c>
      <c r="AJ84" s="154">
        <v>0.0</v>
      </c>
      <c r="AK84" s="154">
        <f t="shared" si="244"/>
        <v>0</v>
      </c>
      <c r="AL84" s="154">
        <f t="shared" si="245"/>
        <v>8</v>
      </c>
      <c r="AM84" s="154">
        <v>315.0</v>
      </c>
      <c r="AN84" s="188">
        <f t="shared" si="246"/>
        <v>2</v>
      </c>
      <c r="AO84" s="188">
        <f t="shared" si="247"/>
        <v>317</v>
      </c>
      <c r="AP84" s="154"/>
      <c r="AQ84" s="154"/>
      <c r="AR84" s="154">
        <f t="shared" si="248"/>
        <v>634</v>
      </c>
      <c r="AS84" s="154"/>
      <c r="AT84" s="154"/>
      <c r="AU84" s="154"/>
      <c r="AV84" s="154">
        <f t="shared" si="249"/>
        <v>0</v>
      </c>
      <c r="AW84" s="154">
        <f t="shared" si="250"/>
        <v>687</v>
      </c>
      <c r="AX84" s="154">
        <f t="shared" si="17"/>
        <v>1365</v>
      </c>
      <c r="AY84" s="4"/>
      <c r="AZ84" s="4"/>
      <c r="BA84" s="4"/>
      <c r="BB84" s="4"/>
      <c r="BC84" s="4"/>
      <c r="BD84" s="4"/>
      <c r="BE84" s="4"/>
      <c r="BF84" s="4"/>
    </row>
    <row r="85" ht="15.75" customHeight="1">
      <c r="A85" s="167" t="s">
        <v>155</v>
      </c>
      <c r="B85" s="188">
        <v>0.0</v>
      </c>
      <c r="C85" s="188">
        <v>143.0</v>
      </c>
      <c r="D85" s="188">
        <v>0.0</v>
      </c>
      <c r="E85" s="188">
        <f t="shared" si="233"/>
        <v>143</v>
      </c>
      <c r="F85" s="188">
        <v>6.0</v>
      </c>
      <c r="G85" s="188">
        <v>0.0</v>
      </c>
      <c r="H85" s="188">
        <v>0.0</v>
      </c>
      <c r="I85" s="188">
        <f t="shared" si="234"/>
        <v>6</v>
      </c>
      <c r="J85" s="188">
        <v>0.0</v>
      </c>
      <c r="K85" s="186"/>
      <c r="L85" s="188">
        <v>0.0</v>
      </c>
      <c r="M85" s="188">
        <f t="shared" si="235"/>
        <v>0</v>
      </c>
      <c r="N85" s="188">
        <v>0.0</v>
      </c>
      <c r="O85" s="186"/>
      <c r="P85" s="186"/>
      <c r="Q85" s="188">
        <f t="shared" si="236"/>
        <v>0</v>
      </c>
      <c r="R85" s="188">
        <f t="shared" si="237"/>
        <v>149</v>
      </c>
      <c r="S85" s="190"/>
      <c r="T85" s="186">
        <v>1.0</v>
      </c>
      <c r="U85" s="154">
        <f t="shared" si="238"/>
        <v>1</v>
      </c>
      <c r="V85" s="190"/>
      <c r="W85" s="190">
        <v>5.0</v>
      </c>
      <c r="X85" s="154">
        <f t="shared" si="239"/>
        <v>5</v>
      </c>
      <c r="Y85" s="188">
        <v>209.0</v>
      </c>
      <c r="Z85" s="188">
        <v>209.0</v>
      </c>
      <c r="AA85" s="154">
        <f t="shared" si="240"/>
        <v>0</v>
      </c>
      <c r="AB85" s="154">
        <f t="shared" si="241"/>
        <v>221</v>
      </c>
      <c r="AC85" s="188">
        <v>0.0</v>
      </c>
      <c r="AD85" s="188">
        <v>0.0</v>
      </c>
      <c r="AE85" s="154">
        <f t="shared" si="242"/>
        <v>0</v>
      </c>
      <c r="AF85" s="188">
        <v>14.0</v>
      </c>
      <c r="AG85" s="154">
        <v>13.0</v>
      </c>
      <c r="AH85" s="154">
        <f t="shared" si="243"/>
        <v>-1</v>
      </c>
      <c r="AI85" s="188">
        <v>14.0</v>
      </c>
      <c r="AJ85" s="154">
        <v>14.0</v>
      </c>
      <c r="AK85" s="154">
        <f t="shared" si="244"/>
        <v>0</v>
      </c>
      <c r="AL85" s="154">
        <f t="shared" si="245"/>
        <v>40</v>
      </c>
      <c r="AM85" s="154">
        <v>670.0</v>
      </c>
      <c r="AN85" s="188">
        <f t="shared" si="246"/>
        <v>5</v>
      </c>
      <c r="AO85" s="188">
        <f t="shared" si="247"/>
        <v>675</v>
      </c>
      <c r="AP85" s="154"/>
      <c r="AQ85" s="154"/>
      <c r="AR85" s="154">
        <f t="shared" si="248"/>
        <v>1350</v>
      </c>
      <c r="AS85" s="154"/>
      <c r="AT85" s="154"/>
      <c r="AU85" s="154"/>
      <c r="AV85" s="154">
        <f t="shared" si="249"/>
        <v>0</v>
      </c>
      <c r="AW85" s="154">
        <f t="shared" si="250"/>
        <v>1611</v>
      </c>
      <c r="AX85" s="154">
        <f t="shared" si="17"/>
        <v>1760</v>
      </c>
      <c r="AY85" s="4"/>
      <c r="AZ85" s="4"/>
      <c r="BA85" s="4"/>
      <c r="BB85" s="4"/>
      <c r="BC85" s="4"/>
      <c r="BD85" s="4"/>
      <c r="BE85" s="4"/>
      <c r="BF85" s="4"/>
    </row>
    <row r="86" ht="15.75" customHeight="1">
      <c r="A86" s="169" t="s">
        <v>158</v>
      </c>
      <c r="B86" s="188">
        <v>0.0</v>
      </c>
      <c r="C86" s="188">
        <v>22.0</v>
      </c>
      <c r="D86" s="188">
        <v>0.0</v>
      </c>
      <c r="E86" s="188">
        <f t="shared" si="233"/>
        <v>22</v>
      </c>
      <c r="F86" s="188">
        <v>1.0</v>
      </c>
      <c r="G86" s="188">
        <v>0.0</v>
      </c>
      <c r="H86" s="188">
        <v>0.0</v>
      </c>
      <c r="I86" s="188">
        <f t="shared" si="234"/>
        <v>1</v>
      </c>
      <c r="J86" s="188">
        <v>0.0</v>
      </c>
      <c r="K86" s="188">
        <v>0.0</v>
      </c>
      <c r="L86" s="188">
        <v>0.0</v>
      </c>
      <c r="M86" s="188">
        <f t="shared" si="235"/>
        <v>0</v>
      </c>
      <c r="N86" s="188">
        <v>0.0</v>
      </c>
      <c r="O86" s="188">
        <v>0.0</v>
      </c>
      <c r="P86" s="188">
        <v>0.0</v>
      </c>
      <c r="Q86" s="188">
        <f t="shared" si="236"/>
        <v>0</v>
      </c>
      <c r="R86" s="188">
        <f t="shared" si="237"/>
        <v>23</v>
      </c>
      <c r="S86" s="188">
        <v>0.0</v>
      </c>
      <c r="T86" s="188"/>
      <c r="U86" s="154">
        <f t="shared" si="238"/>
        <v>0</v>
      </c>
      <c r="V86" s="188">
        <v>0.0</v>
      </c>
      <c r="W86" s="188"/>
      <c r="X86" s="154">
        <f t="shared" si="239"/>
        <v>0</v>
      </c>
      <c r="Y86" s="188">
        <v>59.0</v>
      </c>
      <c r="Z86" s="188">
        <v>59.0</v>
      </c>
      <c r="AA86" s="154">
        <f t="shared" si="240"/>
        <v>0</v>
      </c>
      <c r="AB86" s="154">
        <f t="shared" si="241"/>
        <v>59</v>
      </c>
      <c r="AC86" s="188">
        <v>0.0</v>
      </c>
      <c r="AD86" s="188">
        <v>0.0</v>
      </c>
      <c r="AE86" s="154">
        <f t="shared" si="242"/>
        <v>0</v>
      </c>
      <c r="AF86" s="188">
        <v>0.0</v>
      </c>
      <c r="AG86" s="154">
        <v>0.0</v>
      </c>
      <c r="AH86" s="154">
        <f t="shared" si="243"/>
        <v>0</v>
      </c>
      <c r="AI86" s="188">
        <v>0.0</v>
      </c>
      <c r="AJ86" s="154">
        <v>0.0</v>
      </c>
      <c r="AK86" s="154">
        <f t="shared" si="244"/>
        <v>0</v>
      </c>
      <c r="AL86" s="154">
        <f t="shared" si="245"/>
        <v>0</v>
      </c>
      <c r="AM86" s="154">
        <v>0.0</v>
      </c>
      <c r="AN86" s="188">
        <f t="shared" si="246"/>
        <v>0</v>
      </c>
      <c r="AO86" s="188">
        <f t="shared" si="247"/>
        <v>0</v>
      </c>
      <c r="AP86" s="154"/>
      <c r="AQ86" s="154"/>
      <c r="AR86" s="154">
        <f t="shared" si="248"/>
        <v>0</v>
      </c>
      <c r="AS86" s="154"/>
      <c r="AT86" s="154"/>
      <c r="AU86" s="154"/>
      <c r="AV86" s="154">
        <f t="shared" si="249"/>
        <v>0</v>
      </c>
      <c r="AW86" s="154">
        <f t="shared" si="250"/>
        <v>59</v>
      </c>
      <c r="AX86" s="154">
        <f t="shared" si="17"/>
        <v>82</v>
      </c>
      <c r="AY86" s="4"/>
      <c r="AZ86" s="4"/>
      <c r="BA86" s="4"/>
      <c r="BB86" s="4"/>
      <c r="BC86" s="4"/>
      <c r="BD86" s="4"/>
      <c r="BE86" s="4"/>
      <c r="BF86" s="4"/>
    </row>
    <row r="87" ht="15.75" customHeight="1">
      <c r="A87" s="137" t="s">
        <v>159</v>
      </c>
      <c r="B87" s="191">
        <f t="shared" ref="B87:AW87" si="251">SUM(B88:B92)</f>
        <v>4</v>
      </c>
      <c r="C87" s="191">
        <f t="shared" si="251"/>
        <v>0</v>
      </c>
      <c r="D87" s="191">
        <f t="shared" si="251"/>
        <v>0</v>
      </c>
      <c r="E87" s="191">
        <f t="shared" si="251"/>
        <v>4</v>
      </c>
      <c r="F87" s="191">
        <f t="shared" si="251"/>
        <v>1220</v>
      </c>
      <c r="G87" s="191">
        <f t="shared" si="251"/>
        <v>0</v>
      </c>
      <c r="H87" s="191">
        <f t="shared" si="251"/>
        <v>9</v>
      </c>
      <c r="I87" s="191">
        <f t="shared" si="251"/>
        <v>1229</v>
      </c>
      <c r="J87" s="191">
        <f t="shared" si="251"/>
        <v>9</v>
      </c>
      <c r="K87" s="191">
        <f t="shared" si="251"/>
        <v>0</v>
      </c>
      <c r="L87" s="191">
        <f t="shared" si="251"/>
        <v>0</v>
      </c>
      <c r="M87" s="191">
        <f t="shared" si="251"/>
        <v>9</v>
      </c>
      <c r="N87" s="191">
        <f t="shared" si="251"/>
        <v>5</v>
      </c>
      <c r="O87" s="191">
        <f t="shared" si="251"/>
        <v>0</v>
      </c>
      <c r="P87" s="191">
        <f t="shared" si="251"/>
        <v>0</v>
      </c>
      <c r="Q87" s="191">
        <f t="shared" si="251"/>
        <v>5</v>
      </c>
      <c r="R87" s="191">
        <f t="shared" si="251"/>
        <v>1247</v>
      </c>
      <c r="S87" s="187">
        <f t="shared" si="251"/>
        <v>0</v>
      </c>
      <c r="T87" s="187">
        <f t="shared" si="251"/>
        <v>15</v>
      </c>
      <c r="U87" s="141">
        <f t="shared" si="251"/>
        <v>15</v>
      </c>
      <c r="V87" s="187">
        <f t="shared" si="251"/>
        <v>0</v>
      </c>
      <c r="W87" s="187">
        <f t="shared" si="251"/>
        <v>13</v>
      </c>
      <c r="X87" s="141">
        <f t="shared" si="251"/>
        <v>13</v>
      </c>
      <c r="Y87" s="187">
        <f t="shared" si="251"/>
        <v>132</v>
      </c>
      <c r="Z87" s="187">
        <f t="shared" si="251"/>
        <v>132</v>
      </c>
      <c r="AA87" s="141">
        <f t="shared" si="251"/>
        <v>0</v>
      </c>
      <c r="AB87" s="141">
        <f t="shared" si="251"/>
        <v>188</v>
      </c>
      <c r="AC87" s="187">
        <f t="shared" si="251"/>
        <v>4</v>
      </c>
      <c r="AD87" s="187">
        <f t="shared" si="251"/>
        <v>4</v>
      </c>
      <c r="AE87" s="141">
        <f t="shared" si="251"/>
        <v>0</v>
      </c>
      <c r="AF87" s="187">
        <f t="shared" si="251"/>
        <v>0</v>
      </c>
      <c r="AG87" s="141">
        <f t="shared" si="251"/>
        <v>0</v>
      </c>
      <c r="AH87" s="141">
        <f t="shared" si="251"/>
        <v>0</v>
      </c>
      <c r="AI87" s="187">
        <f t="shared" si="251"/>
        <v>1</v>
      </c>
      <c r="AJ87" s="141">
        <f t="shared" si="251"/>
        <v>1</v>
      </c>
      <c r="AK87" s="141">
        <f t="shared" si="251"/>
        <v>0</v>
      </c>
      <c r="AL87" s="141">
        <f t="shared" si="251"/>
        <v>9</v>
      </c>
      <c r="AM87" s="141">
        <f t="shared" si="251"/>
        <v>6</v>
      </c>
      <c r="AN87" s="187">
        <f t="shared" si="251"/>
        <v>28</v>
      </c>
      <c r="AO87" s="187">
        <f t="shared" si="251"/>
        <v>34</v>
      </c>
      <c r="AP87" s="141">
        <f t="shared" si="251"/>
        <v>0</v>
      </c>
      <c r="AQ87" s="141">
        <f t="shared" si="251"/>
        <v>0</v>
      </c>
      <c r="AR87" s="141">
        <f t="shared" si="251"/>
        <v>68</v>
      </c>
      <c r="AS87" s="141">
        <f t="shared" si="251"/>
        <v>0</v>
      </c>
      <c r="AT87" s="141">
        <f t="shared" si="251"/>
        <v>0</v>
      </c>
      <c r="AU87" s="141">
        <f t="shared" si="251"/>
        <v>0</v>
      </c>
      <c r="AV87" s="141">
        <f t="shared" si="251"/>
        <v>0</v>
      </c>
      <c r="AW87" s="141">
        <f t="shared" si="251"/>
        <v>265</v>
      </c>
      <c r="AX87" s="141">
        <f t="shared" si="17"/>
        <v>1512</v>
      </c>
      <c r="AY87" s="4"/>
      <c r="AZ87" s="4"/>
      <c r="BA87" s="4"/>
      <c r="BB87" s="4"/>
      <c r="BC87" s="4"/>
      <c r="BD87" s="4"/>
      <c r="BE87" s="4"/>
      <c r="BF87" s="4"/>
    </row>
    <row r="88" ht="15.75" customHeight="1">
      <c r="A88" s="167" t="s">
        <v>160</v>
      </c>
      <c r="B88" s="188">
        <v>3.0</v>
      </c>
      <c r="C88" s="188">
        <v>0.0</v>
      </c>
      <c r="D88" s="188">
        <v>0.0</v>
      </c>
      <c r="E88" s="188">
        <f t="shared" ref="E88:E92" si="252">SUM(B88:D88)</f>
        <v>3</v>
      </c>
      <c r="F88" s="188">
        <v>199.0</v>
      </c>
      <c r="G88" s="188">
        <v>0.0</v>
      </c>
      <c r="H88" s="188">
        <v>1.0</v>
      </c>
      <c r="I88" s="188">
        <f t="shared" ref="I88:I92" si="253">SUM(F88:H88)</f>
        <v>200</v>
      </c>
      <c r="J88" s="188">
        <v>3.0</v>
      </c>
      <c r="K88" s="186"/>
      <c r="L88" s="188">
        <v>0.0</v>
      </c>
      <c r="M88" s="188">
        <f t="shared" ref="M88:M92" si="254">SUM(J88:L88)</f>
        <v>3</v>
      </c>
      <c r="N88" s="188">
        <v>5.0</v>
      </c>
      <c r="O88" s="186"/>
      <c r="P88" s="186"/>
      <c r="Q88" s="188">
        <f t="shared" ref="Q88:Q92" si="255">SUM(N88:P88)</f>
        <v>5</v>
      </c>
      <c r="R88" s="188">
        <f t="shared" ref="R88:R92" si="256">SUM(E88,I88,M88,Q88)</f>
        <v>211</v>
      </c>
      <c r="S88" s="188">
        <v>0.0</v>
      </c>
      <c r="T88" s="186">
        <v>2.0</v>
      </c>
      <c r="U88" s="154">
        <f t="shared" ref="U88:U92" si="257">T88-S88</f>
        <v>2</v>
      </c>
      <c r="V88" s="190">
        <v>0.0</v>
      </c>
      <c r="W88" s="190">
        <v>1.0</v>
      </c>
      <c r="X88" s="154">
        <f t="shared" ref="X88:X92" si="258">W88-V88</f>
        <v>1</v>
      </c>
      <c r="Y88" s="188">
        <v>41.0</v>
      </c>
      <c r="Z88" s="188">
        <v>41.0</v>
      </c>
      <c r="AA88" s="154">
        <f t="shared" ref="AA88:AA92" si="259">Z88-Y88</f>
        <v>0</v>
      </c>
      <c r="AB88" s="154">
        <f t="shared" ref="AB88:AB92" si="260">SUM(S88:Y88)</f>
        <v>47</v>
      </c>
      <c r="AC88" s="188">
        <v>0.0</v>
      </c>
      <c r="AD88" s="188">
        <v>0.0</v>
      </c>
      <c r="AE88" s="154">
        <f t="shared" ref="AE88:AE92" si="261">AD88-AC88</f>
        <v>0</v>
      </c>
      <c r="AF88" s="188">
        <v>0.0</v>
      </c>
      <c r="AG88" s="188">
        <v>0.0</v>
      </c>
      <c r="AH88" s="154">
        <f t="shared" ref="AH88:AH92" si="262">AG88-AF88</f>
        <v>0</v>
      </c>
      <c r="AI88" s="188">
        <v>1.0</v>
      </c>
      <c r="AJ88" s="188">
        <v>1.0</v>
      </c>
      <c r="AK88" s="154">
        <f t="shared" ref="AK88:AK92" si="263">AJ88-AI88</f>
        <v>0</v>
      </c>
      <c r="AL88" s="154">
        <f t="shared" ref="AL88:AL92" si="264">SUM(AC88:AI88)</f>
        <v>1</v>
      </c>
      <c r="AM88" s="154">
        <v>1.0</v>
      </c>
      <c r="AN88" s="188">
        <f t="shared" ref="AN88:AN92" si="265">SUM(U88,X88,AA88,AE88,AH88,AK88)</f>
        <v>3</v>
      </c>
      <c r="AO88" s="188">
        <f t="shared" ref="AO88:AO92" si="266">AM88+AN88</f>
        <v>4</v>
      </c>
      <c r="AP88" s="154"/>
      <c r="AQ88" s="154"/>
      <c r="AR88" s="154">
        <f t="shared" ref="AR88:AR92" si="267">SUM(AM88:AQ88)</f>
        <v>8</v>
      </c>
      <c r="AS88" s="154"/>
      <c r="AT88" s="154"/>
      <c r="AU88" s="154"/>
      <c r="AV88" s="154">
        <f t="shared" ref="AV88:AV92" si="268">SUM(AS88:AU88)</f>
        <v>0</v>
      </c>
      <c r="AW88" s="154">
        <f t="shared" ref="AW88:AW92" si="269">SUM(AB88,AL88,AR88,AV88)</f>
        <v>56</v>
      </c>
      <c r="AX88" s="154">
        <f t="shared" si="17"/>
        <v>267</v>
      </c>
      <c r="AY88" s="4"/>
      <c r="AZ88" s="4"/>
      <c r="BA88" s="4"/>
      <c r="BB88" s="4"/>
      <c r="BC88" s="4"/>
      <c r="BD88" s="4"/>
      <c r="BE88" s="4"/>
      <c r="BF88" s="4"/>
    </row>
    <row r="89" ht="15.75" customHeight="1">
      <c r="A89" s="167" t="s">
        <v>161</v>
      </c>
      <c r="B89" s="188">
        <v>0.0</v>
      </c>
      <c r="C89" s="188">
        <v>0.0</v>
      </c>
      <c r="D89" s="188">
        <v>0.0</v>
      </c>
      <c r="E89" s="188">
        <f t="shared" si="252"/>
        <v>0</v>
      </c>
      <c r="F89" s="188">
        <v>84.0</v>
      </c>
      <c r="G89" s="188">
        <v>0.0</v>
      </c>
      <c r="H89" s="188">
        <v>1.0</v>
      </c>
      <c r="I89" s="188">
        <f t="shared" si="253"/>
        <v>85</v>
      </c>
      <c r="J89" s="186"/>
      <c r="K89" s="186"/>
      <c r="L89" s="188">
        <v>0.0</v>
      </c>
      <c r="M89" s="188">
        <f t="shared" si="254"/>
        <v>0</v>
      </c>
      <c r="N89" s="188">
        <v>0.0</v>
      </c>
      <c r="O89" s="186"/>
      <c r="P89" s="186"/>
      <c r="Q89" s="188">
        <f t="shared" si="255"/>
        <v>0</v>
      </c>
      <c r="R89" s="188">
        <f t="shared" si="256"/>
        <v>85</v>
      </c>
      <c r="S89" s="190"/>
      <c r="T89" s="186">
        <v>8.0</v>
      </c>
      <c r="U89" s="154">
        <f t="shared" si="257"/>
        <v>8</v>
      </c>
      <c r="V89" s="190"/>
      <c r="W89" s="213">
        <v>1.0</v>
      </c>
      <c r="X89" s="154">
        <f t="shared" si="258"/>
        <v>1</v>
      </c>
      <c r="Y89" s="188">
        <v>58.0</v>
      </c>
      <c r="Z89" s="188">
        <v>58.0</v>
      </c>
      <c r="AA89" s="154">
        <f t="shared" si="259"/>
        <v>0</v>
      </c>
      <c r="AB89" s="154">
        <f t="shared" si="260"/>
        <v>76</v>
      </c>
      <c r="AC89" s="188">
        <v>3.0</v>
      </c>
      <c r="AD89" s="188">
        <v>3.0</v>
      </c>
      <c r="AE89" s="154">
        <f t="shared" si="261"/>
        <v>0</v>
      </c>
      <c r="AF89" s="188">
        <v>0.0</v>
      </c>
      <c r="AG89" s="188">
        <v>0.0</v>
      </c>
      <c r="AH89" s="154">
        <f t="shared" si="262"/>
        <v>0</v>
      </c>
      <c r="AI89" s="188">
        <v>0.0</v>
      </c>
      <c r="AJ89" s="188">
        <v>0.0</v>
      </c>
      <c r="AK89" s="154">
        <f t="shared" si="263"/>
        <v>0</v>
      </c>
      <c r="AL89" s="154">
        <f t="shared" si="264"/>
        <v>6</v>
      </c>
      <c r="AM89" s="154">
        <v>2.0</v>
      </c>
      <c r="AN89" s="188">
        <f t="shared" si="265"/>
        <v>9</v>
      </c>
      <c r="AO89" s="188">
        <f t="shared" si="266"/>
        <v>11</v>
      </c>
      <c r="AP89" s="154"/>
      <c r="AQ89" s="154"/>
      <c r="AR89" s="154">
        <f t="shared" si="267"/>
        <v>22</v>
      </c>
      <c r="AS89" s="154"/>
      <c r="AT89" s="154"/>
      <c r="AU89" s="154"/>
      <c r="AV89" s="154">
        <f t="shared" si="268"/>
        <v>0</v>
      </c>
      <c r="AW89" s="154">
        <f t="shared" si="269"/>
        <v>104</v>
      </c>
      <c r="AX89" s="154">
        <f t="shared" si="17"/>
        <v>189</v>
      </c>
      <c r="AY89" s="4"/>
      <c r="AZ89" s="4"/>
      <c r="BA89" s="4"/>
      <c r="BB89" s="4"/>
      <c r="BC89" s="4"/>
      <c r="BD89" s="4"/>
      <c r="BE89" s="4"/>
      <c r="BF89" s="4"/>
    </row>
    <row r="90" ht="15.75" customHeight="1">
      <c r="A90" s="169" t="s">
        <v>162</v>
      </c>
      <c r="B90" s="188">
        <v>0.0</v>
      </c>
      <c r="C90" s="188">
        <v>0.0</v>
      </c>
      <c r="D90" s="188">
        <v>0.0</v>
      </c>
      <c r="E90" s="188">
        <f t="shared" si="252"/>
        <v>0</v>
      </c>
      <c r="F90" s="188">
        <v>817.0</v>
      </c>
      <c r="G90" s="188">
        <v>0.0</v>
      </c>
      <c r="H90" s="188">
        <v>0.0</v>
      </c>
      <c r="I90" s="188">
        <f t="shared" si="253"/>
        <v>817</v>
      </c>
      <c r="J90" s="188">
        <v>0.0</v>
      </c>
      <c r="K90" s="188">
        <v>0.0</v>
      </c>
      <c r="L90" s="188">
        <v>0.0</v>
      </c>
      <c r="M90" s="188">
        <f t="shared" si="254"/>
        <v>0</v>
      </c>
      <c r="N90" s="188">
        <v>0.0</v>
      </c>
      <c r="O90" s="188">
        <v>0.0</v>
      </c>
      <c r="P90" s="188">
        <v>0.0</v>
      </c>
      <c r="Q90" s="188">
        <f t="shared" si="255"/>
        <v>0</v>
      </c>
      <c r="R90" s="188">
        <f t="shared" si="256"/>
        <v>817</v>
      </c>
      <c r="S90" s="188">
        <v>0.0</v>
      </c>
      <c r="T90" s="188"/>
      <c r="U90" s="154">
        <f t="shared" si="257"/>
        <v>0</v>
      </c>
      <c r="V90" s="188">
        <v>0.0</v>
      </c>
      <c r="W90" s="188">
        <v>1.0</v>
      </c>
      <c r="X90" s="154">
        <f t="shared" si="258"/>
        <v>1</v>
      </c>
      <c r="Y90" s="188">
        <v>11.0</v>
      </c>
      <c r="Z90" s="188">
        <v>11.0</v>
      </c>
      <c r="AA90" s="154">
        <f t="shared" si="259"/>
        <v>0</v>
      </c>
      <c r="AB90" s="154">
        <f t="shared" si="260"/>
        <v>13</v>
      </c>
      <c r="AC90" s="188">
        <v>0.0</v>
      </c>
      <c r="AD90" s="188">
        <v>0.0</v>
      </c>
      <c r="AE90" s="154">
        <f t="shared" si="261"/>
        <v>0</v>
      </c>
      <c r="AF90" s="188">
        <v>0.0</v>
      </c>
      <c r="AG90" s="188">
        <v>0.0</v>
      </c>
      <c r="AH90" s="154">
        <f t="shared" si="262"/>
        <v>0</v>
      </c>
      <c r="AI90" s="188">
        <v>0.0</v>
      </c>
      <c r="AJ90" s="188">
        <v>0.0</v>
      </c>
      <c r="AK90" s="154">
        <f t="shared" si="263"/>
        <v>0</v>
      </c>
      <c r="AL90" s="154">
        <f t="shared" si="264"/>
        <v>0</v>
      </c>
      <c r="AM90" s="154">
        <v>3.0</v>
      </c>
      <c r="AN90" s="188">
        <f t="shared" si="265"/>
        <v>1</v>
      </c>
      <c r="AO90" s="188">
        <f t="shared" si="266"/>
        <v>4</v>
      </c>
      <c r="AP90" s="154"/>
      <c r="AQ90" s="154"/>
      <c r="AR90" s="154">
        <f t="shared" si="267"/>
        <v>8</v>
      </c>
      <c r="AS90" s="154"/>
      <c r="AT90" s="154"/>
      <c r="AU90" s="154"/>
      <c r="AV90" s="154">
        <f t="shared" si="268"/>
        <v>0</v>
      </c>
      <c r="AW90" s="154">
        <f t="shared" si="269"/>
        <v>21</v>
      </c>
      <c r="AX90" s="154">
        <f t="shared" si="17"/>
        <v>838</v>
      </c>
      <c r="AY90" s="4"/>
      <c r="AZ90" s="4"/>
      <c r="BA90" s="4"/>
      <c r="BB90" s="4"/>
      <c r="BC90" s="4"/>
      <c r="BD90" s="4"/>
      <c r="BE90" s="4"/>
      <c r="BF90" s="4"/>
    </row>
    <row r="91" ht="15.75" customHeight="1">
      <c r="A91" s="167" t="s">
        <v>187</v>
      </c>
      <c r="B91" s="188">
        <v>0.0</v>
      </c>
      <c r="C91" s="188">
        <v>0.0</v>
      </c>
      <c r="D91" s="188">
        <v>0.0</v>
      </c>
      <c r="E91" s="188">
        <f t="shared" si="252"/>
        <v>0</v>
      </c>
      <c r="F91" s="188">
        <v>0.0</v>
      </c>
      <c r="G91" s="188">
        <v>0.0</v>
      </c>
      <c r="H91" s="188">
        <v>0.0</v>
      </c>
      <c r="I91" s="188">
        <f t="shared" si="253"/>
        <v>0</v>
      </c>
      <c r="J91" s="188">
        <v>6.0</v>
      </c>
      <c r="K91" s="186"/>
      <c r="L91" s="188">
        <v>0.0</v>
      </c>
      <c r="M91" s="188">
        <f t="shared" si="254"/>
        <v>6</v>
      </c>
      <c r="N91" s="188">
        <v>0.0</v>
      </c>
      <c r="O91" s="188">
        <v>0.0</v>
      </c>
      <c r="P91" s="188">
        <v>0.0</v>
      </c>
      <c r="Q91" s="188">
        <f t="shared" si="255"/>
        <v>0</v>
      </c>
      <c r="R91" s="188">
        <f t="shared" si="256"/>
        <v>6</v>
      </c>
      <c r="S91" s="188">
        <v>0.0</v>
      </c>
      <c r="T91" s="186"/>
      <c r="U91" s="154">
        <f t="shared" si="257"/>
        <v>0</v>
      </c>
      <c r="V91" s="190"/>
      <c r="W91" s="190"/>
      <c r="X91" s="154">
        <f t="shared" si="258"/>
        <v>0</v>
      </c>
      <c r="Y91" s="188">
        <v>0.0</v>
      </c>
      <c r="Z91" s="188">
        <v>0.0</v>
      </c>
      <c r="AA91" s="154">
        <f t="shared" si="259"/>
        <v>0</v>
      </c>
      <c r="AB91" s="154">
        <f t="shared" si="260"/>
        <v>0</v>
      </c>
      <c r="AC91" s="188">
        <v>0.0</v>
      </c>
      <c r="AD91" s="188">
        <v>0.0</v>
      </c>
      <c r="AE91" s="154">
        <f t="shared" si="261"/>
        <v>0</v>
      </c>
      <c r="AF91" s="188">
        <v>0.0</v>
      </c>
      <c r="AG91" s="188">
        <v>0.0</v>
      </c>
      <c r="AH91" s="154">
        <f t="shared" si="262"/>
        <v>0</v>
      </c>
      <c r="AI91" s="189">
        <v>0.0</v>
      </c>
      <c r="AJ91" s="189">
        <v>0.0</v>
      </c>
      <c r="AK91" s="154">
        <f t="shared" si="263"/>
        <v>0</v>
      </c>
      <c r="AL91" s="154">
        <f t="shared" si="264"/>
        <v>0</v>
      </c>
      <c r="AM91" s="154">
        <v>0.0</v>
      </c>
      <c r="AN91" s="188">
        <f t="shared" si="265"/>
        <v>0</v>
      </c>
      <c r="AO91" s="188">
        <f t="shared" si="266"/>
        <v>0</v>
      </c>
      <c r="AP91" s="154"/>
      <c r="AQ91" s="155"/>
      <c r="AR91" s="154">
        <f t="shared" si="267"/>
        <v>0</v>
      </c>
      <c r="AS91" s="154"/>
      <c r="AT91" s="154"/>
      <c r="AU91" s="155"/>
      <c r="AV91" s="154">
        <f t="shared" si="268"/>
        <v>0</v>
      </c>
      <c r="AW91" s="154">
        <f t="shared" si="269"/>
        <v>0</v>
      </c>
      <c r="AX91" s="154">
        <f t="shared" si="17"/>
        <v>6</v>
      </c>
      <c r="AY91" s="4"/>
      <c r="AZ91" s="4"/>
      <c r="BA91" s="4"/>
      <c r="BB91" s="4"/>
      <c r="BC91" s="4"/>
      <c r="BD91" s="4"/>
      <c r="BE91" s="4"/>
      <c r="BF91" s="4"/>
    </row>
    <row r="92" ht="15.75" customHeight="1">
      <c r="A92" s="167" t="s">
        <v>188</v>
      </c>
      <c r="B92" s="188">
        <v>1.0</v>
      </c>
      <c r="C92" s="188">
        <v>0.0</v>
      </c>
      <c r="D92" s="188">
        <v>0.0</v>
      </c>
      <c r="E92" s="188">
        <f t="shared" si="252"/>
        <v>1</v>
      </c>
      <c r="F92" s="188">
        <v>120.0</v>
      </c>
      <c r="G92" s="188">
        <v>0.0</v>
      </c>
      <c r="H92" s="188">
        <v>7.0</v>
      </c>
      <c r="I92" s="188">
        <f t="shared" si="253"/>
        <v>127</v>
      </c>
      <c r="J92" s="186"/>
      <c r="K92" s="186"/>
      <c r="L92" s="188">
        <v>0.0</v>
      </c>
      <c r="M92" s="188">
        <f t="shared" si="254"/>
        <v>0</v>
      </c>
      <c r="N92" s="188">
        <v>0.0</v>
      </c>
      <c r="O92" s="186"/>
      <c r="P92" s="186"/>
      <c r="Q92" s="188">
        <f t="shared" si="255"/>
        <v>0</v>
      </c>
      <c r="R92" s="188">
        <f t="shared" si="256"/>
        <v>128</v>
      </c>
      <c r="S92" s="190"/>
      <c r="T92" s="186">
        <v>5.0</v>
      </c>
      <c r="U92" s="154">
        <f t="shared" si="257"/>
        <v>5</v>
      </c>
      <c r="V92" s="190"/>
      <c r="W92" s="190">
        <v>10.0</v>
      </c>
      <c r="X92" s="154">
        <f t="shared" si="258"/>
        <v>10</v>
      </c>
      <c r="Y92" s="188">
        <v>22.0</v>
      </c>
      <c r="Z92" s="188">
        <v>22.0</v>
      </c>
      <c r="AA92" s="154">
        <f t="shared" si="259"/>
        <v>0</v>
      </c>
      <c r="AB92" s="154">
        <f t="shared" si="260"/>
        <v>52</v>
      </c>
      <c r="AC92" s="188">
        <v>1.0</v>
      </c>
      <c r="AD92" s="188">
        <v>1.0</v>
      </c>
      <c r="AE92" s="154">
        <f t="shared" si="261"/>
        <v>0</v>
      </c>
      <c r="AF92" s="188">
        <v>0.0</v>
      </c>
      <c r="AG92" s="188">
        <v>0.0</v>
      </c>
      <c r="AH92" s="154">
        <f t="shared" si="262"/>
        <v>0</v>
      </c>
      <c r="AI92" s="189">
        <v>0.0</v>
      </c>
      <c r="AJ92" s="189">
        <v>0.0</v>
      </c>
      <c r="AK92" s="154">
        <f t="shared" si="263"/>
        <v>0</v>
      </c>
      <c r="AL92" s="154">
        <f t="shared" si="264"/>
        <v>2</v>
      </c>
      <c r="AM92" s="154">
        <v>0.0</v>
      </c>
      <c r="AN92" s="188">
        <f t="shared" si="265"/>
        <v>15</v>
      </c>
      <c r="AO92" s="188">
        <f t="shared" si="266"/>
        <v>15</v>
      </c>
      <c r="AP92" s="154"/>
      <c r="AQ92" s="155"/>
      <c r="AR92" s="154">
        <f t="shared" si="267"/>
        <v>30</v>
      </c>
      <c r="AS92" s="154"/>
      <c r="AT92" s="154"/>
      <c r="AU92" s="155"/>
      <c r="AV92" s="154">
        <f t="shared" si="268"/>
        <v>0</v>
      </c>
      <c r="AW92" s="154">
        <f t="shared" si="269"/>
        <v>84</v>
      </c>
      <c r="AX92" s="154">
        <f t="shared" si="17"/>
        <v>212</v>
      </c>
      <c r="AY92" s="4"/>
      <c r="AZ92" s="4"/>
      <c r="BA92" s="4"/>
      <c r="BB92" s="4"/>
      <c r="BC92" s="4"/>
      <c r="BD92" s="4"/>
      <c r="BE92" s="4"/>
      <c r="BF92" s="4"/>
    </row>
    <row r="93" ht="15.75" customHeight="1">
      <c r="A93" s="137" t="s">
        <v>165</v>
      </c>
      <c r="B93" s="191">
        <f t="shared" ref="B93:AW93" si="270">SUM(B94:B98)</f>
        <v>0</v>
      </c>
      <c r="C93" s="191">
        <f t="shared" si="270"/>
        <v>0</v>
      </c>
      <c r="D93" s="191">
        <f t="shared" si="270"/>
        <v>0</v>
      </c>
      <c r="E93" s="191">
        <f t="shared" si="270"/>
        <v>0</v>
      </c>
      <c r="F93" s="191">
        <f t="shared" si="270"/>
        <v>0</v>
      </c>
      <c r="G93" s="191">
        <f t="shared" si="270"/>
        <v>0</v>
      </c>
      <c r="H93" s="191">
        <f t="shared" si="270"/>
        <v>288</v>
      </c>
      <c r="I93" s="191">
        <f t="shared" si="270"/>
        <v>288</v>
      </c>
      <c r="J93" s="191">
        <f t="shared" si="270"/>
        <v>4</v>
      </c>
      <c r="K93" s="191">
        <f t="shared" si="270"/>
        <v>0</v>
      </c>
      <c r="L93" s="191">
        <f t="shared" si="270"/>
        <v>99</v>
      </c>
      <c r="M93" s="191">
        <f t="shared" si="270"/>
        <v>103</v>
      </c>
      <c r="N93" s="191">
        <f t="shared" si="270"/>
        <v>0</v>
      </c>
      <c r="O93" s="191">
        <f t="shared" si="270"/>
        <v>0</v>
      </c>
      <c r="P93" s="191">
        <f t="shared" si="270"/>
        <v>0</v>
      </c>
      <c r="Q93" s="191">
        <f t="shared" si="270"/>
        <v>0</v>
      </c>
      <c r="R93" s="191">
        <f t="shared" si="270"/>
        <v>391</v>
      </c>
      <c r="S93" s="187">
        <f t="shared" si="270"/>
        <v>1436</v>
      </c>
      <c r="T93" s="187">
        <f t="shared" si="270"/>
        <v>1436</v>
      </c>
      <c r="U93" s="141">
        <f t="shared" si="270"/>
        <v>0</v>
      </c>
      <c r="V93" s="187">
        <f t="shared" si="270"/>
        <v>1003</v>
      </c>
      <c r="W93" s="187">
        <f t="shared" si="270"/>
        <v>2645</v>
      </c>
      <c r="X93" s="141">
        <f t="shared" si="270"/>
        <v>1642</v>
      </c>
      <c r="Y93" s="187">
        <f t="shared" si="270"/>
        <v>1354</v>
      </c>
      <c r="Z93" s="187">
        <f t="shared" si="270"/>
        <v>1354</v>
      </c>
      <c r="AA93" s="141">
        <f t="shared" si="270"/>
        <v>0</v>
      </c>
      <c r="AB93" s="141">
        <f t="shared" si="270"/>
        <v>9516</v>
      </c>
      <c r="AC93" s="187">
        <f t="shared" si="270"/>
        <v>15</v>
      </c>
      <c r="AD93" s="187">
        <f t="shared" si="270"/>
        <v>15</v>
      </c>
      <c r="AE93" s="141">
        <f t="shared" si="270"/>
        <v>0</v>
      </c>
      <c r="AF93" s="187">
        <f t="shared" si="270"/>
        <v>545</v>
      </c>
      <c r="AG93" s="141">
        <f t="shared" si="270"/>
        <v>545</v>
      </c>
      <c r="AH93" s="141">
        <f t="shared" si="270"/>
        <v>0</v>
      </c>
      <c r="AI93" s="187">
        <f t="shared" si="270"/>
        <v>3</v>
      </c>
      <c r="AJ93" s="141">
        <f t="shared" si="270"/>
        <v>3</v>
      </c>
      <c r="AK93" s="141">
        <f t="shared" si="270"/>
        <v>0</v>
      </c>
      <c r="AL93" s="141">
        <f t="shared" si="270"/>
        <v>1123</v>
      </c>
      <c r="AM93" s="141">
        <f t="shared" si="270"/>
        <v>12</v>
      </c>
      <c r="AN93" s="187">
        <f t="shared" si="270"/>
        <v>1642</v>
      </c>
      <c r="AO93" s="187">
        <f t="shared" si="270"/>
        <v>1654</v>
      </c>
      <c r="AP93" s="141">
        <f t="shared" si="270"/>
        <v>0</v>
      </c>
      <c r="AQ93" s="141">
        <f t="shared" si="270"/>
        <v>0</v>
      </c>
      <c r="AR93" s="141">
        <f t="shared" si="270"/>
        <v>3308</v>
      </c>
      <c r="AS93" s="141">
        <f t="shared" si="270"/>
        <v>0</v>
      </c>
      <c r="AT93" s="141">
        <f t="shared" si="270"/>
        <v>0</v>
      </c>
      <c r="AU93" s="141">
        <f t="shared" si="270"/>
        <v>0</v>
      </c>
      <c r="AV93" s="141">
        <f t="shared" si="270"/>
        <v>0</v>
      </c>
      <c r="AW93" s="141">
        <f t="shared" si="270"/>
        <v>13947</v>
      </c>
      <c r="AX93" s="141">
        <f t="shared" si="17"/>
        <v>14338</v>
      </c>
      <c r="AY93" s="4"/>
      <c r="AZ93" s="4"/>
      <c r="BA93" s="4"/>
      <c r="BB93" s="4"/>
      <c r="BC93" s="4"/>
      <c r="BD93" s="4"/>
      <c r="BE93" s="4"/>
      <c r="BF93" s="4"/>
    </row>
    <row r="94" ht="15.75" customHeight="1">
      <c r="A94" s="167" t="s">
        <v>166</v>
      </c>
      <c r="B94" s="188">
        <v>0.0</v>
      </c>
      <c r="C94" s="188">
        <v>0.0</v>
      </c>
      <c r="D94" s="188">
        <v>0.0</v>
      </c>
      <c r="E94" s="188">
        <f t="shared" ref="E94:E98" si="271">SUM(B94:D94)</f>
        <v>0</v>
      </c>
      <c r="F94" s="188">
        <v>0.0</v>
      </c>
      <c r="G94" s="188">
        <v>0.0</v>
      </c>
      <c r="H94" s="188">
        <v>5.0</v>
      </c>
      <c r="I94" s="188">
        <f t="shared" ref="I94:I98" si="272">SUM(F94:H94)</f>
        <v>5</v>
      </c>
      <c r="J94" s="188">
        <v>0.0</v>
      </c>
      <c r="K94" s="186"/>
      <c r="L94" s="188">
        <v>0.0</v>
      </c>
      <c r="M94" s="188">
        <f t="shared" ref="M94:M98" si="273">SUM(J94:L94)</f>
        <v>0</v>
      </c>
      <c r="N94" s="188">
        <v>0.0</v>
      </c>
      <c r="O94" s="186"/>
      <c r="P94" s="188">
        <v>0.0</v>
      </c>
      <c r="Q94" s="188">
        <f t="shared" ref="Q94:Q98" si="274">SUM(N94:P94)</f>
        <v>0</v>
      </c>
      <c r="R94" s="188">
        <f t="shared" ref="R94:R98" si="275">SUM(E94,I94,M94,Q94)</f>
        <v>5</v>
      </c>
      <c r="S94" s="188">
        <v>419.0</v>
      </c>
      <c r="T94" s="188">
        <v>419.0</v>
      </c>
      <c r="U94" s="154">
        <f t="shared" ref="U94:U98" si="276">T94-S94</f>
        <v>0</v>
      </c>
      <c r="V94" s="188">
        <v>704.0</v>
      </c>
      <c r="W94" s="188">
        <v>700.0</v>
      </c>
      <c r="X94" s="154">
        <f t="shared" ref="X94:X98" si="277">W94-V94</f>
        <v>-4</v>
      </c>
      <c r="Y94" s="188">
        <v>308.0</v>
      </c>
      <c r="Z94" s="188">
        <v>308.0</v>
      </c>
      <c r="AA94" s="154">
        <f t="shared" ref="AA94:AA98" si="278">Z94-Y94</f>
        <v>0</v>
      </c>
      <c r="AB94" s="154">
        <f t="shared" ref="AB94:AB98" si="279">SUM(S94:Y94)</f>
        <v>2546</v>
      </c>
      <c r="AC94" s="188">
        <v>1.0</v>
      </c>
      <c r="AD94" s="188">
        <v>1.0</v>
      </c>
      <c r="AE94" s="154">
        <f t="shared" ref="AE94:AE98" si="280">AD94-AC94</f>
        <v>0</v>
      </c>
      <c r="AF94" s="188">
        <v>117.0</v>
      </c>
      <c r="AG94" s="188">
        <v>117.0</v>
      </c>
      <c r="AH94" s="154">
        <f t="shared" ref="AH94:AH98" si="281">AG94-AF94</f>
        <v>0</v>
      </c>
      <c r="AI94" s="189">
        <v>1.0</v>
      </c>
      <c r="AJ94" s="189">
        <v>1.0</v>
      </c>
      <c r="AK94" s="154">
        <f t="shared" ref="AK94:AK98" si="282">AJ94-AI94</f>
        <v>0</v>
      </c>
      <c r="AL94" s="154">
        <f t="shared" ref="AL94:AL98" si="283">SUM(AC94:AI94)</f>
        <v>237</v>
      </c>
      <c r="AM94" s="154">
        <v>2.0</v>
      </c>
      <c r="AN94" s="188">
        <f t="shared" ref="AN94:AN98" si="284">SUM(U94,X94,AA94,AE94,AH94,AK94)</f>
        <v>-4</v>
      </c>
      <c r="AO94" s="188">
        <v>0.0</v>
      </c>
      <c r="AP94" s="154"/>
      <c r="AQ94" s="155"/>
      <c r="AR94" s="154">
        <f t="shared" ref="AR94:AR98" si="285">SUM(AM94:AQ94)</f>
        <v>-2</v>
      </c>
      <c r="AS94" s="154"/>
      <c r="AT94" s="154"/>
      <c r="AU94" s="155"/>
      <c r="AV94" s="154">
        <f t="shared" ref="AV94:AV98" si="286">SUM(AS94:AU94)</f>
        <v>0</v>
      </c>
      <c r="AW94" s="154">
        <f t="shared" ref="AW94:AW98" si="287">SUM(AB94,AL94,AR94,AV94)</f>
        <v>2781</v>
      </c>
      <c r="AX94" s="154">
        <f t="shared" si="17"/>
        <v>2786</v>
      </c>
      <c r="AY94" s="4"/>
      <c r="AZ94" s="4"/>
      <c r="BA94" s="4"/>
      <c r="BB94" s="4"/>
      <c r="BC94" s="4"/>
      <c r="BD94" s="4"/>
      <c r="BE94" s="4"/>
      <c r="BF94" s="4"/>
    </row>
    <row r="95" ht="15.75" customHeight="1">
      <c r="A95" s="167" t="s">
        <v>167</v>
      </c>
      <c r="B95" s="188">
        <v>0.0</v>
      </c>
      <c r="C95" s="188">
        <v>0.0</v>
      </c>
      <c r="D95" s="188">
        <v>0.0</v>
      </c>
      <c r="E95" s="188">
        <f t="shared" si="271"/>
        <v>0</v>
      </c>
      <c r="F95" s="188">
        <v>0.0</v>
      </c>
      <c r="G95" s="188">
        <v>0.0</v>
      </c>
      <c r="H95" s="188">
        <v>4.0</v>
      </c>
      <c r="I95" s="188">
        <f t="shared" si="272"/>
        <v>4</v>
      </c>
      <c r="J95" s="188">
        <v>0.0</v>
      </c>
      <c r="K95" s="188">
        <v>0.0</v>
      </c>
      <c r="L95" s="188">
        <v>0.0</v>
      </c>
      <c r="M95" s="188">
        <f t="shared" si="273"/>
        <v>0</v>
      </c>
      <c r="N95" s="188">
        <v>0.0</v>
      </c>
      <c r="O95" s="188">
        <v>0.0</v>
      </c>
      <c r="P95" s="188">
        <v>0.0</v>
      </c>
      <c r="Q95" s="188">
        <f t="shared" si="274"/>
        <v>0</v>
      </c>
      <c r="R95" s="188">
        <f t="shared" si="275"/>
        <v>4</v>
      </c>
      <c r="S95" s="188">
        <v>93.0</v>
      </c>
      <c r="T95" s="188">
        <v>93.0</v>
      </c>
      <c r="U95" s="154">
        <f t="shared" si="276"/>
        <v>0</v>
      </c>
      <c r="V95" s="188">
        <v>147.0</v>
      </c>
      <c r="W95" s="188">
        <v>145.0</v>
      </c>
      <c r="X95" s="154">
        <f t="shared" si="277"/>
        <v>-2</v>
      </c>
      <c r="Y95" s="188">
        <v>54.0</v>
      </c>
      <c r="Z95" s="188">
        <v>54.0</v>
      </c>
      <c r="AA95" s="154">
        <f t="shared" si="278"/>
        <v>0</v>
      </c>
      <c r="AB95" s="154">
        <f t="shared" si="279"/>
        <v>530</v>
      </c>
      <c r="AC95" s="188">
        <v>1.0</v>
      </c>
      <c r="AD95" s="188">
        <v>1.0</v>
      </c>
      <c r="AE95" s="154">
        <f t="shared" si="280"/>
        <v>0</v>
      </c>
      <c r="AF95" s="188">
        <v>139.0</v>
      </c>
      <c r="AG95" s="188">
        <v>139.0</v>
      </c>
      <c r="AH95" s="154">
        <f t="shared" si="281"/>
        <v>0</v>
      </c>
      <c r="AI95" s="188">
        <v>0.0</v>
      </c>
      <c r="AJ95" s="188">
        <v>0.0</v>
      </c>
      <c r="AK95" s="154">
        <f t="shared" si="282"/>
        <v>0</v>
      </c>
      <c r="AL95" s="154">
        <f t="shared" si="283"/>
        <v>280</v>
      </c>
      <c r="AM95" s="154">
        <v>0.0</v>
      </c>
      <c r="AN95" s="188">
        <f t="shared" si="284"/>
        <v>-2</v>
      </c>
      <c r="AO95" s="188">
        <v>0.0</v>
      </c>
      <c r="AP95" s="154"/>
      <c r="AQ95" s="154"/>
      <c r="AR95" s="154">
        <f t="shared" si="285"/>
        <v>-2</v>
      </c>
      <c r="AS95" s="154"/>
      <c r="AT95" s="154"/>
      <c r="AU95" s="154"/>
      <c r="AV95" s="154">
        <f t="shared" si="286"/>
        <v>0</v>
      </c>
      <c r="AW95" s="154">
        <f t="shared" si="287"/>
        <v>808</v>
      </c>
      <c r="AX95" s="154">
        <f t="shared" si="17"/>
        <v>812</v>
      </c>
      <c r="AY95" s="4"/>
      <c r="AZ95" s="4"/>
      <c r="BA95" s="4"/>
      <c r="BB95" s="4"/>
      <c r="BC95" s="4"/>
      <c r="BD95" s="4"/>
      <c r="BE95" s="4"/>
      <c r="BF95" s="4"/>
    </row>
    <row r="96" ht="15.75" customHeight="1">
      <c r="A96" s="169" t="s">
        <v>168</v>
      </c>
      <c r="B96" s="188">
        <v>0.0</v>
      </c>
      <c r="C96" s="188">
        <v>0.0</v>
      </c>
      <c r="D96" s="188">
        <v>0.0</v>
      </c>
      <c r="E96" s="188">
        <f t="shared" si="271"/>
        <v>0</v>
      </c>
      <c r="F96" s="188">
        <v>0.0</v>
      </c>
      <c r="G96" s="188">
        <v>0.0</v>
      </c>
      <c r="H96" s="188">
        <v>211.0</v>
      </c>
      <c r="I96" s="188">
        <f t="shared" si="272"/>
        <v>211</v>
      </c>
      <c r="J96" s="188">
        <v>3.0</v>
      </c>
      <c r="K96" s="188">
        <v>0.0</v>
      </c>
      <c r="L96" s="188">
        <v>99.0</v>
      </c>
      <c r="M96" s="188">
        <f t="shared" si="273"/>
        <v>102</v>
      </c>
      <c r="N96" s="188">
        <v>0.0</v>
      </c>
      <c r="O96" s="188">
        <v>0.0</v>
      </c>
      <c r="P96" s="188">
        <v>0.0</v>
      </c>
      <c r="Q96" s="188">
        <f t="shared" si="274"/>
        <v>0</v>
      </c>
      <c r="R96" s="188">
        <f t="shared" si="275"/>
        <v>313</v>
      </c>
      <c r="S96" s="188">
        <v>90.0</v>
      </c>
      <c r="T96" s="188">
        <v>90.0</v>
      </c>
      <c r="U96" s="154">
        <f t="shared" si="276"/>
        <v>0</v>
      </c>
      <c r="V96" s="188">
        <v>152.0</v>
      </c>
      <c r="W96" s="188">
        <v>152.0</v>
      </c>
      <c r="X96" s="154">
        <f t="shared" si="277"/>
        <v>0</v>
      </c>
      <c r="Y96" s="188">
        <v>294.0</v>
      </c>
      <c r="Z96" s="188">
        <v>294.0</v>
      </c>
      <c r="AA96" s="154">
        <f t="shared" si="278"/>
        <v>0</v>
      </c>
      <c r="AB96" s="154">
        <f t="shared" si="279"/>
        <v>778</v>
      </c>
      <c r="AC96" s="188">
        <v>1.0</v>
      </c>
      <c r="AD96" s="188">
        <v>1.0</v>
      </c>
      <c r="AE96" s="154">
        <f t="shared" si="280"/>
        <v>0</v>
      </c>
      <c r="AF96" s="188">
        <f t="shared" ref="AF96:AG96" si="288">134+33</f>
        <v>167</v>
      </c>
      <c r="AG96" s="188">
        <f t="shared" si="288"/>
        <v>167</v>
      </c>
      <c r="AH96" s="154">
        <f t="shared" si="281"/>
        <v>0</v>
      </c>
      <c r="AI96" s="188">
        <v>1.0</v>
      </c>
      <c r="AJ96" s="188">
        <v>1.0</v>
      </c>
      <c r="AK96" s="154">
        <f t="shared" si="282"/>
        <v>0</v>
      </c>
      <c r="AL96" s="154">
        <f t="shared" si="283"/>
        <v>337</v>
      </c>
      <c r="AM96" s="154">
        <v>0.0</v>
      </c>
      <c r="AN96" s="188">
        <f t="shared" si="284"/>
        <v>0</v>
      </c>
      <c r="AO96" s="188">
        <f>AM96+AN96</f>
        <v>0</v>
      </c>
      <c r="AP96" s="154"/>
      <c r="AQ96" s="154"/>
      <c r="AR96" s="154">
        <f t="shared" si="285"/>
        <v>0</v>
      </c>
      <c r="AS96" s="154"/>
      <c r="AT96" s="154"/>
      <c r="AU96" s="154"/>
      <c r="AV96" s="154">
        <f t="shared" si="286"/>
        <v>0</v>
      </c>
      <c r="AW96" s="154">
        <f t="shared" si="287"/>
        <v>1115</v>
      </c>
      <c r="AX96" s="154">
        <f t="shared" si="17"/>
        <v>1428</v>
      </c>
      <c r="AY96" s="4"/>
      <c r="AZ96" s="4"/>
      <c r="BA96" s="4"/>
      <c r="BB96" s="4"/>
      <c r="BC96" s="4"/>
      <c r="BD96" s="4"/>
      <c r="BE96" s="4"/>
      <c r="BF96" s="4"/>
    </row>
    <row r="97" ht="15.75" customHeight="1">
      <c r="A97" s="167" t="s">
        <v>169</v>
      </c>
      <c r="B97" s="188">
        <v>0.0</v>
      </c>
      <c r="C97" s="188">
        <v>0.0</v>
      </c>
      <c r="D97" s="188">
        <v>0.0</v>
      </c>
      <c r="E97" s="188">
        <f t="shared" si="271"/>
        <v>0</v>
      </c>
      <c r="F97" s="188">
        <v>0.0</v>
      </c>
      <c r="G97" s="188">
        <v>0.0</v>
      </c>
      <c r="H97" s="188">
        <v>68.0</v>
      </c>
      <c r="I97" s="188">
        <f t="shared" si="272"/>
        <v>68</v>
      </c>
      <c r="J97" s="188">
        <v>0.0</v>
      </c>
      <c r="K97" s="188">
        <v>0.0</v>
      </c>
      <c r="L97" s="188">
        <v>0.0</v>
      </c>
      <c r="M97" s="188">
        <f t="shared" si="273"/>
        <v>0</v>
      </c>
      <c r="N97" s="188">
        <v>0.0</v>
      </c>
      <c r="O97" s="188">
        <v>0.0</v>
      </c>
      <c r="P97" s="188">
        <v>0.0</v>
      </c>
      <c r="Q97" s="188">
        <f t="shared" si="274"/>
        <v>0</v>
      </c>
      <c r="R97" s="188">
        <f t="shared" si="275"/>
        <v>68</v>
      </c>
      <c r="S97" s="188">
        <v>834.0</v>
      </c>
      <c r="T97" s="188">
        <v>834.0</v>
      </c>
      <c r="U97" s="154">
        <f t="shared" si="276"/>
        <v>0</v>
      </c>
      <c r="V97" s="188">
        <v>0.0</v>
      </c>
      <c r="W97" s="188">
        <v>1648.0</v>
      </c>
      <c r="X97" s="154">
        <f t="shared" si="277"/>
        <v>1648</v>
      </c>
      <c r="Y97" s="188">
        <v>698.0</v>
      </c>
      <c r="Z97" s="188">
        <v>698.0</v>
      </c>
      <c r="AA97" s="154">
        <f t="shared" si="278"/>
        <v>0</v>
      </c>
      <c r="AB97" s="154">
        <f t="shared" si="279"/>
        <v>5662</v>
      </c>
      <c r="AC97" s="188">
        <v>12.0</v>
      </c>
      <c r="AD97" s="188">
        <v>12.0</v>
      </c>
      <c r="AE97" s="154">
        <f t="shared" si="280"/>
        <v>0</v>
      </c>
      <c r="AF97" s="188">
        <v>122.0</v>
      </c>
      <c r="AG97" s="188">
        <v>122.0</v>
      </c>
      <c r="AH97" s="154">
        <f t="shared" si="281"/>
        <v>0</v>
      </c>
      <c r="AI97" s="188">
        <v>1.0</v>
      </c>
      <c r="AJ97" s="188">
        <v>1.0</v>
      </c>
      <c r="AK97" s="154">
        <f t="shared" si="282"/>
        <v>0</v>
      </c>
      <c r="AL97" s="154">
        <f t="shared" si="283"/>
        <v>269</v>
      </c>
      <c r="AM97" s="154">
        <v>10.0</v>
      </c>
      <c r="AN97" s="188">
        <f t="shared" si="284"/>
        <v>1648</v>
      </c>
      <c r="AO97" s="188">
        <f>AM97+AN97-4</f>
        <v>1654</v>
      </c>
      <c r="AP97" s="154"/>
      <c r="AQ97" s="154"/>
      <c r="AR97" s="154">
        <f t="shared" si="285"/>
        <v>3312</v>
      </c>
      <c r="AS97" s="154"/>
      <c r="AT97" s="154"/>
      <c r="AU97" s="154"/>
      <c r="AV97" s="154">
        <f t="shared" si="286"/>
        <v>0</v>
      </c>
      <c r="AW97" s="154">
        <f t="shared" si="287"/>
        <v>9243</v>
      </c>
      <c r="AX97" s="154">
        <f t="shared" si="17"/>
        <v>9311</v>
      </c>
      <c r="AY97" s="4"/>
      <c r="AZ97" s="4"/>
      <c r="BA97" s="4"/>
      <c r="BB97" s="4"/>
      <c r="BC97" s="4"/>
      <c r="BD97" s="4"/>
      <c r="BE97" s="4"/>
      <c r="BF97" s="4"/>
    </row>
    <row r="98" ht="15.75" customHeight="1">
      <c r="A98" s="192" t="s">
        <v>170</v>
      </c>
      <c r="B98" s="188">
        <v>0.0</v>
      </c>
      <c r="C98" s="188">
        <v>0.0</v>
      </c>
      <c r="D98" s="188">
        <v>0.0</v>
      </c>
      <c r="E98" s="188">
        <f t="shared" si="271"/>
        <v>0</v>
      </c>
      <c r="F98" s="188">
        <v>0.0</v>
      </c>
      <c r="G98" s="188">
        <v>0.0</v>
      </c>
      <c r="H98" s="186"/>
      <c r="I98" s="188">
        <f t="shared" si="272"/>
        <v>0</v>
      </c>
      <c r="J98" s="188">
        <v>1.0</v>
      </c>
      <c r="K98" s="186"/>
      <c r="L98" s="188">
        <v>0.0</v>
      </c>
      <c r="M98" s="188">
        <f t="shared" si="273"/>
        <v>1</v>
      </c>
      <c r="N98" s="188">
        <v>0.0</v>
      </c>
      <c r="O98" s="188">
        <v>0.0</v>
      </c>
      <c r="P98" s="188">
        <v>0.0</v>
      </c>
      <c r="Q98" s="188">
        <f t="shared" si="274"/>
        <v>0</v>
      </c>
      <c r="R98" s="188">
        <f t="shared" si="275"/>
        <v>1</v>
      </c>
      <c r="S98" s="188">
        <v>0.0</v>
      </c>
      <c r="T98" s="188">
        <v>0.0</v>
      </c>
      <c r="U98" s="154">
        <f t="shared" si="276"/>
        <v>0</v>
      </c>
      <c r="V98" s="188">
        <v>0.0</v>
      </c>
      <c r="W98" s="188"/>
      <c r="X98" s="154">
        <f t="shared" si="277"/>
        <v>0</v>
      </c>
      <c r="Y98" s="188">
        <v>0.0</v>
      </c>
      <c r="Z98" s="188">
        <v>0.0</v>
      </c>
      <c r="AA98" s="154">
        <f t="shared" si="278"/>
        <v>0</v>
      </c>
      <c r="AB98" s="154">
        <f t="shared" si="279"/>
        <v>0</v>
      </c>
      <c r="AC98" s="188">
        <v>0.0</v>
      </c>
      <c r="AD98" s="188">
        <v>0.0</v>
      </c>
      <c r="AE98" s="154">
        <f t="shared" si="280"/>
        <v>0</v>
      </c>
      <c r="AF98" s="188">
        <v>0.0</v>
      </c>
      <c r="AG98" s="188">
        <v>0.0</v>
      </c>
      <c r="AH98" s="154">
        <f t="shared" si="281"/>
        <v>0</v>
      </c>
      <c r="AI98" s="188">
        <v>0.0</v>
      </c>
      <c r="AJ98" s="188">
        <v>0.0</v>
      </c>
      <c r="AK98" s="154">
        <f t="shared" si="282"/>
        <v>0</v>
      </c>
      <c r="AL98" s="154">
        <f t="shared" si="283"/>
        <v>0</v>
      </c>
      <c r="AM98" s="154">
        <v>0.0</v>
      </c>
      <c r="AN98" s="188">
        <f t="shared" si="284"/>
        <v>0</v>
      </c>
      <c r="AO98" s="188">
        <f>AM98+AN98</f>
        <v>0</v>
      </c>
      <c r="AP98" s="154"/>
      <c r="AQ98" s="154"/>
      <c r="AR98" s="154">
        <f t="shared" si="285"/>
        <v>0</v>
      </c>
      <c r="AS98" s="154"/>
      <c r="AT98" s="154"/>
      <c r="AU98" s="154"/>
      <c r="AV98" s="154">
        <f t="shared" si="286"/>
        <v>0</v>
      </c>
      <c r="AW98" s="154">
        <f t="shared" si="287"/>
        <v>0</v>
      </c>
      <c r="AX98" s="154">
        <f t="shared" si="17"/>
        <v>1</v>
      </c>
      <c r="AY98" s="4"/>
      <c r="AZ98" s="4"/>
      <c r="BA98" s="4"/>
      <c r="BB98" s="4"/>
      <c r="BC98" s="4"/>
      <c r="BD98" s="4"/>
      <c r="BE98" s="4"/>
      <c r="BF98" s="4"/>
    </row>
    <row r="99" ht="15.75" customHeight="1">
      <c r="A99" s="137" t="s">
        <v>171</v>
      </c>
      <c r="B99" s="191">
        <f t="shared" ref="B99:AW99" si="289">SUM(B100:B104)</f>
        <v>0</v>
      </c>
      <c r="C99" s="191">
        <f t="shared" si="289"/>
        <v>2</v>
      </c>
      <c r="D99" s="191">
        <f t="shared" si="289"/>
        <v>35</v>
      </c>
      <c r="E99" s="191">
        <f t="shared" si="289"/>
        <v>37</v>
      </c>
      <c r="F99" s="191">
        <f t="shared" si="289"/>
        <v>0</v>
      </c>
      <c r="G99" s="191">
        <f t="shared" si="289"/>
        <v>35</v>
      </c>
      <c r="H99" s="191">
        <f t="shared" si="289"/>
        <v>0</v>
      </c>
      <c r="I99" s="191">
        <f t="shared" si="289"/>
        <v>35</v>
      </c>
      <c r="J99" s="191">
        <f t="shared" si="289"/>
        <v>29</v>
      </c>
      <c r="K99" s="191">
        <f t="shared" si="289"/>
        <v>0</v>
      </c>
      <c r="L99" s="191">
        <f t="shared" si="289"/>
        <v>0</v>
      </c>
      <c r="M99" s="191">
        <f t="shared" si="289"/>
        <v>29</v>
      </c>
      <c r="N99" s="191">
        <f t="shared" si="289"/>
        <v>0</v>
      </c>
      <c r="O99" s="191">
        <f t="shared" si="289"/>
        <v>1</v>
      </c>
      <c r="P99" s="191">
        <f t="shared" si="289"/>
        <v>0</v>
      </c>
      <c r="Q99" s="191">
        <f t="shared" si="289"/>
        <v>1</v>
      </c>
      <c r="R99" s="191">
        <f t="shared" si="289"/>
        <v>102</v>
      </c>
      <c r="S99" s="187">
        <f t="shared" si="289"/>
        <v>0</v>
      </c>
      <c r="T99" s="187">
        <f t="shared" si="289"/>
        <v>0</v>
      </c>
      <c r="U99" s="141">
        <f t="shared" si="289"/>
        <v>0</v>
      </c>
      <c r="V99" s="187">
        <f t="shared" si="289"/>
        <v>0</v>
      </c>
      <c r="W99" s="187">
        <f t="shared" si="289"/>
        <v>0</v>
      </c>
      <c r="X99" s="141">
        <f t="shared" si="289"/>
        <v>0</v>
      </c>
      <c r="Y99" s="187">
        <f t="shared" si="289"/>
        <v>194</v>
      </c>
      <c r="Z99" s="187">
        <f t="shared" si="289"/>
        <v>194</v>
      </c>
      <c r="AA99" s="141">
        <f t="shared" si="289"/>
        <v>0</v>
      </c>
      <c r="AB99" s="141">
        <f t="shared" si="289"/>
        <v>194</v>
      </c>
      <c r="AC99" s="187">
        <f t="shared" si="289"/>
        <v>0</v>
      </c>
      <c r="AD99" s="187">
        <f t="shared" si="289"/>
        <v>0</v>
      </c>
      <c r="AE99" s="141">
        <f t="shared" si="289"/>
        <v>0</v>
      </c>
      <c r="AF99" s="187">
        <f t="shared" si="289"/>
        <v>1</v>
      </c>
      <c r="AG99" s="187">
        <f t="shared" si="289"/>
        <v>1</v>
      </c>
      <c r="AH99" s="141">
        <f t="shared" si="289"/>
        <v>0</v>
      </c>
      <c r="AI99" s="187">
        <f t="shared" si="289"/>
        <v>0</v>
      </c>
      <c r="AJ99" s="187">
        <f t="shared" si="289"/>
        <v>0</v>
      </c>
      <c r="AK99" s="141">
        <f t="shared" si="289"/>
        <v>0</v>
      </c>
      <c r="AL99" s="141">
        <f t="shared" si="289"/>
        <v>2</v>
      </c>
      <c r="AM99" s="141">
        <f t="shared" si="289"/>
        <v>0</v>
      </c>
      <c r="AN99" s="187">
        <f t="shared" si="289"/>
        <v>0</v>
      </c>
      <c r="AO99" s="187">
        <f t="shared" si="289"/>
        <v>0</v>
      </c>
      <c r="AP99" s="141">
        <f t="shared" si="289"/>
        <v>0</v>
      </c>
      <c r="AQ99" s="141">
        <f t="shared" si="289"/>
        <v>0</v>
      </c>
      <c r="AR99" s="141">
        <f t="shared" si="289"/>
        <v>0</v>
      </c>
      <c r="AS99" s="141">
        <f t="shared" si="289"/>
        <v>0</v>
      </c>
      <c r="AT99" s="141">
        <f t="shared" si="289"/>
        <v>0</v>
      </c>
      <c r="AU99" s="141">
        <f t="shared" si="289"/>
        <v>0</v>
      </c>
      <c r="AV99" s="141">
        <f t="shared" si="289"/>
        <v>0</v>
      </c>
      <c r="AW99" s="141">
        <f t="shared" si="289"/>
        <v>196</v>
      </c>
      <c r="AX99" s="141">
        <f t="shared" si="17"/>
        <v>298</v>
      </c>
      <c r="AY99" s="4"/>
      <c r="AZ99" s="4"/>
      <c r="BA99" s="4"/>
      <c r="BB99" s="4"/>
      <c r="BC99" s="4"/>
      <c r="BD99" s="4"/>
      <c r="BE99" s="4"/>
      <c r="BF99" s="4"/>
    </row>
    <row r="100" ht="15.75" customHeight="1">
      <c r="A100" s="169" t="s">
        <v>172</v>
      </c>
      <c r="B100" s="188">
        <v>0.0</v>
      </c>
      <c r="C100" s="188">
        <v>0.0</v>
      </c>
      <c r="D100" s="188">
        <v>0.0</v>
      </c>
      <c r="E100" s="188">
        <f t="shared" ref="E100:E104" si="290">SUM(B100:D100)</f>
        <v>0</v>
      </c>
      <c r="F100" s="188">
        <v>0.0</v>
      </c>
      <c r="G100" s="188">
        <v>0.0</v>
      </c>
      <c r="H100" s="188">
        <v>0.0</v>
      </c>
      <c r="I100" s="188">
        <f t="shared" ref="I100:I104" si="291">SUM(F100:H100)</f>
        <v>0</v>
      </c>
      <c r="J100" s="188">
        <v>29.0</v>
      </c>
      <c r="K100" s="188">
        <v>0.0</v>
      </c>
      <c r="L100" s="188">
        <v>0.0</v>
      </c>
      <c r="M100" s="188">
        <f t="shared" ref="M100:M104" si="292">SUM(J100:L100)</f>
        <v>29</v>
      </c>
      <c r="N100" s="188">
        <v>0.0</v>
      </c>
      <c r="O100" s="188">
        <v>1.0</v>
      </c>
      <c r="P100" s="188">
        <v>0.0</v>
      </c>
      <c r="Q100" s="188">
        <f t="shared" ref="Q100:Q104" si="293">SUM(N100:P100)</f>
        <v>1</v>
      </c>
      <c r="R100" s="188">
        <f t="shared" ref="R100:R104" si="294">SUM(E100,I100,M100,Q100)</f>
        <v>30</v>
      </c>
      <c r="S100" s="188">
        <v>0.0</v>
      </c>
      <c r="T100" s="188">
        <v>0.0</v>
      </c>
      <c r="U100" s="154">
        <f t="shared" ref="U100:U104" si="295">T100-S100</f>
        <v>0</v>
      </c>
      <c r="V100" s="188">
        <v>0.0</v>
      </c>
      <c r="W100" s="188"/>
      <c r="X100" s="154">
        <f t="shared" ref="X100:X104" si="296">W100-V100</f>
        <v>0</v>
      </c>
      <c r="Y100" s="188">
        <v>3.0</v>
      </c>
      <c r="Z100" s="188">
        <v>3.0</v>
      </c>
      <c r="AA100" s="154">
        <f t="shared" ref="AA100:AA104" si="297">Z100-Y100</f>
        <v>0</v>
      </c>
      <c r="AB100" s="154">
        <f t="shared" ref="AB100:AB104" si="298">SUM(S100:Y100)</f>
        <v>3</v>
      </c>
      <c r="AC100" s="188">
        <v>0.0</v>
      </c>
      <c r="AD100" s="188">
        <v>0.0</v>
      </c>
      <c r="AE100" s="154">
        <f t="shared" ref="AE100:AE104" si="299">AD100-AC100</f>
        <v>0</v>
      </c>
      <c r="AF100" s="188">
        <v>0.0</v>
      </c>
      <c r="AG100" s="188">
        <v>0.0</v>
      </c>
      <c r="AH100" s="154">
        <f t="shared" ref="AH100:AH104" si="300">AG100-AF100</f>
        <v>0</v>
      </c>
      <c r="AI100" s="188">
        <v>0.0</v>
      </c>
      <c r="AJ100" s="188">
        <v>0.0</v>
      </c>
      <c r="AK100" s="154">
        <f t="shared" ref="AK100:AK104" si="301">AJ100-AI100</f>
        <v>0</v>
      </c>
      <c r="AL100" s="154">
        <f t="shared" ref="AL100:AL104" si="302">SUM(AC100:AI100)</f>
        <v>0</v>
      </c>
      <c r="AM100" s="154">
        <v>0.0</v>
      </c>
      <c r="AN100" s="188">
        <f t="shared" ref="AN100:AN104" si="303">SUM(U100,X100,AA100,AE100,AH100,AK100)</f>
        <v>0</v>
      </c>
      <c r="AO100" s="188">
        <f t="shared" ref="AO100:AO104" si="304">AM100+AN100</f>
        <v>0</v>
      </c>
      <c r="AP100" s="154"/>
      <c r="AQ100" s="154"/>
      <c r="AR100" s="154">
        <f t="shared" ref="AR100:AR104" si="305">SUM(AM100:AQ100)</f>
        <v>0</v>
      </c>
      <c r="AS100" s="154"/>
      <c r="AT100" s="154"/>
      <c r="AU100" s="154"/>
      <c r="AV100" s="154">
        <f t="shared" ref="AV100:AV104" si="306">SUM(AS100:AU100)</f>
        <v>0</v>
      </c>
      <c r="AW100" s="154">
        <f t="shared" ref="AW100:AW104" si="307">SUM(AB100,AL100,AR100,AV100)</f>
        <v>3</v>
      </c>
      <c r="AX100" s="154">
        <f t="shared" si="17"/>
        <v>33</v>
      </c>
      <c r="AY100" s="4"/>
      <c r="AZ100" s="4"/>
      <c r="BA100" s="4"/>
      <c r="BB100" s="4"/>
      <c r="BC100" s="4"/>
      <c r="BD100" s="4"/>
      <c r="BE100" s="4"/>
      <c r="BF100" s="4"/>
    </row>
    <row r="101" ht="15.75" customHeight="1">
      <c r="A101" s="167" t="s">
        <v>173</v>
      </c>
      <c r="B101" s="188">
        <v>0.0</v>
      </c>
      <c r="C101" s="188">
        <v>0.0</v>
      </c>
      <c r="D101" s="188">
        <v>0.0</v>
      </c>
      <c r="E101" s="188">
        <f t="shared" si="290"/>
        <v>0</v>
      </c>
      <c r="F101" s="188">
        <v>0.0</v>
      </c>
      <c r="G101" s="188">
        <v>0.0</v>
      </c>
      <c r="H101" s="186"/>
      <c r="I101" s="188">
        <f t="shared" si="291"/>
        <v>0</v>
      </c>
      <c r="J101" s="186"/>
      <c r="K101" s="186"/>
      <c r="L101" s="186"/>
      <c r="M101" s="188">
        <f t="shared" si="292"/>
        <v>0</v>
      </c>
      <c r="N101" s="186"/>
      <c r="O101" s="186"/>
      <c r="P101" s="186"/>
      <c r="Q101" s="188">
        <f t="shared" si="293"/>
        <v>0</v>
      </c>
      <c r="R101" s="188">
        <f t="shared" si="294"/>
        <v>0</v>
      </c>
      <c r="S101" s="188">
        <v>0.0</v>
      </c>
      <c r="T101" s="186">
        <v>0.0</v>
      </c>
      <c r="U101" s="154">
        <f t="shared" si="295"/>
        <v>0</v>
      </c>
      <c r="V101" s="190"/>
      <c r="W101" s="190"/>
      <c r="X101" s="154">
        <f t="shared" si="296"/>
        <v>0</v>
      </c>
      <c r="Y101" s="188">
        <v>125.0</v>
      </c>
      <c r="Z101" s="188">
        <v>125.0</v>
      </c>
      <c r="AA101" s="154">
        <f t="shared" si="297"/>
        <v>0</v>
      </c>
      <c r="AB101" s="154">
        <f t="shared" si="298"/>
        <v>125</v>
      </c>
      <c r="AC101" s="188">
        <v>0.0</v>
      </c>
      <c r="AD101" s="188">
        <v>0.0</v>
      </c>
      <c r="AE101" s="154">
        <f t="shared" si="299"/>
        <v>0</v>
      </c>
      <c r="AF101" s="188">
        <v>0.0</v>
      </c>
      <c r="AG101" s="188">
        <v>0.0</v>
      </c>
      <c r="AH101" s="154">
        <f t="shared" si="300"/>
        <v>0</v>
      </c>
      <c r="AI101" s="188">
        <v>0.0</v>
      </c>
      <c r="AJ101" s="188">
        <v>0.0</v>
      </c>
      <c r="AK101" s="154">
        <f t="shared" si="301"/>
        <v>0</v>
      </c>
      <c r="AL101" s="154">
        <f t="shared" si="302"/>
        <v>0</v>
      </c>
      <c r="AM101" s="154">
        <v>0.0</v>
      </c>
      <c r="AN101" s="188">
        <f t="shared" si="303"/>
        <v>0</v>
      </c>
      <c r="AO101" s="188">
        <f t="shared" si="304"/>
        <v>0</v>
      </c>
      <c r="AP101" s="154"/>
      <c r="AQ101" s="154"/>
      <c r="AR101" s="154">
        <f t="shared" si="305"/>
        <v>0</v>
      </c>
      <c r="AS101" s="154"/>
      <c r="AT101" s="154"/>
      <c r="AU101" s="154"/>
      <c r="AV101" s="154">
        <f t="shared" si="306"/>
        <v>0</v>
      </c>
      <c r="AW101" s="154">
        <f t="shared" si="307"/>
        <v>125</v>
      </c>
      <c r="AX101" s="154">
        <f t="shared" si="17"/>
        <v>125</v>
      </c>
      <c r="AY101" s="4"/>
      <c r="AZ101" s="4"/>
      <c r="BA101" s="4"/>
      <c r="BB101" s="4"/>
      <c r="BC101" s="4"/>
      <c r="BD101" s="4"/>
      <c r="BE101" s="4"/>
      <c r="BF101" s="4"/>
    </row>
    <row r="102" ht="15.75" customHeight="1">
      <c r="A102" s="167" t="s">
        <v>174</v>
      </c>
      <c r="B102" s="188">
        <v>0.0</v>
      </c>
      <c r="C102" s="188">
        <v>0.0</v>
      </c>
      <c r="D102" s="188">
        <v>0.0</v>
      </c>
      <c r="E102" s="188">
        <f t="shared" si="290"/>
        <v>0</v>
      </c>
      <c r="F102" s="188">
        <v>0.0</v>
      </c>
      <c r="G102" s="188">
        <v>0.0</v>
      </c>
      <c r="H102" s="186"/>
      <c r="I102" s="188">
        <f t="shared" si="291"/>
        <v>0</v>
      </c>
      <c r="J102" s="186"/>
      <c r="K102" s="186"/>
      <c r="L102" s="186"/>
      <c r="M102" s="188">
        <f t="shared" si="292"/>
        <v>0</v>
      </c>
      <c r="N102" s="186"/>
      <c r="O102" s="186"/>
      <c r="P102" s="186"/>
      <c r="Q102" s="188">
        <f t="shared" si="293"/>
        <v>0</v>
      </c>
      <c r="R102" s="188">
        <f t="shared" si="294"/>
        <v>0</v>
      </c>
      <c r="S102" s="188">
        <v>0.0</v>
      </c>
      <c r="T102" s="186">
        <v>0.0</v>
      </c>
      <c r="U102" s="154">
        <f t="shared" si="295"/>
        <v>0</v>
      </c>
      <c r="V102" s="190"/>
      <c r="W102" s="190"/>
      <c r="X102" s="154">
        <f t="shared" si="296"/>
        <v>0</v>
      </c>
      <c r="Y102" s="188">
        <v>25.0</v>
      </c>
      <c r="Z102" s="188">
        <v>25.0</v>
      </c>
      <c r="AA102" s="154">
        <f t="shared" si="297"/>
        <v>0</v>
      </c>
      <c r="AB102" s="154">
        <f t="shared" si="298"/>
        <v>25</v>
      </c>
      <c r="AC102" s="188">
        <v>0.0</v>
      </c>
      <c r="AD102" s="188">
        <v>0.0</v>
      </c>
      <c r="AE102" s="154">
        <f t="shared" si="299"/>
        <v>0</v>
      </c>
      <c r="AF102" s="188">
        <v>0.0</v>
      </c>
      <c r="AG102" s="188">
        <v>0.0</v>
      </c>
      <c r="AH102" s="154">
        <f t="shared" si="300"/>
        <v>0</v>
      </c>
      <c r="AI102" s="189">
        <v>0.0</v>
      </c>
      <c r="AJ102" s="189">
        <v>0.0</v>
      </c>
      <c r="AK102" s="154">
        <f t="shared" si="301"/>
        <v>0</v>
      </c>
      <c r="AL102" s="154">
        <f t="shared" si="302"/>
        <v>0</v>
      </c>
      <c r="AM102" s="154">
        <v>0.0</v>
      </c>
      <c r="AN102" s="188">
        <f t="shared" si="303"/>
        <v>0</v>
      </c>
      <c r="AO102" s="188">
        <f t="shared" si="304"/>
        <v>0</v>
      </c>
      <c r="AP102" s="154"/>
      <c r="AQ102" s="155"/>
      <c r="AR102" s="154">
        <f t="shared" si="305"/>
        <v>0</v>
      </c>
      <c r="AS102" s="154"/>
      <c r="AT102" s="154"/>
      <c r="AU102" s="155"/>
      <c r="AV102" s="154">
        <f t="shared" si="306"/>
        <v>0</v>
      </c>
      <c r="AW102" s="154">
        <f t="shared" si="307"/>
        <v>25</v>
      </c>
      <c r="AX102" s="154">
        <f t="shared" si="17"/>
        <v>25</v>
      </c>
      <c r="AY102" s="4"/>
      <c r="AZ102" s="4"/>
      <c r="BA102" s="4"/>
      <c r="BB102" s="4"/>
      <c r="BC102" s="4"/>
      <c r="BD102" s="4"/>
      <c r="BE102" s="4"/>
      <c r="BF102" s="4"/>
    </row>
    <row r="103" ht="15.75" customHeight="1">
      <c r="A103" s="167" t="s">
        <v>175</v>
      </c>
      <c r="B103" s="188">
        <v>0.0</v>
      </c>
      <c r="C103" s="188">
        <v>2.0</v>
      </c>
      <c r="D103" s="188">
        <v>30.0</v>
      </c>
      <c r="E103" s="188">
        <f t="shared" si="290"/>
        <v>32</v>
      </c>
      <c r="F103" s="188">
        <v>0.0</v>
      </c>
      <c r="G103" s="188">
        <v>30.0</v>
      </c>
      <c r="H103" s="188">
        <v>0.0</v>
      </c>
      <c r="I103" s="188">
        <f t="shared" si="291"/>
        <v>30</v>
      </c>
      <c r="J103" s="186"/>
      <c r="K103" s="186"/>
      <c r="L103" s="188">
        <v>0.0</v>
      </c>
      <c r="M103" s="188">
        <f t="shared" si="292"/>
        <v>0</v>
      </c>
      <c r="N103" s="188">
        <v>0.0</v>
      </c>
      <c r="O103" s="186"/>
      <c r="P103" s="186"/>
      <c r="Q103" s="188">
        <f t="shared" si="293"/>
        <v>0</v>
      </c>
      <c r="R103" s="188">
        <f t="shared" si="294"/>
        <v>62</v>
      </c>
      <c r="S103" s="188">
        <v>0.0</v>
      </c>
      <c r="T103" s="186">
        <v>0.0</v>
      </c>
      <c r="U103" s="154">
        <f t="shared" si="295"/>
        <v>0</v>
      </c>
      <c r="V103" s="190"/>
      <c r="W103" s="190"/>
      <c r="X103" s="154">
        <f t="shared" si="296"/>
        <v>0</v>
      </c>
      <c r="Y103" s="188">
        <v>3.0</v>
      </c>
      <c r="Z103" s="188">
        <v>3.0</v>
      </c>
      <c r="AA103" s="154">
        <f t="shared" si="297"/>
        <v>0</v>
      </c>
      <c r="AB103" s="154">
        <f t="shared" si="298"/>
        <v>3</v>
      </c>
      <c r="AC103" s="188">
        <v>0.0</v>
      </c>
      <c r="AD103" s="188">
        <v>0.0</v>
      </c>
      <c r="AE103" s="154">
        <f t="shared" si="299"/>
        <v>0</v>
      </c>
      <c r="AF103" s="188">
        <v>1.0</v>
      </c>
      <c r="AG103" s="188">
        <v>1.0</v>
      </c>
      <c r="AH103" s="154">
        <f t="shared" si="300"/>
        <v>0</v>
      </c>
      <c r="AI103" s="188">
        <v>0.0</v>
      </c>
      <c r="AJ103" s="188">
        <v>0.0</v>
      </c>
      <c r="AK103" s="154">
        <f t="shared" si="301"/>
        <v>0</v>
      </c>
      <c r="AL103" s="154">
        <f t="shared" si="302"/>
        <v>2</v>
      </c>
      <c r="AM103" s="154">
        <v>0.0</v>
      </c>
      <c r="AN103" s="188">
        <f t="shared" si="303"/>
        <v>0</v>
      </c>
      <c r="AO103" s="188">
        <f t="shared" si="304"/>
        <v>0</v>
      </c>
      <c r="AP103" s="154"/>
      <c r="AQ103" s="154"/>
      <c r="AR103" s="154">
        <f t="shared" si="305"/>
        <v>0</v>
      </c>
      <c r="AS103" s="154"/>
      <c r="AT103" s="154"/>
      <c r="AU103" s="154"/>
      <c r="AV103" s="154">
        <f t="shared" si="306"/>
        <v>0</v>
      </c>
      <c r="AW103" s="154">
        <f t="shared" si="307"/>
        <v>5</v>
      </c>
      <c r="AX103" s="154">
        <f t="shared" si="17"/>
        <v>67</v>
      </c>
      <c r="AY103" s="4"/>
      <c r="AZ103" s="4"/>
      <c r="BA103" s="4"/>
      <c r="BB103" s="4"/>
      <c r="BC103" s="4"/>
      <c r="BD103" s="4"/>
      <c r="BE103" s="4"/>
      <c r="BF103" s="4"/>
    </row>
    <row r="104" ht="15.75" customHeight="1">
      <c r="A104" s="167" t="s">
        <v>176</v>
      </c>
      <c r="B104" s="188">
        <v>0.0</v>
      </c>
      <c r="C104" s="188">
        <v>0.0</v>
      </c>
      <c r="D104" s="188">
        <v>5.0</v>
      </c>
      <c r="E104" s="188">
        <f t="shared" si="290"/>
        <v>5</v>
      </c>
      <c r="F104" s="188">
        <v>0.0</v>
      </c>
      <c r="G104" s="188">
        <v>5.0</v>
      </c>
      <c r="H104" s="188">
        <v>0.0</v>
      </c>
      <c r="I104" s="188">
        <f t="shared" si="291"/>
        <v>5</v>
      </c>
      <c r="J104" s="186"/>
      <c r="K104" s="186"/>
      <c r="L104" s="188">
        <v>0.0</v>
      </c>
      <c r="M104" s="188">
        <f t="shared" si="292"/>
        <v>0</v>
      </c>
      <c r="N104" s="188">
        <v>0.0</v>
      </c>
      <c r="O104" s="186"/>
      <c r="P104" s="186"/>
      <c r="Q104" s="188">
        <f t="shared" si="293"/>
        <v>0</v>
      </c>
      <c r="R104" s="188">
        <f t="shared" si="294"/>
        <v>10</v>
      </c>
      <c r="S104" s="188">
        <v>0.0</v>
      </c>
      <c r="T104" s="186">
        <v>0.0</v>
      </c>
      <c r="U104" s="154">
        <f t="shared" si="295"/>
        <v>0</v>
      </c>
      <c r="V104" s="190"/>
      <c r="W104" s="190"/>
      <c r="X104" s="154">
        <f t="shared" si="296"/>
        <v>0</v>
      </c>
      <c r="Y104" s="188">
        <v>38.0</v>
      </c>
      <c r="Z104" s="188">
        <v>38.0</v>
      </c>
      <c r="AA104" s="154">
        <f t="shared" si="297"/>
        <v>0</v>
      </c>
      <c r="AB104" s="154">
        <f t="shared" si="298"/>
        <v>38</v>
      </c>
      <c r="AC104" s="188">
        <v>0.0</v>
      </c>
      <c r="AD104" s="188">
        <v>0.0</v>
      </c>
      <c r="AE104" s="154">
        <f t="shared" si="299"/>
        <v>0</v>
      </c>
      <c r="AF104" s="188">
        <v>0.0</v>
      </c>
      <c r="AG104" s="188">
        <v>0.0</v>
      </c>
      <c r="AH104" s="154">
        <f t="shared" si="300"/>
        <v>0</v>
      </c>
      <c r="AI104" s="188">
        <v>0.0</v>
      </c>
      <c r="AJ104" s="188">
        <v>0.0</v>
      </c>
      <c r="AK104" s="154">
        <f t="shared" si="301"/>
        <v>0</v>
      </c>
      <c r="AL104" s="154">
        <f t="shared" si="302"/>
        <v>0</v>
      </c>
      <c r="AM104" s="154">
        <v>0.0</v>
      </c>
      <c r="AN104" s="188">
        <f t="shared" si="303"/>
        <v>0</v>
      </c>
      <c r="AO104" s="188">
        <f t="shared" si="304"/>
        <v>0</v>
      </c>
      <c r="AP104" s="154"/>
      <c r="AQ104" s="154"/>
      <c r="AR104" s="154">
        <f t="shared" si="305"/>
        <v>0</v>
      </c>
      <c r="AS104" s="154"/>
      <c r="AT104" s="154"/>
      <c r="AU104" s="154"/>
      <c r="AV104" s="154">
        <f t="shared" si="306"/>
        <v>0</v>
      </c>
      <c r="AW104" s="154">
        <f t="shared" si="307"/>
        <v>38</v>
      </c>
      <c r="AX104" s="154">
        <f t="shared" si="17"/>
        <v>48</v>
      </c>
      <c r="AY104" s="4"/>
      <c r="AZ104" s="4"/>
      <c r="BA104" s="4"/>
      <c r="BB104" s="4"/>
      <c r="BC104" s="4"/>
      <c r="BD104" s="4"/>
      <c r="BE104" s="4"/>
      <c r="BF104" s="4"/>
    </row>
    <row r="105" ht="15.75" customHeight="1">
      <c r="A105" s="137" t="s">
        <v>177</v>
      </c>
      <c r="B105" s="187">
        <f t="shared" ref="B105:S105" si="308">SUM(B106:B111)</f>
        <v>0</v>
      </c>
      <c r="C105" s="187">
        <f t="shared" si="308"/>
        <v>0</v>
      </c>
      <c r="D105" s="187">
        <f t="shared" si="308"/>
        <v>0</v>
      </c>
      <c r="E105" s="187">
        <f t="shared" si="308"/>
        <v>0</v>
      </c>
      <c r="F105" s="187">
        <f t="shared" si="308"/>
        <v>0</v>
      </c>
      <c r="G105" s="187">
        <f t="shared" si="308"/>
        <v>0</v>
      </c>
      <c r="H105" s="187">
        <f t="shared" si="308"/>
        <v>13</v>
      </c>
      <c r="I105" s="187">
        <f t="shared" si="308"/>
        <v>13</v>
      </c>
      <c r="J105" s="187">
        <f t="shared" si="308"/>
        <v>227</v>
      </c>
      <c r="K105" s="187">
        <f t="shared" si="308"/>
        <v>23</v>
      </c>
      <c r="L105" s="187">
        <f t="shared" si="308"/>
        <v>0</v>
      </c>
      <c r="M105" s="187">
        <f t="shared" si="308"/>
        <v>250</v>
      </c>
      <c r="N105" s="187">
        <f t="shared" si="308"/>
        <v>0</v>
      </c>
      <c r="O105" s="187">
        <f t="shared" si="308"/>
        <v>0</v>
      </c>
      <c r="P105" s="187">
        <f t="shared" si="308"/>
        <v>0</v>
      </c>
      <c r="Q105" s="187">
        <f t="shared" si="308"/>
        <v>0</v>
      </c>
      <c r="R105" s="187">
        <f t="shared" si="308"/>
        <v>263</v>
      </c>
      <c r="S105" s="187">
        <f t="shared" si="308"/>
        <v>12</v>
      </c>
      <c r="T105" s="187"/>
      <c r="U105" s="141"/>
      <c r="V105" s="187">
        <f>SUM(V106:V111)</f>
        <v>31</v>
      </c>
      <c r="W105" s="187"/>
      <c r="X105" s="141"/>
      <c r="Y105" s="187">
        <f t="shared" ref="Y105:Z105" si="309">SUM(Y106:Y111)</f>
        <v>8</v>
      </c>
      <c r="Z105" s="187">
        <f t="shared" si="309"/>
        <v>8</v>
      </c>
      <c r="AA105" s="141"/>
      <c r="AB105" s="141">
        <f t="shared" ref="AB105:AC105" si="310">SUM(AB106:AB111)</f>
        <v>51</v>
      </c>
      <c r="AC105" s="141">
        <f t="shared" si="310"/>
        <v>0</v>
      </c>
      <c r="AD105" s="141"/>
      <c r="AE105" s="141"/>
      <c r="AF105" s="141">
        <f>SUM(AF106:AF111)</f>
        <v>0</v>
      </c>
      <c r="AG105" s="141"/>
      <c r="AH105" s="141"/>
      <c r="AI105" s="141">
        <f>SUM(AI106:AI111)</f>
        <v>0</v>
      </c>
      <c r="AJ105" s="141"/>
      <c r="AK105" s="141"/>
      <c r="AL105" s="141">
        <f t="shared" ref="AL105:AM105" si="311">SUM(AL106:AL111)</f>
        <v>0</v>
      </c>
      <c r="AM105" s="141">
        <f t="shared" si="311"/>
        <v>0</v>
      </c>
      <c r="AN105" s="214"/>
      <c r="AO105" s="214"/>
      <c r="AP105" s="141">
        <f t="shared" ref="AP105:AW105" si="312">SUM(AP106:AP111)</f>
        <v>0</v>
      </c>
      <c r="AQ105" s="141">
        <f t="shared" si="312"/>
        <v>0</v>
      </c>
      <c r="AR105" s="141">
        <f t="shared" si="312"/>
        <v>0</v>
      </c>
      <c r="AS105" s="141">
        <f t="shared" si="312"/>
        <v>0</v>
      </c>
      <c r="AT105" s="141">
        <f t="shared" si="312"/>
        <v>0</v>
      </c>
      <c r="AU105" s="141">
        <f t="shared" si="312"/>
        <v>0</v>
      </c>
      <c r="AV105" s="141">
        <f t="shared" si="312"/>
        <v>0</v>
      </c>
      <c r="AW105" s="141">
        <f t="shared" si="312"/>
        <v>51</v>
      </c>
      <c r="AX105" s="141">
        <f t="shared" si="17"/>
        <v>314</v>
      </c>
      <c r="AY105" s="4"/>
      <c r="AZ105" s="4"/>
      <c r="BA105" s="4"/>
      <c r="BB105" s="4"/>
      <c r="BC105" s="4"/>
      <c r="BD105" s="4"/>
      <c r="BE105" s="4"/>
      <c r="BF105" s="4"/>
    </row>
    <row r="106" ht="15.75" customHeight="1">
      <c r="A106" s="167" t="s">
        <v>178</v>
      </c>
      <c r="B106" s="188">
        <v>0.0</v>
      </c>
      <c r="C106" s="188">
        <v>0.0</v>
      </c>
      <c r="D106" s="188">
        <v>0.0</v>
      </c>
      <c r="E106" s="188">
        <f t="shared" ref="E106:E112" si="313">SUM(B106:D106)</f>
        <v>0</v>
      </c>
      <c r="F106" s="188">
        <v>0.0</v>
      </c>
      <c r="G106" s="188">
        <v>0.0</v>
      </c>
      <c r="H106" s="188">
        <v>0.0</v>
      </c>
      <c r="I106" s="188">
        <f t="shared" ref="I106:I112" si="314">SUM(F106:H106)</f>
        <v>0</v>
      </c>
      <c r="J106" s="188">
        <v>66.0</v>
      </c>
      <c r="K106" s="188">
        <v>0.0</v>
      </c>
      <c r="L106" s="188">
        <v>0.0</v>
      </c>
      <c r="M106" s="188">
        <f t="shared" ref="M106:M112" si="315">SUM(J106:L106)</f>
        <v>66</v>
      </c>
      <c r="N106" s="188">
        <v>0.0</v>
      </c>
      <c r="O106" s="188">
        <v>0.0</v>
      </c>
      <c r="P106" s="188">
        <v>0.0</v>
      </c>
      <c r="Q106" s="188">
        <f t="shared" ref="Q106:Q112" si="316">SUM(N106:P106)</f>
        <v>0</v>
      </c>
      <c r="R106" s="188">
        <f t="shared" ref="R106:R111" si="317">SUM(E106,I106,M106,Q106)</f>
        <v>66</v>
      </c>
      <c r="S106" s="188">
        <v>0.0</v>
      </c>
      <c r="T106" s="186"/>
      <c r="U106" s="154"/>
      <c r="V106" s="186"/>
      <c r="W106" s="186"/>
      <c r="X106" s="154"/>
      <c r="Y106" s="186"/>
      <c r="Z106" s="186"/>
      <c r="AA106" s="154"/>
      <c r="AB106" s="154">
        <f t="shared" ref="AB106:AB112" si="318">SUM(S106:Y106)</f>
        <v>0</v>
      </c>
      <c r="AC106" s="154"/>
      <c r="AD106" s="154"/>
      <c r="AE106" s="154"/>
      <c r="AF106" s="154"/>
      <c r="AG106" s="154"/>
      <c r="AH106" s="154"/>
      <c r="AI106" s="154"/>
      <c r="AJ106" s="154"/>
      <c r="AK106" s="154"/>
      <c r="AL106" s="154">
        <f t="shared" ref="AL106:AL112" si="319">SUM(AC106:AI106)</f>
        <v>0</v>
      </c>
      <c r="AM106" s="154"/>
      <c r="AN106" s="190"/>
      <c r="AO106" s="190"/>
      <c r="AP106" s="154"/>
      <c r="AQ106" s="154"/>
      <c r="AR106" s="154">
        <f t="shared" ref="AR106:AR112" si="320">SUM(AM106:AQ106)</f>
        <v>0</v>
      </c>
      <c r="AS106" s="154"/>
      <c r="AT106" s="154"/>
      <c r="AU106" s="154"/>
      <c r="AV106" s="154">
        <f t="shared" ref="AV106:AV112" si="321">SUM(AS106:AU106)</f>
        <v>0</v>
      </c>
      <c r="AW106" s="154">
        <f t="shared" ref="AW106:AW112" si="322">SUM(AB106,AL106,AR106,AV106)</f>
        <v>0</v>
      </c>
      <c r="AX106" s="154">
        <f t="shared" si="17"/>
        <v>66</v>
      </c>
      <c r="AY106" s="4"/>
      <c r="AZ106" s="4"/>
      <c r="BA106" s="4"/>
      <c r="BB106" s="4"/>
      <c r="BC106" s="4"/>
      <c r="BD106" s="4"/>
      <c r="BE106" s="4"/>
      <c r="BF106" s="4"/>
    </row>
    <row r="107" ht="15.75" customHeight="1">
      <c r="A107" s="167" t="s">
        <v>179</v>
      </c>
      <c r="B107" s="188">
        <v>0.0</v>
      </c>
      <c r="C107" s="188">
        <v>0.0</v>
      </c>
      <c r="D107" s="188">
        <v>0.0</v>
      </c>
      <c r="E107" s="188">
        <f t="shared" si="313"/>
        <v>0</v>
      </c>
      <c r="F107" s="188">
        <v>0.0</v>
      </c>
      <c r="G107" s="188">
        <v>0.0</v>
      </c>
      <c r="H107" s="188">
        <v>13.0</v>
      </c>
      <c r="I107" s="188">
        <f t="shared" si="314"/>
        <v>13</v>
      </c>
      <c r="J107" s="188">
        <v>112.0</v>
      </c>
      <c r="K107" s="188">
        <v>0.0</v>
      </c>
      <c r="L107" s="188">
        <v>0.0</v>
      </c>
      <c r="M107" s="188">
        <f t="shared" si="315"/>
        <v>112</v>
      </c>
      <c r="N107" s="188">
        <v>0.0</v>
      </c>
      <c r="O107" s="188">
        <v>0.0</v>
      </c>
      <c r="P107" s="188">
        <v>0.0</v>
      </c>
      <c r="Q107" s="188">
        <f t="shared" si="316"/>
        <v>0</v>
      </c>
      <c r="R107" s="188">
        <f t="shared" si="317"/>
        <v>125</v>
      </c>
      <c r="S107" s="188">
        <v>0.0</v>
      </c>
      <c r="T107" s="186"/>
      <c r="U107" s="154"/>
      <c r="V107" s="186"/>
      <c r="W107" s="186"/>
      <c r="X107" s="154"/>
      <c r="Y107" s="186"/>
      <c r="Z107" s="186"/>
      <c r="AA107" s="154"/>
      <c r="AB107" s="154">
        <f t="shared" si="318"/>
        <v>0</v>
      </c>
      <c r="AC107" s="154"/>
      <c r="AD107" s="154"/>
      <c r="AE107" s="154"/>
      <c r="AF107" s="154"/>
      <c r="AG107" s="154"/>
      <c r="AH107" s="154"/>
      <c r="AI107" s="154"/>
      <c r="AJ107" s="154"/>
      <c r="AK107" s="154"/>
      <c r="AL107" s="154">
        <f t="shared" si="319"/>
        <v>0</v>
      </c>
      <c r="AM107" s="154"/>
      <c r="AN107" s="190"/>
      <c r="AO107" s="190"/>
      <c r="AP107" s="154"/>
      <c r="AQ107" s="154"/>
      <c r="AR107" s="154">
        <f t="shared" si="320"/>
        <v>0</v>
      </c>
      <c r="AS107" s="154"/>
      <c r="AT107" s="154"/>
      <c r="AU107" s="154"/>
      <c r="AV107" s="154">
        <f t="shared" si="321"/>
        <v>0</v>
      </c>
      <c r="AW107" s="154">
        <f t="shared" si="322"/>
        <v>0</v>
      </c>
      <c r="AX107" s="154">
        <f t="shared" si="17"/>
        <v>125</v>
      </c>
      <c r="AY107" s="4"/>
      <c r="AZ107" s="4"/>
      <c r="BA107" s="4"/>
      <c r="BB107" s="4"/>
      <c r="BC107" s="4"/>
      <c r="BD107" s="4"/>
      <c r="BE107" s="4"/>
      <c r="BF107" s="4"/>
    </row>
    <row r="108" ht="15.75" customHeight="1">
      <c r="A108" s="167" t="s">
        <v>180</v>
      </c>
      <c r="B108" s="188">
        <v>0.0</v>
      </c>
      <c r="C108" s="188">
        <v>0.0</v>
      </c>
      <c r="D108" s="188">
        <v>0.0</v>
      </c>
      <c r="E108" s="188">
        <f t="shared" si="313"/>
        <v>0</v>
      </c>
      <c r="F108" s="188">
        <v>0.0</v>
      </c>
      <c r="G108" s="188">
        <v>0.0</v>
      </c>
      <c r="H108" s="188">
        <v>0.0</v>
      </c>
      <c r="I108" s="188">
        <f t="shared" si="314"/>
        <v>0</v>
      </c>
      <c r="J108" s="186"/>
      <c r="K108" s="186"/>
      <c r="L108" s="186"/>
      <c r="M108" s="188">
        <f t="shared" si="315"/>
        <v>0</v>
      </c>
      <c r="N108" s="186"/>
      <c r="O108" s="186"/>
      <c r="P108" s="186"/>
      <c r="Q108" s="188">
        <f t="shared" si="316"/>
        <v>0</v>
      </c>
      <c r="R108" s="188">
        <f t="shared" si="317"/>
        <v>0</v>
      </c>
      <c r="S108" s="186"/>
      <c r="T108" s="186"/>
      <c r="U108" s="154"/>
      <c r="V108" s="186"/>
      <c r="W108" s="186"/>
      <c r="X108" s="154"/>
      <c r="Y108" s="186"/>
      <c r="Z108" s="186"/>
      <c r="AA108" s="154"/>
      <c r="AB108" s="154">
        <f t="shared" si="318"/>
        <v>0</v>
      </c>
      <c r="AC108" s="154"/>
      <c r="AD108" s="154"/>
      <c r="AE108" s="154"/>
      <c r="AF108" s="154"/>
      <c r="AG108" s="154"/>
      <c r="AH108" s="154"/>
      <c r="AI108" s="154"/>
      <c r="AJ108" s="154"/>
      <c r="AK108" s="154"/>
      <c r="AL108" s="154">
        <f t="shared" si="319"/>
        <v>0</v>
      </c>
      <c r="AM108" s="154"/>
      <c r="AN108" s="190"/>
      <c r="AO108" s="190"/>
      <c r="AP108" s="154"/>
      <c r="AQ108" s="154"/>
      <c r="AR108" s="154">
        <f t="shared" si="320"/>
        <v>0</v>
      </c>
      <c r="AS108" s="154"/>
      <c r="AT108" s="154"/>
      <c r="AU108" s="154"/>
      <c r="AV108" s="154">
        <f t="shared" si="321"/>
        <v>0</v>
      </c>
      <c r="AW108" s="154">
        <f t="shared" si="322"/>
        <v>0</v>
      </c>
      <c r="AX108" s="154">
        <f t="shared" si="17"/>
        <v>0</v>
      </c>
      <c r="AY108" s="4"/>
      <c r="AZ108" s="4"/>
      <c r="BA108" s="4"/>
      <c r="BB108" s="4"/>
      <c r="BC108" s="4"/>
      <c r="BD108" s="4"/>
      <c r="BE108" s="4"/>
      <c r="BF108" s="4"/>
    </row>
    <row r="109" ht="15.75" customHeight="1">
      <c r="A109" s="167" t="s">
        <v>181</v>
      </c>
      <c r="B109" s="188">
        <v>0.0</v>
      </c>
      <c r="C109" s="188">
        <v>0.0</v>
      </c>
      <c r="D109" s="188">
        <v>0.0</v>
      </c>
      <c r="E109" s="188">
        <f t="shared" si="313"/>
        <v>0</v>
      </c>
      <c r="F109" s="188">
        <v>0.0</v>
      </c>
      <c r="G109" s="188">
        <v>0.0</v>
      </c>
      <c r="H109" s="186"/>
      <c r="I109" s="188">
        <f t="shared" si="314"/>
        <v>0</v>
      </c>
      <c r="J109" s="186"/>
      <c r="K109" s="186"/>
      <c r="L109" s="186"/>
      <c r="M109" s="188">
        <f t="shared" si="315"/>
        <v>0</v>
      </c>
      <c r="N109" s="186"/>
      <c r="O109" s="186"/>
      <c r="P109" s="186"/>
      <c r="Q109" s="188">
        <f t="shared" si="316"/>
        <v>0</v>
      </c>
      <c r="R109" s="188">
        <f t="shared" si="317"/>
        <v>0</v>
      </c>
      <c r="S109" s="186"/>
      <c r="T109" s="186"/>
      <c r="U109" s="154"/>
      <c r="V109" s="186"/>
      <c r="W109" s="186"/>
      <c r="X109" s="154"/>
      <c r="Y109" s="186"/>
      <c r="Z109" s="186"/>
      <c r="AA109" s="154"/>
      <c r="AB109" s="154">
        <f t="shared" si="318"/>
        <v>0</v>
      </c>
      <c r="AC109" s="125"/>
      <c r="AD109" s="125"/>
      <c r="AE109" s="154"/>
      <c r="AF109" s="125"/>
      <c r="AG109" s="125"/>
      <c r="AH109" s="154"/>
      <c r="AI109" s="125"/>
      <c r="AJ109" s="125"/>
      <c r="AK109" s="154"/>
      <c r="AL109" s="154">
        <f t="shared" si="319"/>
        <v>0</v>
      </c>
      <c r="AM109" s="125"/>
      <c r="AN109" s="190"/>
      <c r="AO109" s="190"/>
      <c r="AP109" s="125"/>
      <c r="AQ109" s="125"/>
      <c r="AR109" s="154">
        <f t="shared" si="320"/>
        <v>0</v>
      </c>
      <c r="AS109" s="125"/>
      <c r="AT109" s="125"/>
      <c r="AU109" s="125"/>
      <c r="AV109" s="154">
        <f t="shared" si="321"/>
        <v>0</v>
      </c>
      <c r="AW109" s="154">
        <f t="shared" si="322"/>
        <v>0</v>
      </c>
      <c r="AX109" s="154">
        <f t="shared" si="17"/>
        <v>0</v>
      </c>
      <c r="AY109" s="4"/>
      <c r="AZ109" s="4"/>
      <c r="BA109" s="4"/>
      <c r="BB109" s="4"/>
      <c r="BC109" s="4"/>
      <c r="BD109" s="4"/>
      <c r="BE109" s="4"/>
      <c r="BF109" s="4"/>
    </row>
    <row r="110" ht="15.75" customHeight="1">
      <c r="A110" s="167" t="s">
        <v>182</v>
      </c>
      <c r="B110" s="188">
        <v>0.0</v>
      </c>
      <c r="C110" s="188">
        <v>0.0</v>
      </c>
      <c r="D110" s="188">
        <v>0.0</v>
      </c>
      <c r="E110" s="188">
        <f t="shared" si="313"/>
        <v>0</v>
      </c>
      <c r="F110" s="188">
        <v>0.0</v>
      </c>
      <c r="G110" s="188">
        <v>0.0</v>
      </c>
      <c r="H110" s="188">
        <v>0.0</v>
      </c>
      <c r="I110" s="188">
        <f t="shared" si="314"/>
        <v>0</v>
      </c>
      <c r="J110" s="188">
        <v>2.0</v>
      </c>
      <c r="K110" s="188">
        <v>23.0</v>
      </c>
      <c r="L110" s="188">
        <v>0.0</v>
      </c>
      <c r="M110" s="188">
        <f t="shared" si="315"/>
        <v>25</v>
      </c>
      <c r="N110" s="188">
        <v>0.0</v>
      </c>
      <c r="O110" s="188">
        <v>0.0</v>
      </c>
      <c r="P110" s="188">
        <v>0.0</v>
      </c>
      <c r="Q110" s="188">
        <f t="shared" si="316"/>
        <v>0</v>
      </c>
      <c r="R110" s="188">
        <f t="shared" si="317"/>
        <v>25</v>
      </c>
      <c r="S110" s="188">
        <v>0.0</v>
      </c>
      <c r="T110" s="186"/>
      <c r="U110" s="154"/>
      <c r="V110" s="186"/>
      <c r="W110" s="186"/>
      <c r="X110" s="154"/>
      <c r="Y110" s="186"/>
      <c r="Z110" s="186"/>
      <c r="AA110" s="154"/>
      <c r="AB110" s="154">
        <f t="shared" si="318"/>
        <v>0</v>
      </c>
      <c r="AC110" s="125"/>
      <c r="AD110" s="125"/>
      <c r="AE110" s="154"/>
      <c r="AF110" s="125"/>
      <c r="AG110" s="125"/>
      <c r="AH110" s="154"/>
      <c r="AI110" s="125"/>
      <c r="AJ110" s="125"/>
      <c r="AK110" s="154"/>
      <c r="AL110" s="154">
        <f t="shared" si="319"/>
        <v>0</v>
      </c>
      <c r="AM110" s="125"/>
      <c r="AN110" s="190"/>
      <c r="AO110" s="190"/>
      <c r="AP110" s="125"/>
      <c r="AQ110" s="125"/>
      <c r="AR110" s="154">
        <f t="shared" si="320"/>
        <v>0</v>
      </c>
      <c r="AS110" s="125"/>
      <c r="AT110" s="125"/>
      <c r="AU110" s="125"/>
      <c r="AV110" s="154">
        <f t="shared" si="321"/>
        <v>0</v>
      </c>
      <c r="AW110" s="154">
        <f t="shared" si="322"/>
        <v>0</v>
      </c>
      <c r="AX110" s="154">
        <f t="shared" si="17"/>
        <v>25</v>
      </c>
      <c r="AY110" s="4"/>
      <c r="AZ110" s="4"/>
      <c r="BA110" s="4"/>
      <c r="BB110" s="4"/>
      <c r="BC110" s="4"/>
      <c r="BD110" s="4"/>
      <c r="BE110" s="4"/>
      <c r="BF110" s="4"/>
    </row>
    <row r="111" ht="15.75" customHeight="1">
      <c r="A111" s="167" t="s">
        <v>183</v>
      </c>
      <c r="B111" s="188">
        <v>0.0</v>
      </c>
      <c r="C111" s="188">
        <v>0.0</v>
      </c>
      <c r="D111" s="188">
        <v>0.0</v>
      </c>
      <c r="E111" s="188">
        <f t="shared" si="313"/>
        <v>0</v>
      </c>
      <c r="F111" s="188">
        <v>0.0</v>
      </c>
      <c r="G111" s="188">
        <v>0.0</v>
      </c>
      <c r="H111" s="188">
        <v>0.0</v>
      </c>
      <c r="I111" s="188">
        <f t="shared" si="314"/>
        <v>0</v>
      </c>
      <c r="J111" s="188">
        <v>47.0</v>
      </c>
      <c r="K111" s="186"/>
      <c r="L111" s="188">
        <v>0.0</v>
      </c>
      <c r="M111" s="188">
        <f t="shared" si="315"/>
        <v>47</v>
      </c>
      <c r="N111" s="188">
        <v>0.0</v>
      </c>
      <c r="O111" s="188">
        <v>0.0</v>
      </c>
      <c r="P111" s="188">
        <v>0.0</v>
      </c>
      <c r="Q111" s="188">
        <f t="shared" si="316"/>
        <v>0</v>
      </c>
      <c r="R111" s="188">
        <f t="shared" si="317"/>
        <v>47</v>
      </c>
      <c r="S111" s="188">
        <v>12.0</v>
      </c>
      <c r="T111" s="188"/>
      <c r="U111" s="154"/>
      <c r="V111" s="188">
        <v>31.0</v>
      </c>
      <c r="W111" s="188"/>
      <c r="X111" s="154"/>
      <c r="Y111" s="188">
        <v>8.0</v>
      </c>
      <c r="Z111" s="188">
        <v>8.0</v>
      </c>
      <c r="AA111" s="154"/>
      <c r="AB111" s="154">
        <f t="shared" si="318"/>
        <v>51</v>
      </c>
      <c r="AC111" s="125"/>
      <c r="AD111" s="125"/>
      <c r="AE111" s="154"/>
      <c r="AF111" s="125"/>
      <c r="AG111" s="125"/>
      <c r="AH111" s="154"/>
      <c r="AI111" s="125"/>
      <c r="AJ111" s="125"/>
      <c r="AK111" s="154"/>
      <c r="AL111" s="154">
        <f t="shared" si="319"/>
        <v>0</v>
      </c>
      <c r="AM111" s="125"/>
      <c r="AN111" s="190"/>
      <c r="AO111" s="190"/>
      <c r="AP111" s="125"/>
      <c r="AQ111" s="125"/>
      <c r="AR111" s="154">
        <f t="shared" si="320"/>
        <v>0</v>
      </c>
      <c r="AS111" s="125"/>
      <c r="AT111" s="125"/>
      <c r="AU111" s="125"/>
      <c r="AV111" s="154">
        <f t="shared" si="321"/>
        <v>0</v>
      </c>
      <c r="AW111" s="154">
        <f t="shared" si="322"/>
        <v>51</v>
      </c>
      <c r="AX111" s="154">
        <f t="shared" si="17"/>
        <v>98</v>
      </c>
      <c r="AY111" s="4"/>
      <c r="AZ111" s="4"/>
      <c r="BA111" s="4"/>
      <c r="BB111" s="4"/>
      <c r="BC111" s="4"/>
      <c r="BD111" s="4"/>
      <c r="BE111" s="4"/>
      <c r="BF111" s="4"/>
    </row>
    <row r="112" ht="15.75" customHeight="1">
      <c r="A112" s="195" t="s">
        <v>184</v>
      </c>
      <c r="B112" s="196"/>
      <c r="C112" s="196"/>
      <c r="D112" s="196"/>
      <c r="E112" s="195">
        <f t="shared" si="313"/>
        <v>0</v>
      </c>
      <c r="F112" s="196"/>
      <c r="G112" s="196"/>
      <c r="H112" s="196"/>
      <c r="I112" s="195">
        <f t="shared" si="314"/>
        <v>0</v>
      </c>
      <c r="J112" s="196"/>
      <c r="K112" s="196"/>
      <c r="L112" s="196"/>
      <c r="M112" s="195">
        <f t="shared" si="315"/>
        <v>0</v>
      </c>
      <c r="N112" s="196"/>
      <c r="O112" s="196"/>
      <c r="P112" s="196"/>
      <c r="Q112" s="195">
        <f t="shared" si="316"/>
        <v>0</v>
      </c>
      <c r="R112" s="195">
        <f>SUM(Q112,M112,I112,E112)</f>
        <v>0</v>
      </c>
      <c r="S112" s="196"/>
      <c r="T112" s="196"/>
      <c r="U112" s="196"/>
      <c r="V112" s="196"/>
      <c r="W112" s="196"/>
      <c r="X112" s="196"/>
      <c r="Y112" s="196"/>
      <c r="Z112" s="196"/>
      <c r="AA112" s="196"/>
      <c r="AB112" s="195">
        <f t="shared" si="318"/>
        <v>0</v>
      </c>
      <c r="AC112" s="196"/>
      <c r="AD112" s="196"/>
      <c r="AE112" s="196"/>
      <c r="AF112" s="196"/>
      <c r="AG112" s="196"/>
      <c r="AH112" s="196"/>
      <c r="AI112" s="196"/>
      <c r="AJ112" s="196"/>
      <c r="AK112" s="196"/>
      <c r="AL112" s="195">
        <f t="shared" si="319"/>
        <v>0</v>
      </c>
      <c r="AM112" s="196"/>
      <c r="AN112" s="214"/>
      <c r="AO112" s="214"/>
      <c r="AP112" s="196"/>
      <c r="AQ112" s="196"/>
      <c r="AR112" s="195">
        <f t="shared" si="320"/>
        <v>0</v>
      </c>
      <c r="AS112" s="196"/>
      <c r="AT112" s="196"/>
      <c r="AU112" s="196"/>
      <c r="AV112" s="195">
        <f t="shared" si="321"/>
        <v>0</v>
      </c>
      <c r="AW112" s="196">
        <f t="shared" si="322"/>
        <v>0</v>
      </c>
      <c r="AX112" s="196">
        <f t="shared" si="17"/>
        <v>0</v>
      </c>
      <c r="AY112" s="4"/>
      <c r="AZ112" s="4"/>
      <c r="BA112" s="4"/>
      <c r="BB112" s="4"/>
      <c r="BC112" s="4"/>
      <c r="BD112" s="4"/>
      <c r="BE112" s="4"/>
      <c r="BF112" s="4"/>
    </row>
    <row r="113" ht="15.75" customHeight="1">
      <c r="A113" s="215"/>
      <c r="B113" s="216"/>
      <c r="C113" s="216"/>
      <c r="D113" s="216"/>
      <c r="E113" s="216"/>
      <c r="F113" s="216"/>
      <c r="G113" s="216"/>
      <c r="H113" s="216"/>
      <c r="I113" s="216"/>
      <c r="J113" s="216"/>
      <c r="K113" s="216"/>
      <c r="L113" s="216"/>
      <c r="M113" s="216"/>
      <c r="N113" s="216"/>
      <c r="O113" s="216"/>
      <c r="P113" s="216"/>
      <c r="Q113" s="216"/>
      <c r="R113" s="216"/>
      <c r="S113" s="198"/>
      <c r="T113" s="198"/>
      <c r="U113" s="199"/>
      <c r="V113" s="198"/>
      <c r="W113" s="198"/>
      <c r="X113" s="199"/>
      <c r="Y113" s="198"/>
      <c r="Z113" s="198"/>
      <c r="AA113" s="199"/>
      <c r="AB113" s="201"/>
      <c r="AC113" s="198"/>
      <c r="AD113" s="198"/>
      <c r="AE113" s="199"/>
      <c r="AF113" s="198"/>
      <c r="AG113" s="198"/>
      <c r="AH113" s="199"/>
      <c r="AI113" s="198"/>
      <c r="AJ113" s="198"/>
      <c r="AK113" s="199"/>
      <c r="AL113" s="201"/>
      <c r="AM113" s="198"/>
      <c r="AN113" s="217"/>
      <c r="AO113" s="217"/>
      <c r="AP113" s="198"/>
      <c r="AQ113" s="198"/>
      <c r="AR113" s="201"/>
      <c r="AS113" s="198"/>
      <c r="AT113" s="198"/>
      <c r="AU113" s="198"/>
      <c r="AV113" s="201"/>
      <c r="AW113" s="198"/>
      <c r="AX113" s="216"/>
      <c r="AY113" s="218"/>
      <c r="AZ113" s="219"/>
      <c r="BA113" s="219"/>
      <c r="BB113" s="219"/>
      <c r="BC113" s="219"/>
      <c r="BD113" s="219"/>
      <c r="BE113" s="219"/>
      <c r="BF113" s="219"/>
    </row>
    <row r="114" ht="15.75" customHeight="1">
      <c r="A114" s="130" t="s">
        <v>46</v>
      </c>
      <c r="B114" s="145">
        <f t="shared" ref="B114:T114" si="323">B9</f>
        <v>3420</v>
      </c>
      <c r="C114" s="145">
        <f t="shared" si="323"/>
        <v>9602</v>
      </c>
      <c r="D114" s="145">
        <f t="shared" si="323"/>
        <v>1450</v>
      </c>
      <c r="E114" s="147">
        <f t="shared" si="323"/>
        <v>14472</v>
      </c>
      <c r="F114" s="145">
        <f t="shared" si="323"/>
        <v>2446</v>
      </c>
      <c r="G114" s="145">
        <f t="shared" si="323"/>
        <v>1449</v>
      </c>
      <c r="H114" s="145">
        <f t="shared" si="323"/>
        <v>1767</v>
      </c>
      <c r="I114" s="147">
        <f t="shared" si="323"/>
        <v>5662</v>
      </c>
      <c r="J114" s="145">
        <f t="shared" si="323"/>
        <v>1807</v>
      </c>
      <c r="K114" s="145">
        <f t="shared" si="323"/>
        <v>1075</v>
      </c>
      <c r="L114" s="145">
        <f t="shared" si="323"/>
        <v>1283</v>
      </c>
      <c r="M114" s="147">
        <f t="shared" si="323"/>
        <v>4165</v>
      </c>
      <c r="N114" s="145">
        <f t="shared" si="323"/>
        <v>1256</v>
      </c>
      <c r="O114" s="145">
        <f t="shared" si="323"/>
        <v>1506</v>
      </c>
      <c r="P114" s="145">
        <f t="shared" si="323"/>
        <v>1252</v>
      </c>
      <c r="Q114" s="147">
        <f t="shared" si="323"/>
        <v>4014</v>
      </c>
      <c r="R114" s="147">
        <f t="shared" si="323"/>
        <v>28313</v>
      </c>
      <c r="S114" s="182">
        <f t="shared" si="323"/>
        <v>5772</v>
      </c>
      <c r="T114" s="182">
        <f t="shared" si="323"/>
        <v>5788</v>
      </c>
      <c r="U114" s="151">
        <f>SUM(U11,U18,U23,U29,U37,U43,U49,U56,U63,U68,U75,U81,U87,U93,U99,U105,U112)</f>
        <v>28</v>
      </c>
      <c r="V114" s="182">
        <f t="shared" ref="V114:W114" si="324">V9</f>
        <v>7442</v>
      </c>
      <c r="W114" s="182">
        <f t="shared" si="324"/>
        <v>9005</v>
      </c>
      <c r="X114" s="151">
        <f>SUM(X11,X18,X23,X29,X37,X43,X49,X56,X63,X68,X75,X81,X87,X93,X99,X105,X112)</f>
        <v>1594</v>
      </c>
      <c r="Y114" s="182">
        <f t="shared" ref="Y114:Z114" si="325">Y9</f>
        <v>15618</v>
      </c>
      <c r="Z114" s="182">
        <f t="shared" si="325"/>
        <v>17961</v>
      </c>
      <c r="AA114" s="151">
        <f>SUM(AA11,AA18,AA23,AA29,AA37,AA43,AA49,AA56,AA63,AA68,AA75,AA81,AA87,AA93,AA99,AA105,AA112)</f>
        <v>2343</v>
      </c>
      <c r="AB114" s="183">
        <f t="shared" ref="AB114:AC114" si="326">AB9</f>
        <v>45247</v>
      </c>
      <c r="AC114" s="182">
        <f t="shared" si="326"/>
        <v>19595</v>
      </c>
      <c r="AD114" s="182"/>
      <c r="AE114" s="151">
        <f>SUM(AE11,AE18,AE23,AE29,AE37,AE43,AE49,AE56,AE63,AE68,AE75,AE81,AE87,AE93,AE99,AE105,AE112)</f>
        <v>0</v>
      </c>
      <c r="AF114" s="182">
        <f>AF9</f>
        <v>6171</v>
      </c>
      <c r="AG114" s="182"/>
      <c r="AH114" s="151">
        <f>SUM(AH11,AH18,AH23,AH29,AH37,AH43,AH49,AH56,AH63,AH68,AH75,AH81,AH87,AH93,AH99,AH105,AH112)</f>
        <v>5185</v>
      </c>
      <c r="AI114" s="182">
        <f>AI9</f>
        <v>14094</v>
      </c>
      <c r="AJ114" s="182"/>
      <c r="AK114" s="151">
        <f>SUM(AK11,AK18,AK23,AK29,AK37,AK43,AK49,AK56,AK63,AK68,AK75,AK81,AK87,AK93,AK99,AK105,AK112)</f>
        <v>2298</v>
      </c>
      <c r="AL114" s="183">
        <f t="shared" ref="AL114:AM114" si="327">AL9</f>
        <v>75996</v>
      </c>
      <c r="AM114" s="182">
        <f t="shared" si="327"/>
        <v>12149</v>
      </c>
      <c r="AN114" s="220">
        <f t="shared" ref="AN114:AO114" si="328">SUM(AN105,AN99,AN93,AN87,AN81,AN75,AN68,AN63,AN56,AN49,AN43,AN37,AN29,AN23,AN18,AN11)</f>
        <v>11448</v>
      </c>
      <c r="AO114" s="220">
        <f t="shared" si="328"/>
        <v>23597</v>
      </c>
      <c r="AP114" s="182">
        <f t="shared" ref="AP114:AX114" si="329">AP9</f>
        <v>0</v>
      </c>
      <c r="AQ114" s="182">
        <f t="shared" si="329"/>
        <v>0</v>
      </c>
      <c r="AR114" s="183">
        <f t="shared" si="329"/>
        <v>47194</v>
      </c>
      <c r="AS114" s="182">
        <f t="shared" si="329"/>
        <v>0</v>
      </c>
      <c r="AT114" s="182">
        <f t="shared" si="329"/>
        <v>0</v>
      </c>
      <c r="AU114" s="182">
        <f t="shared" si="329"/>
        <v>0</v>
      </c>
      <c r="AV114" s="183">
        <f t="shared" si="329"/>
        <v>0</v>
      </c>
      <c r="AW114" s="183">
        <f t="shared" si="329"/>
        <v>168437</v>
      </c>
      <c r="AX114" s="160">
        <f t="shared" si="329"/>
        <v>196750</v>
      </c>
      <c r="AY114" s="20"/>
      <c r="AZ114" s="4"/>
      <c r="BA114" s="4"/>
      <c r="BB114" s="4"/>
      <c r="BC114" s="4"/>
      <c r="BD114" s="4"/>
      <c r="BE114" s="4"/>
      <c r="BF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6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6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6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FAD3FC5-7D50-478A-A1C9-F01A1867A3B2}" filter="1" showAutoFilter="1">
      <autoFilter ref="$A$11:$A$112">
        <filterColumn colId="0">
          <filters>
            <filter val="Cavite"/>
            <filter val="Laguna"/>
            <filter val="Zambales (w/ HUC)"/>
            <filter val="Eastern Samar"/>
            <filter val="Tarlac"/>
            <filter val="Camarines Sur"/>
            <filter val="Romblon"/>
            <filter val="Iloilo (w/ HUC)"/>
            <filter val="Camiguin"/>
            <filter val="Aurora"/>
            <filter val="Sorsogon"/>
            <filter val="Davao De Oro"/>
            <filter val="Bataan"/>
            <filter val="Negros Oriental"/>
            <filter val="REGION 10 (NORTHERN MINDANAO)"/>
            <filter val="Pangasinan"/>
            <filter val="Quirino"/>
            <filter val="Albay"/>
            <filter val="Cagayan"/>
            <filter val="Abra"/>
            <filter val="REGION 7 (CENTRAL VISAYAS)"/>
            <filter val="Zamboanga Sibugay"/>
            <filter val="Benguet (w/ HUC)"/>
            <filter val="Siquijor"/>
            <filter val="NCR"/>
            <filter val="Davao del Norte"/>
            <filter val="Antique"/>
            <filter val="Ilocos Sur"/>
            <filter val="REGION 13 (CARAGA)"/>
            <filter val="Sarangani"/>
            <filter val="Quezon (w/ HUC)"/>
            <filter val="REGION 3 (CENTRAL LUZON)"/>
            <filter val="REGION 1 (ILOCOS)"/>
            <filter val="REGION 4-A (CALABARZON)"/>
            <filter val="Nueva Ecija"/>
            <filter val="Dinagat Islands"/>
            <filter val="Ilocos Norte"/>
            <filter val="Batanes"/>
            <filter val="Kalinga"/>
            <filter val="Southern Leyte"/>
            <filter val="Bohol"/>
            <filter val="Batangas"/>
            <filter val="REGION 11 (DAVAO)"/>
            <filter val="South Cotabato (w/ HUC)"/>
            <filter val="Apayao"/>
            <filter val="Nueva Vizcaya"/>
            <filter val="Camarines Norte"/>
            <filter val="Maguindanao"/>
            <filter val="Misamis Oriental (w/ HUC)"/>
            <filter val="Lanao del Sur"/>
            <filter val="Bulacan"/>
            <filter val="REGION 8 (EASTERN VISAYAS)"/>
            <filter val="North Cotabato (BARMM Interim Prov)"/>
            <filter val="Occidental Mindoro"/>
            <filter val="Zamboanga del Sur (w/ HUC)"/>
            <filter val="Tawi-Tawi"/>
            <filter val="Ifugao"/>
            <filter val="REGION 9 (ZAMBOANGA PENINSULA)"/>
            <filter val="Davao Oriental"/>
            <filter val="Isabela"/>
            <filter val="Bukidnon"/>
            <filter val="Marinduque"/>
            <filter val="Agusan del Sur"/>
            <filter val="Sulu"/>
            <filter val="Oriental Mindoro"/>
            <filter val="Zamboanga City"/>
            <filter val="REGION 4-B (MIMAROPA)"/>
            <filter val="Leyte (w/ HUC)"/>
            <filter val="Davao del Sur (w/ HUC)"/>
            <filter val="Capiz"/>
            <filter val="Pampanga (w/ HUC)"/>
            <filter val="City of Isabela"/>
            <filter val="Aklan"/>
            <filter val="REGION 12 (SOCCSKSARGEN)"/>
            <filter val="Agusan del Norte (w/ HUC)"/>
            <filter val="REGION 2 (CAGAYAN VALLEY)"/>
            <filter val="Davao Occidental"/>
            <filter val="Biliran"/>
            <filter val="Guimaras"/>
            <filter val="Sultan Kudarat"/>
            <filter val="REGION 5 (BICOL)"/>
            <filter val="Rizal"/>
            <filter val="Cebu (w/ 3 HUC)"/>
            <filter val="Surigao del Sur"/>
            <filter val="REGION 6 (WESTERN VISAYAS)"/>
            <filter val="Negros Occidental (w/ HUC)"/>
            <filter val="Mountain Province"/>
            <filter val="Palawan (w/ HUC)"/>
            <filter val="Basilan"/>
            <filter val="Masbate"/>
            <filter val="Zamboanga del Norte"/>
            <filter val="Misamis Occidental"/>
            <filter val="Lanao del Norte (w/ HUC)"/>
            <filter val="Northern Samar"/>
            <filter val="Cotabato City"/>
            <filter val="North Cotabato"/>
            <filter val="Western Samar (Samar)"/>
            <filter val="La Union"/>
            <filter val="Catanduanes"/>
            <filter val="Surigao del Norte"/>
          </filters>
        </filterColumn>
      </autoFilter>
    </customSheetView>
  </customSheetViews>
  <mergeCells count="7">
    <mergeCell ref="A6:A8"/>
    <mergeCell ref="B6:AX6"/>
    <mergeCell ref="B7:Q7"/>
    <mergeCell ref="R7:R8"/>
    <mergeCell ref="S7:AV7"/>
    <mergeCell ref="AW7:AW8"/>
    <mergeCell ref="AX7:AX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1" width="52.63"/>
    <col customWidth="1" hidden="1" min="2" max="18" width="12.63"/>
    <col customWidth="1" min="45" max="45" width="14.0"/>
    <col customWidth="1" min="47" max="47" width="20.38"/>
  </cols>
  <sheetData>
    <row r="1" ht="15.75" customHeight="1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ht="15.75" customHeight="1">
      <c r="A2" s="1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ht="15.75" customHeight="1">
      <c r="A3" s="40" t="s">
        <v>156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ht="15.75" customHeight="1">
      <c r="A4" s="45" t="s">
        <v>18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ht="15.75" customHeight="1">
      <c r="A6" s="69" t="s">
        <v>25</v>
      </c>
      <c r="B6" s="71" t="s">
        <v>157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7"/>
      <c r="AT6" s="4"/>
      <c r="AU6" s="4"/>
      <c r="AV6" s="4"/>
      <c r="AW6" s="4"/>
      <c r="AX6" s="4"/>
      <c r="AY6" s="4"/>
      <c r="AZ6" s="4"/>
      <c r="BA6" s="4"/>
    </row>
    <row r="7" ht="15.75" customHeight="1">
      <c r="A7" s="81"/>
      <c r="B7" s="96">
        <v>2024.0</v>
      </c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7"/>
      <c r="R7" s="97">
        <v>2024.0</v>
      </c>
      <c r="S7" s="98">
        <v>2025.0</v>
      </c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7"/>
      <c r="AR7" s="99">
        <v>2025.0</v>
      </c>
      <c r="AS7" s="102" t="s">
        <v>46</v>
      </c>
      <c r="AT7" s="4"/>
      <c r="AU7" s="4"/>
      <c r="AV7" s="4"/>
      <c r="AW7" s="4"/>
      <c r="AX7" s="4"/>
      <c r="AY7" s="4"/>
      <c r="AZ7" s="4"/>
      <c r="BA7" s="4"/>
    </row>
    <row r="8" ht="87.0" customHeight="1">
      <c r="A8" s="104"/>
      <c r="B8" s="118" t="s">
        <v>60</v>
      </c>
      <c r="C8" s="118" t="s">
        <v>61</v>
      </c>
      <c r="D8" s="118" t="s">
        <v>62</v>
      </c>
      <c r="E8" s="119" t="s">
        <v>34</v>
      </c>
      <c r="F8" s="118" t="s">
        <v>63</v>
      </c>
      <c r="G8" s="118" t="s">
        <v>64</v>
      </c>
      <c r="H8" s="118" t="s">
        <v>65</v>
      </c>
      <c r="I8" s="119" t="s">
        <v>40</v>
      </c>
      <c r="J8" s="118" t="s">
        <v>66</v>
      </c>
      <c r="K8" s="118" t="s">
        <v>54</v>
      </c>
      <c r="L8" s="118" t="s">
        <v>56</v>
      </c>
      <c r="M8" s="119" t="s">
        <v>44</v>
      </c>
      <c r="N8" s="118" t="s">
        <v>57</v>
      </c>
      <c r="O8" s="118" t="s">
        <v>58</v>
      </c>
      <c r="P8" s="118" t="s">
        <v>59</v>
      </c>
      <c r="Q8" s="119" t="s">
        <v>45</v>
      </c>
      <c r="R8" s="106"/>
      <c r="S8" s="120" t="s">
        <v>60</v>
      </c>
      <c r="T8" s="120" t="s">
        <v>61</v>
      </c>
      <c r="U8" s="120" t="s">
        <v>62</v>
      </c>
      <c r="V8" s="124" t="s">
        <v>34</v>
      </c>
      <c r="W8" s="120" t="s">
        <v>60</v>
      </c>
      <c r="X8" s="120" t="s">
        <v>61</v>
      </c>
      <c r="Y8" s="120" t="s">
        <v>62</v>
      </c>
      <c r="Z8" s="120" t="s">
        <v>63</v>
      </c>
      <c r="AA8" s="120" t="s">
        <v>64</v>
      </c>
      <c r="AB8" s="120" t="s">
        <v>65</v>
      </c>
      <c r="AC8" s="120"/>
      <c r="AD8" s="120"/>
      <c r="AE8" s="120"/>
      <c r="AF8" s="120" t="s">
        <v>63</v>
      </c>
      <c r="AG8" s="120" t="s">
        <v>64</v>
      </c>
      <c r="AH8" s="120" t="s">
        <v>65</v>
      </c>
      <c r="AI8" s="124" t="s">
        <v>40</v>
      </c>
      <c r="AJ8" s="120" t="s">
        <v>66</v>
      </c>
      <c r="AK8" s="120" t="s">
        <v>54</v>
      </c>
      <c r="AL8" s="120" t="s">
        <v>56</v>
      </c>
      <c r="AM8" s="124" t="s">
        <v>44</v>
      </c>
      <c r="AN8" s="120" t="s">
        <v>57</v>
      </c>
      <c r="AO8" s="120" t="s">
        <v>58</v>
      </c>
      <c r="AP8" s="120" t="s">
        <v>59</v>
      </c>
      <c r="AQ8" s="124" t="s">
        <v>45</v>
      </c>
      <c r="AR8" s="106"/>
      <c r="AS8" s="104"/>
      <c r="AT8" s="4"/>
      <c r="AU8" s="4"/>
      <c r="AV8" s="4"/>
      <c r="AW8" s="4"/>
      <c r="AX8" s="4"/>
      <c r="AY8" s="4"/>
      <c r="AZ8" s="4"/>
      <c r="BA8" s="4"/>
    </row>
    <row r="9" ht="15.75" customHeight="1">
      <c r="A9" s="130" t="s">
        <v>46</v>
      </c>
      <c r="B9" s="180">
        <f t="shared" ref="B9:AB9" si="1">SUM(B11,B18,B23,B29,B37,B43,B49,B56,B63,B68,B75,B81,B87,B93,B99,B105,B112)</f>
        <v>3420</v>
      </c>
      <c r="C9" s="180">
        <f t="shared" si="1"/>
        <v>9602</v>
      </c>
      <c r="D9" s="180">
        <f t="shared" si="1"/>
        <v>1450</v>
      </c>
      <c r="E9" s="181">
        <f t="shared" si="1"/>
        <v>14472</v>
      </c>
      <c r="F9" s="180">
        <f t="shared" si="1"/>
        <v>2446</v>
      </c>
      <c r="G9" s="180">
        <f t="shared" si="1"/>
        <v>1449</v>
      </c>
      <c r="H9" s="180">
        <f t="shared" si="1"/>
        <v>1767</v>
      </c>
      <c r="I9" s="181">
        <f t="shared" si="1"/>
        <v>5662</v>
      </c>
      <c r="J9" s="180">
        <f t="shared" si="1"/>
        <v>1807</v>
      </c>
      <c r="K9" s="180">
        <f t="shared" si="1"/>
        <v>1075</v>
      </c>
      <c r="L9" s="180">
        <f t="shared" si="1"/>
        <v>1283</v>
      </c>
      <c r="M9" s="181">
        <f t="shared" si="1"/>
        <v>4165</v>
      </c>
      <c r="N9" s="180">
        <f t="shared" si="1"/>
        <v>1256</v>
      </c>
      <c r="O9" s="180">
        <f t="shared" si="1"/>
        <v>1506</v>
      </c>
      <c r="P9" s="180">
        <f t="shared" si="1"/>
        <v>1252</v>
      </c>
      <c r="Q9" s="181">
        <f t="shared" si="1"/>
        <v>4014</v>
      </c>
      <c r="R9" s="181">
        <f t="shared" si="1"/>
        <v>28313</v>
      </c>
      <c r="S9" s="182">
        <f t="shared" si="1"/>
        <v>5772</v>
      </c>
      <c r="T9" s="182">
        <f t="shared" si="1"/>
        <v>7442</v>
      </c>
      <c r="U9" s="182">
        <f t="shared" si="1"/>
        <v>15618</v>
      </c>
      <c r="V9" s="183">
        <f t="shared" si="1"/>
        <v>28832</v>
      </c>
      <c r="W9" s="182">
        <f t="shared" si="1"/>
        <v>6855</v>
      </c>
      <c r="X9" s="182">
        <f t="shared" si="1"/>
        <v>9614</v>
      </c>
      <c r="Y9" s="182">
        <f t="shared" si="1"/>
        <v>14536</v>
      </c>
      <c r="Z9" s="220">
        <f t="shared" si="1"/>
        <v>23080</v>
      </c>
      <c r="AA9" s="220">
        <f t="shared" si="1"/>
        <v>11488</v>
      </c>
      <c r="AB9" s="220">
        <f t="shared" si="1"/>
        <v>12982</v>
      </c>
      <c r="AC9" s="182"/>
      <c r="AD9" s="182"/>
      <c r="AE9" s="182"/>
      <c r="AF9" s="220">
        <f t="shared" ref="AF9:AS9" si="2">SUM(AF11,AF18,AF23,AF29,AF37,AF43,AF49,AF56,AF63,AF68,AF75,AF81,AF87,AF93,AF99,AF105,AF112)</f>
        <v>19595</v>
      </c>
      <c r="AG9" s="220">
        <f t="shared" si="2"/>
        <v>6171</v>
      </c>
      <c r="AH9" s="220">
        <f t="shared" si="2"/>
        <v>14094</v>
      </c>
      <c r="AI9" s="183">
        <f t="shared" si="2"/>
        <v>39860</v>
      </c>
      <c r="AJ9" s="182">
        <f t="shared" si="2"/>
        <v>2143.739731</v>
      </c>
      <c r="AK9" s="182">
        <f t="shared" si="2"/>
        <v>754</v>
      </c>
      <c r="AL9" s="182">
        <f t="shared" si="2"/>
        <v>0</v>
      </c>
      <c r="AM9" s="183">
        <f t="shared" si="2"/>
        <v>2897.739731</v>
      </c>
      <c r="AN9" s="182">
        <f t="shared" si="2"/>
        <v>0</v>
      </c>
      <c r="AO9" s="182">
        <f t="shared" si="2"/>
        <v>0</v>
      </c>
      <c r="AP9" s="182">
        <f t="shared" si="2"/>
        <v>0</v>
      </c>
      <c r="AQ9" s="183">
        <f t="shared" si="2"/>
        <v>0</v>
      </c>
      <c r="AR9" s="184">
        <f t="shared" si="2"/>
        <v>71589.73973</v>
      </c>
      <c r="AS9" s="185">
        <f t="shared" si="2"/>
        <v>99902.73973</v>
      </c>
      <c r="AT9" s="20"/>
      <c r="AU9" s="4"/>
      <c r="AV9" s="4"/>
      <c r="AW9" s="4"/>
      <c r="AX9" s="4"/>
      <c r="AY9" s="4"/>
      <c r="AZ9" s="4"/>
      <c r="BA9" s="4"/>
    </row>
    <row r="10" ht="15.75" customHeight="1">
      <c r="A10" s="125"/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86"/>
      <c r="T10" s="186"/>
      <c r="U10" s="186"/>
      <c r="V10" s="186"/>
      <c r="W10" s="186"/>
      <c r="X10" s="186"/>
      <c r="Y10" s="186"/>
      <c r="Z10" s="190"/>
      <c r="AA10" s="190"/>
      <c r="AB10" s="190"/>
      <c r="AC10" s="186"/>
      <c r="AD10" s="186"/>
      <c r="AE10" s="186"/>
      <c r="AF10" s="190"/>
      <c r="AG10" s="190"/>
      <c r="AH10" s="190"/>
      <c r="AI10" s="186">
        <f>SUM(AF10:AH10)</f>
        <v>0</v>
      </c>
      <c r="AJ10" s="186"/>
      <c r="AK10" s="186"/>
      <c r="AL10" s="186"/>
      <c r="AM10" s="186"/>
      <c r="AN10" s="186"/>
      <c r="AO10" s="186"/>
      <c r="AP10" s="186"/>
      <c r="AQ10" s="186"/>
      <c r="AR10" s="186"/>
      <c r="AS10" s="125"/>
      <c r="AT10" s="4"/>
      <c r="AU10" s="4"/>
      <c r="AV10" s="4"/>
      <c r="AW10" s="4"/>
      <c r="AX10" s="4"/>
      <c r="AY10" s="4"/>
      <c r="AZ10" s="4"/>
      <c r="BA10" s="4"/>
    </row>
    <row r="11" ht="15.75" customHeight="1">
      <c r="A11" s="137" t="s">
        <v>76</v>
      </c>
      <c r="B11" s="187">
        <f t="shared" ref="B11:Y11" si="3">SUM(B12:B17)</f>
        <v>700</v>
      </c>
      <c r="C11" s="187">
        <f t="shared" si="3"/>
        <v>4514</v>
      </c>
      <c r="D11" s="187">
        <f t="shared" si="3"/>
        <v>0</v>
      </c>
      <c r="E11" s="187">
        <f t="shared" si="3"/>
        <v>5214</v>
      </c>
      <c r="F11" s="187">
        <f t="shared" si="3"/>
        <v>0</v>
      </c>
      <c r="G11" s="187">
        <f t="shared" si="3"/>
        <v>0</v>
      </c>
      <c r="H11" s="187">
        <f t="shared" si="3"/>
        <v>5</v>
      </c>
      <c r="I11" s="187">
        <f t="shared" si="3"/>
        <v>5</v>
      </c>
      <c r="J11" s="187">
        <f t="shared" si="3"/>
        <v>4</v>
      </c>
      <c r="K11" s="187">
        <f t="shared" si="3"/>
        <v>157</v>
      </c>
      <c r="L11" s="187">
        <f t="shared" si="3"/>
        <v>17</v>
      </c>
      <c r="M11" s="187">
        <f t="shared" si="3"/>
        <v>178</v>
      </c>
      <c r="N11" s="187">
        <f t="shared" si="3"/>
        <v>0</v>
      </c>
      <c r="O11" s="187">
        <f t="shared" si="3"/>
        <v>0</v>
      </c>
      <c r="P11" s="187">
        <f t="shared" si="3"/>
        <v>1</v>
      </c>
      <c r="Q11" s="187">
        <f t="shared" si="3"/>
        <v>1</v>
      </c>
      <c r="R11" s="187">
        <f t="shared" si="3"/>
        <v>5398</v>
      </c>
      <c r="S11" s="187">
        <f t="shared" si="3"/>
        <v>0</v>
      </c>
      <c r="T11" s="187">
        <f t="shared" si="3"/>
        <v>0</v>
      </c>
      <c r="U11" s="187">
        <f t="shared" si="3"/>
        <v>112</v>
      </c>
      <c r="V11" s="187">
        <f t="shared" si="3"/>
        <v>112</v>
      </c>
      <c r="W11" s="187">
        <f t="shared" si="3"/>
        <v>0</v>
      </c>
      <c r="X11" s="187">
        <f t="shared" si="3"/>
        <v>0</v>
      </c>
      <c r="Y11" s="187">
        <f t="shared" si="3"/>
        <v>112</v>
      </c>
      <c r="Z11" s="187">
        <f>Z12+Z13+Z14+Z15+Z16+Z17</f>
        <v>12519</v>
      </c>
      <c r="AA11" s="187">
        <f t="shared" ref="AA11:AB11" si="4">SUM(AA12:AA17)</f>
        <v>3</v>
      </c>
      <c r="AB11" s="187">
        <f t="shared" si="4"/>
        <v>0</v>
      </c>
      <c r="AC11" s="141"/>
      <c r="AD11" s="141"/>
      <c r="AE11" s="141"/>
      <c r="AF11" s="187">
        <f>AF12+AF13+AF14+AF15+AF16+AF17</f>
        <v>12519</v>
      </c>
      <c r="AG11" s="187">
        <f t="shared" ref="AG11:AI11" si="5">SUM(AG12:AG17)</f>
        <v>3</v>
      </c>
      <c r="AH11" s="187">
        <f t="shared" si="5"/>
        <v>0</v>
      </c>
      <c r="AI11" s="141">
        <f t="shared" si="5"/>
        <v>12522</v>
      </c>
      <c r="AJ11" s="141">
        <f>AJ12+AJ13+AJ14+AJ15+AJ16+AJ17</f>
        <v>0</v>
      </c>
      <c r="AK11" s="141">
        <f t="shared" ref="AK11:AM11" si="6">SUM(AK12:AK17)</f>
        <v>0</v>
      </c>
      <c r="AL11" s="141">
        <f t="shared" si="6"/>
        <v>0</v>
      </c>
      <c r="AM11" s="141">
        <f t="shared" si="6"/>
        <v>0</v>
      </c>
      <c r="AN11" s="141">
        <f>AN12+AN13+AN14+AN15+AN16+AN17</f>
        <v>0</v>
      </c>
      <c r="AO11" s="141">
        <f t="shared" ref="AO11:AR11" si="7">SUM(AO12:AO17)</f>
        <v>0</v>
      </c>
      <c r="AP11" s="141">
        <f t="shared" si="7"/>
        <v>0</v>
      </c>
      <c r="AQ11" s="141">
        <f t="shared" si="7"/>
        <v>0</v>
      </c>
      <c r="AR11" s="141">
        <f t="shared" si="7"/>
        <v>12634</v>
      </c>
      <c r="AS11" s="141">
        <f t="shared" ref="AS11:AS112" si="8">SUM(R11,AR11)</f>
        <v>18032</v>
      </c>
      <c r="AT11" s="4"/>
      <c r="AU11" s="4"/>
      <c r="AV11" s="4"/>
      <c r="AW11" s="4"/>
      <c r="AX11" s="4"/>
      <c r="AY11" s="4"/>
      <c r="AZ11" s="4"/>
      <c r="BA11" s="4"/>
    </row>
    <row r="12" ht="15.75" customHeight="1">
      <c r="A12" s="167" t="s">
        <v>77</v>
      </c>
      <c r="B12" s="188">
        <v>2.0</v>
      </c>
      <c r="C12" s="188">
        <v>661.0</v>
      </c>
      <c r="D12" s="188">
        <v>0.0</v>
      </c>
      <c r="E12" s="188">
        <f t="shared" ref="E12:E17" si="9">SUM(B12:D12)</f>
        <v>663</v>
      </c>
      <c r="F12" s="188">
        <v>0.0</v>
      </c>
      <c r="G12" s="188">
        <v>0.0</v>
      </c>
      <c r="H12" s="188">
        <v>2.0</v>
      </c>
      <c r="I12" s="188">
        <f t="shared" ref="I12:I17" si="10">SUM(F12:H12)</f>
        <v>2</v>
      </c>
      <c r="J12" s="186"/>
      <c r="K12" s="186"/>
      <c r="L12" s="188">
        <v>0.0</v>
      </c>
      <c r="M12" s="188">
        <f t="shared" ref="M12:M17" si="11">SUM(J12:L12)</f>
        <v>0</v>
      </c>
      <c r="N12" s="188">
        <v>0.0</v>
      </c>
      <c r="O12" s="186"/>
      <c r="P12" s="186"/>
      <c r="Q12" s="188">
        <f t="shared" ref="Q12:Q17" si="12">SUM(N12:P12)</f>
        <v>0</v>
      </c>
      <c r="R12" s="188">
        <f t="shared" ref="R12:R17" si="13">SUM(E12,I12,M12,Q12)</f>
        <v>665</v>
      </c>
      <c r="S12" s="186">
        <v>0.0</v>
      </c>
      <c r="T12" s="186">
        <v>0.0</v>
      </c>
      <c r="U12" s="188">
        <v>27.0</v>
      </c>
      <c r="V12" s="188">
        <f t="shared" ref="V12:V17" si="14">SUM(S12:U12)</f>
        <v>27</v>
      </c>
      <c r="W12" s="186">
        <v>0.0</v>
      </c>
      <c r="X12" s="186">
        <v>0.0</v>
      </c>
      <c r="Y12" s="188">
        <v>27.0</v>
      </c>
      <c r="Z12" s="188">
        <v>1378.0</v>
      </c>
      <c r="AA12" s="188">
        <v>2.0</v>
      </c>
      <c r="AB12" s="189">
        <v>0.0</v>
      </c>
      <c r="AC12" s="154"/>
      <c r="AD12" s="154"/>
      <c r="AE12" s="154"/>
      <c r="AF12" s="188">
        <v>1378.0</v>
      </c>
      <c r="AG12" s="188">
        <v>2.0</v>
      </c>
      <c r="AH12" s="189">
        <v>0.0</v>
      </c>
      <c r="AI12" s="154">
        <f t="shared" ref="AI12:AI17" si="15">SUM(AF12:AH12)</f>
        <v>1380</v>
      </c>
      <c r="AJ12" s="154"/>
      <c r="AK12" s="154"/>
      <c r="AL12" s="155"/>
      <c r="AM12" s="154">
        <f t="shared" ref="AM12:AM17" si="16">SUM(AJ12:AL12)</f>
        <v>0</v>
      </c>
      <c r="AN12" s="154"/>
      <c r="AO12" s="154"/>
      <c r="AP12" s="155"/>
      <c r="AQ12" s="154">
        <f t="shared" ref="AQ12:AQ17" si="17">SUM(AN12:AP12)</f>
        <v>0</v>
      </c>
      <c r="AR12" s="154">
        <f t="shared" ref="AR12:AR17" si="18">SUM(V12,AI12,AM12,AQ12)</f>
        <v>1407</v>
      </c>
      <c r="AS12" s="154">
        <f t="shared" si="8"/>
        <v>2072</v>
      </c>
      <c r="AT12" s="4"/>
      <c r="AU12" s="4"/>
      <c r="AV12" s="4"/>
      <c r="AW12" s="4"/>
      <c r="AX12" s="4"/>
      <c r="AY12" s="4"/>
      <c r="AZ12" s="4"/>
      <c r="BA12" s="4"/>
    </row>
    <row r="13" ht="15.75" customHeight="1">
      <c r="A13" s="167" t="s">
        <v>78</v>
      </c>
      <c r="B13" s="188">
        <v>468.0</v>
      </c>
      <c r="C13" s="188">
        <v>2667.0</v>
      </c>
      <c r="D13" s="188">
        <v>0.0</v>
      </c>
      <c r="E13" s="188">
        <f t="shared" si="9"/>
        <v>3135</v>
      </c>
      <c r="F13" s="188">
        <v>0.0</v>
      </c>
      <c r="G13" s="188">
        <v>0.0</v>
      </c>
      <c r="H13" s="188">
        <v>0.0</v>
      </c>
      <c r="I13" s="188">
        <f t="shared" si="10"/>
        <v>0</v>
      </c>
      <c r="J13" s="186"/>
      <c r="K13" s="186"/>
      <c r="L13" s="188">
        <v>0.0</v>
      </c>
      <c r="M13" s="188">
        <f t="shared" si="11"/>
        <v>0</v>
      </c>
      <c r="N13" s="188">
        <v>0.0</v>
      </c>
      <c r="O13" s="186"/>
      <c r="P13" s="186"/>
      <c r="Q13" s="188">
        <f t="shared" si="12"/>
        <v>0</v>
      </c>
      <c r="R13" s="188">
        <f t="shared" si="13"/>
        <v>3135</v>
      </c>
      <c r="S13" s="186">
        <v>0.0</v>
      </c>
      <c r="T13" s="186">
        <v>0.0</v>
      </c>
      <c r="U13" s="188">
        <v>19.0</v>
      </c>
      <c r="V13" s="188">
        <f t="shared" si="14"/>
        <v>19</v>
      </c>
      <c r="W13" s="186">
        <v>0.0</v>
      </c>
      <c r="X13" s="186">
        <v>0.0</v>
      </c>
      <c r="Y13" s="188">
        <v>19.0</v>
      </c>
      <c r="Z13" s="188">
        <v>1938.0</v>
      </c>
      <c r="AA13" s="188">
        <v>1.0</v>
      </c>
      <c r="AB13" s="189">
        <v>0.0</v>
      </c>
      <c r="AC13" s="154"/>
      <c r="AD13" s="154"/>
      <c r="AE13" s="154"/>
      <c r="AF13" s="188">
        <v>1938.0</v>
      </c>
      <c r="AG13" s="188">
        <v>1.0</v>
      </c>
      <c r="AH13" s="189">
        <v>0.0</v>
      </c>
      <c r="AI13" s="154">
        <f t="shared" si="15"/>
        <v>1939</v>
      </c>
      <c r="AJ13" s="154"/>
      <c r="AK13" s="154"/>
      <c r="AL13" s="155"/>
      <c r="AM13" s="154">
        <f t="shared" si="16"/>
        <v>0</v>
      </c>
      <c r="AN13" s="154"/>
      <c r="AO13" s="154"/>
      <c r="AP13" s="155"/>
      <c r="AQ13" s="154">
        <f t="shared" si="17"/>
        <v>0</v>
      </c>
      <c r="AR13" s="154">
        <f t="shared" si="18"/>
        <v>1958</v>
      </c>
      <c r="AS13" s="154">
        <f t="shared" si="8"/>
        <v>5093</v>
      </c>
      <c r="AT13" s="4"/>
      <c r="AU13" s="4"/>
      <c r="AV13" s="4"/>
      <c r="AW13" s="4"/>
      <c r="AX13" s="4"/>
      <c r="AY13" s="4"/>
      <c r="AZ13" s="4"/>
      <c r="BA13" s="4"/>
    </row>
    <row r="14" ht="15.75" customHeight="1">
      <c r="A14" s="169" t="s">
        <v>79</v>
      </c>
      <c r="B14" s="188">
        <v>66.0</v>
      </c>
      <c r="C14" s="188">
        <v>453.0</v>
      </c>
      <c r="D14" s="188">
        <v>0.0</v>
      </c>
      <c r="E14" s="188">
        <f t="shared" si="9"/>
        <v>519</v>
      </c>
      <c r="F14" s="188">
        <v>0.0</v>
      </c>
      <c r="G14" s="188">
        <v>0.0</v>
      </c>
      <c r="H14" s="188">
        <v>2.0</v>
      </c>
      <c r="I14" s="188">
        <f t="shared" si="10"/>
        <v>2</v>
      </c>
      <c r="J14" s="188">
        <v>0.0</v>
      </c>
      <c r="K14" s="188">
        <v>0.0</v>
      </c>
      <c r="L14" s="188">
        <v>0.0</v>
      </c>
      <c r="M14" s="188">
        <f t="shared" si="11"/>
        <v>0</v>
      </c>
      <c r="N14" s="188">
        <v>0.0</v>
      </c>
      <c r="O14" s="188">
        <v>0.0</v>
      </c>
      <c r="P14" s="188">
        <v>0.0</v>
      </c>
      <c r="Q14" s="188">
        <f t="shared" si="12"/>
        <v>0</v>
      </c>
      <c r="R14" s="188">
        <f t="shared" si="13"/>
        <v>521</v>
      </c>
      <c r="S14" s="188">
        <v>0.0</v>
      </c>
      <c r="T14" s="188">
        <v>0.0</v>
      </c>
      <c r="U14" s="188">
        <v>0.0</v>
      </c>
      <c r="V14" s="188">
        <f t="shared" si="14"/>
        <v>0</v>
      </c>
      <c r="W14" s="188">
        <v>0.0</v>
      </c>
      <c r="X14" s="188">
        <v>0.0</v>
      </c>
      <c r="Y14" s="188">
        <v>0.0</v>
      </c>
      <c r="Z14" s="188">
        <v>1757.0</v>
      </c>
      <c r="AA14" s="188">
        <v>0.0</v>
      </c>
      <c r="AB14" s="188">
        <v>0.0</v>
      </c>
      <c r="AC14" s="154"/>
      <c r="AD14" s="154"/>
      <c r="AE14" s="154"/>
      <c r="AF14" s="188">
        <v>1757.0</v>
      </c>
      <c r="AG14" s="188">
        <v>0.0</v>
      </c>
      <c r="AH14" s="188">
        <v>0.0</v>
      </c>
      <c r="AI14" s="154">
        <f t="shared" si="15"/>
        <v>1757</v>
      </c>
      <c r="AJ14" s="154"/>
      <c r="AK14" s="154"/>
      <c r="AL14" s="154"/>
      <c r="AM14" s="154">
        <f t="shared" si="16"/>
        <v>0</v>
      </c>
      <c r="AN14" s="154"/>
      <c r="AO14" s="154"/>
      <c r="AP14" s="154"/>
      <c r="AQ14" s="154">
        <f t="shared" si="17"/>
        <v>0</v>
      </c>
      <c r="AR14" s="154">
        <f t="shared" si="18"/>
        <v>1757</v>
      </c>
      <c r="AS14" s="154">
        <f t="shared" si="8"/>
        <v>2278</v>
      </c>
      <c r="AT14" s="4"/>
      <c r="AU14" s="4"/>
      <c r="AV14" s="4"/>
      <c r="AW14" s="4"/>
      <c r="AX14" s="4"/>
      <c r="AY14" s="4"/>
      <c r="AZ14" s="4"/>
      <c r="BA14" s="4"/>
    </row>
    <row r="15" ht="15.75" customHeight="1">
      <c r="A15" s="167" t="s">
        <v>81</v>
      </c>
      <c r="B15" s="188">
        <v>3.0</v>
      </c>
      <c r="C15" s="188">
        <v>62.0</v>
      </c>
      <c r="D15" s="188">
        <v>0.0</v>
      </c>
      <c r="E15" s="188">
        <f t="shared" si="9"/>
        <v>65</v>
      </c>
      <c r="F15" s="188">
        <v>0.0</v>
      </c>
      <c r="G15" s="188">
        <v>0.0</v>
      </c>
      <c r="H15" s="188">
        <v>0.0</v>
      </c>
      <c r="I15" s="188">
        <f t="shared" si="10"/>
        <v>0</v>
      </c>
      <c r="J15" s="188">
        <v>0.0</v>
      </c>
      <c r="K15" s="188">
        <v>150.0</v>
      </c>
      <c r="L15" s="188">
        <v>17.0</v>
      </c>
      <c r="M15" s="188">
        <f t="shared" si="11"/>
        <v>167</v>
      </c>
      <c r="N15" s="188">
        <v>0.0</v>
      </c>
      <c r="O15" s="186"/>
      <c r="P15" s="188">
        <v>1.0</v>
      </c>
      <c r="Q15" s="188">
        <f t="shared" si="12"/>
        <v>1</v>
      </c>
      <c r="R15" s="188">
        <f t="shared" si="13"/>
        <v>233</v>
      </c>
      <c r="S15" s="188">
        <v>0.0</v>
      </c>
      <c r="T15" s="186">
        <v>0.0</v>
      </c>
      <c r="U15" s="188">
        <v>27.0</v>
      </c>
      <c r="V15" s="188">
        <f t="shared" si="14"/>
        <v>27</v>
      </c>
      <c r="W15" s="188">
        <v>0.0</v>
      </c>
      <c r="X15" s="186">
        <v>0.0</v>
      </c>
      <c r="Y15" s="188">
        <v>27.0</v>
      </c>
      <c r="Z15" s="188">
        <v>2386.0</v>
      </c>
      <c r="AA15" s="188">
        <v>0.0</v>
      </c>
      <c r="AB15" s="188">
        <v>0.0</v>
      </c>
      <c r="AC15" s="154"/>
      <c r="AD15" s="154"/>
      <c r="AE15" s="154"/>
      <c r="AF15" s="188">
        <v>2386.0</v>
      </c>
      <c r="AG15" s="188">
        <v>0.0</v>
      </c>
      <c r="AH15" s="188">
        <v>0.0</v>
      </c>
      <c r="AI15" s="154">
        <f t="shared" si="15"/>
        <v>2386</v>
      </c>
      <c r="AJ15" s="154"/>
      <c r="AK15" s="154"/>
      <c r="AL15" s="154"/>
      <c r="AM15" s="154">
        <f t="shared" si="16"/>
        <v>0</v>
      </c>
      <c r="AN15" s="154"/>
      <c r="AO15" s="154"/>
      <c r="AP15" s="154"/>
      <c r="AQ15" s="154">
        <f t="shared" si="17"/>
        <v>0</v>
      </c>
      <c r="AR15" s="154">
        <f t="shared" si="18"/>
        <v>2413</v>
      </c>
      <c r="AS15" s="154">
        <f t="shared" si="8"/>
        <v>2646</v>
      </c>
      <c r="AT15" s="4"/>
      <c r="AU15" s="4"/>
      <c r="AV15" s="4"/>
      <c r="AW15" s="4"/>
      <c r="AX15" s="4"/>
      <c r="AY15" s="4"/>
      <c r="AZ15" s="4"/>
      <c r="BA15" s="4"/>
    </row>
    <row r="16" ht="15.75" customHeight="1">
      <c r="A16" s="167" t="s">
        <v>85</v>
      </c>
      <c r="B16" s="188">
        <v>0.0</v>
      </c>
      <c r="C16" s="188">
        <v>24.0</v>
      </c>
      <c r="D16" s="188">
        <v>0.0</v>
      </c>
      <c r="E16" s="188">
        <f t="shared" si="9"/>
        <v>24</v>
      </c>
      <c r="F16" s="188">
        <v>0.0</v>
      </c>
      <c r="G16" s="188">
        <v>0.0</v>
      </c>
      <c r="H16" s="188">
        <v>0.0</v>
      </c>
      <c r="I16" s="188">
        <f t="shared" si="10"/>
        <v>0</v>
      </c>
      <c r="J16" s="188">
        <v>1.0</v>
      </c>
      <c r="K16" s="188">
        <v>1.0</v>
      </c>
      <c r="L16" s="188">
        <v>0.0</v>
      </c>
      <c r="M16" s="188">
        <f t="shared" si="11"/>
        <v>2</v>
      </c>
      <c r="N16" s="188">
        <v>0.0</v>
      </c>
      <c r="O16" s="186"/>
      <c r="P16" s="188">
        <v>0.0</v>
      </c>
      <c r="Q16" s="188">
        <f t="shared" si="12"/>
        <v>0</v>
      </c>
      <c r="R16" s="188">
        <f t="shared" si="13"/>
        <v>26</v>
      </c>
      <c r="S16" s="188">
        <v>0.0</v>
      </c>
      <c r="T16" s="186">
        <v>0.0</v>
      </c>
      <c r="U16" s="188">
        <v>37.0</v>
      </c>
      <c r="V16" s="188">
        <f t="shared" si="14"/>
        <v>37</v>
      </c>
      <c r="W16" s="188">
        <v>0.0</v>
      </c>
      <c r="X16" s="186">
        <v>0.0</v>
      </c>
      <c r="Y16" s="188">
        <v>37.0</v>
      </c>
      <c r="Z16" s="188">
        <v>4220.0</v>
      </c>
      <c r="AA16" s="188">
        <v>0.0</v>
      </c>
      <c r="AB16" s="188">
        <v>0.0</v>
      </c>
      <c r="AC16" s="154"/>
      <c r="AD16" s="154"/>
      <c r="AE16" s="154"/>
      <c r="AF16" s="188">
        <v>4220.0</v>
      </c>
      <c r="AG16" s="188">
        <v>0.0</v>
      </c>
      <c r="AH16" s="188">
        <v>0.0</v>
      </c>
      <c r="AI16" s="154">
        <f t="shared" si="15"/>
        <v>4220</v>
      </c>
      <c r="AJ16" s="154"/>
      <c r="AK16" s="154"/>
      <c r="AL16" s="154"/>
      <c r="AM16" s="154">
        <f t="shared" si="16"/>
        <v>0</v>
      </c>
      <c r="AN16" s="154"/>
      <c r="AO16" s="154"/>
      <c r="AP16" s="154"/>
      <c r="AQ16" s="154">
        <f t="shared" si="17"/>
        <v>0</v>
      </c>
      <c r="AR16" s="154">
        <f t="shared" si="18"/>
        <v>4257</v>
      </c>
      <c r="AS16" s="154">
        <f t="shared" si="8"/>
        <v>4283</v>
      </c>
      <c r="AT16" s="4"/>
      <c r="AU16" s="4"/>
      <c r="AV16" s="4"/>
      <c r="AW16" s="4"/>
      <c r="AX16" s="4"/>
      <c r="AY16" s="4"/>
      <c r="AZ16" s="4"/>
      <c r="BA16" s="4"/>
    </row>
    <row r="17" ht="15.75" customHeight="1">
      <c r="A17" s="167" t="s">
        <v>86</v>
      </c>
      <c r="B17" s="188">
        <v>161.0</v>
      </c>
      <c r="C17" s="188">
        <v>647.0</v>
      </c>
      <c r="D17" s="188">
        <v>0.0</v>
      </c>
      <c r="E17" s="188">
        <f t="shared" si="9"/>
        <v>808</v>
      </c>
      <c r="F17" s="188">
        <v>0.0</v>
      </c>
      <c r="G17" s="188">
        <v>0.0</v>
      </c>
      <c r="H17" s="188">
        <v>1.0</v>
      </c>
      <c r="I17" s="188">
        <f t="shared" si="10"/>
        <v>1</v>
      </c>
      <c r="J17" s="188">
        <v>3.0</v>
      </c>
      <c r="K17" s="188">
        <v>6.0</v>
      </c>
      <c r="L17" s="188">
        <v>0.0</v>
      </c>
      <c r="M17" s="188">
        <f t="shared" si="11"/>
        <v>9</v>
      </c>
      <c r="N17" s="188">
        <v>0.0</v>
      </c>
      <c r="O17" s="186"/>
      <c r="P17" s="188">
        <v>0.0</v>
      </c>
      <c r="Q17" s="188">
        <f t="shared" si="12"/>
        <v>0</v>
      </c>
      <c r="R17" s="188">
        <f t="shared" si="13"/>
        <v>818</v>
      </c>
      <c r="S17" s="188">
        <v>0.0</v>
      </c>
      <c r="T17" s="186">
        <v>0.0</v>
      </c>
      <c r="U17" s="188">
        <v>2.0</v>
      </c>
      <c r="V17" s="188">
        <f t="shared" si="14"/>
        <v>2</v>
      </c>
      <c r="W17" s="188">
        <v>0.0</v>
      </c>
      <c r="X17" s="186">
        <v>0.0</v>
      </c>
      <c r="Y17" s="188">
        <v>2.0</v>
      </c>
      <c r="Z17" s="188">
        <v>840.0</v>
      </c>
      <c r="AA17" s="188">
        <v>0.0</v>
      </c>
      <c r="AB17" s="188">
        <v>0.0</v>
      </c>
      <c r="AC17" s="154"/>
      <c r="AD17" s="154"/>
      <c r="AE17" s="154"/>
      <c r="AF17" s="188">
        <v>840.0</v>
      </c>
      <c r="AG17" s="188">
        <v>0.0</v>
      </c>
      <c r="AH17" s="188">
        <v>0.0</v>
      </c>
      <c r="AI17" s="154">
        <f t="shared" si="15"/>
        <v>840</v>
      </c>
      <c r="AJ17" s="154"/>
      <c r="AK17" s="154"/>
      <c r="AL17" s="154"/>
      <c r="AM17" s="154">
        <f t="shared" si="16"/>
        <v>0</v>
      </c>
      <c r="AN17" s="154"/>
      <c r="AO17" s="154"/>
      <c r="AP17" s="154"/>
      <c r="AQ17" s="154">
        <f t="shared" si="17"/>
        <v>0</v>
      </c>
      <c r="AR17" s="154">
        <f t="shared" si="18"/>
        <v>842</v>
      </c>
      <c r="AS17" s="154">
        <f t="shared" si="8"/>
        <v>1660</v>
      </c>
      <c r="AT17" s="4"/>
      <c r="AU17" s="4"/>
      <c r="AV17" s="4"/>
      <c r="AW17" s="4"/>
      <c r="AX17" s="4"/>
      <c r="AY17" s="4"/>
      <c r="AZ17" s="4"/>
      <c r="BA17" s="4"/>
    </row>
    <row r="18" ht="15.75" customHeight="1">
      <c r="A18" s="137" t="s">
        <v>87</v>
      </c>
      <c r="B18" s="187">
        <f t="shared" ref="B18:AB18" si="19">SUM(B19:B22)</f>
        <v>0</v>
      </c>
      <c r="C18" s="187">
        <f t="shared" si="19"/>
        <v>2</v>
      </c>
      <c r="D18" s="187">
        <f t="shared" si="19"/>
        <v>1</v>
      </c>
      <c r="E18" s="187">
        <f t="shared" si="19"/>
        <v>3</v>
      </c>
      <c r="F18" s="187">
        <f t="shared" si="19"/>
        <v>0</v>
      </c>
      <c r="G18" s="187">
        <f t="shared" si="19"/>
        <v>1</v>
      </c>
      <c r="H18" s="187">
        <f t="shared" si="19"/>
        <v>1</v>
      </c>
      <c r="I18" s="187">
        <f t="shared" si="19"/>
        <v>2</v>
      </c>
      <c r="J18" s="187">
        <f t="shared" si="19"/>
        <v>53</v>
      </c>
      <c r="K18" s="187">
        <f t="shared" si="19"/>
        <v>0</v>
      </c>
      <c r="L18" s="187">
        <f t="shared" si="19"/>
        <v>0</v>
      </c>
      <c r="M18" s="187">
        <f t="shared" si="19"/>
        <v>53</v>
      </c>
      <c r="N18" s="187">
        <f t="shared" si="19"/>
        <v>0</v>
      </c>
      <c r="O18" s="187">
        <f t="shared" si="19"/>
        <v>0</v>
      </c>
      <c r="P18" s="187">
        <f t="shared" si="19"/>
        <v>0</v>
      </c>
      <c r="Q18" s="187">
        <f t="shared" si="19"/>
        <v>0</v>
      </c>
      <c r="R18" s="187">
        <f t="shared" si="19"/>
        <v>58</v>
      </c>
      <c r="S18" s="187">
        <f t="shared" si="19"/>
        <v>0</v>
      </c>
      <c r="T18" s="187">
        <f t="shared" si="19"/>
        <v>0</v>
      </c>
      <c r="U18" s="187">
        <f t="shared" si="19"/>
        <v>1481</v>
      </c>
      <c r="V18" s="187">
        <f t="shared" si="19"/>
        <v>1481</v>
      </c>
      <c r="W18" s="187">
        <f t="shared" si="19"/>
        <v>0</v>
      </c>
      <c r="X18" s="187">
        <f t="shared" si="19"/>
        <v>0</v>
      </c>
      <c r="Y18" s="187">
        <f t="shared" si="19"/>
        <v>1481</v>
      </c>
      <c r="Z18" s="187">
        <f t="shared" si="19"/>
        <v>0</v>
      </c>
      <c r="AA18" s="187">
        <f t="shared" si="19"/>
        <v>0</v>
      </c>
      <c r="AB18" s="187">
        <f t="shared" si="19"/>
        <v>3</v>
      </c>
      <c r="AC18" s="141"/>
      <c r="AD18" s="141"/>
      <c r="AE18" s="141"/>
      <c r="AF18" s="187">
        <f t="shared" ref="AF18:AR18" si="20">SUM(AF19:AF22)</f>
        <v>0</v>
      </c>
      <c r="AG18" s="187">
        <f t="shared" si="20"/>
        <v>0</v>
      </c>
      <c r="AH18" s="187">
        <f t="shared" si="20"/>
        <v>3</v>
      </c>
      <c r="AI18" s="141">
        <f t="shared" si="20"/>
        <v>3</v>
      </c>
      <c r="AJ18" s="141">
        <f t="shared" si="20"/>
        <v>0</v>
      </c>
      <c r="AK18" s="141">
        <f t="shared" si="20"/>
        <v>0</v>
      </c>
      <c r="AL18" s="141">
        <f t="shared" si="20"/>
        <v>0</v>
      </c>
      <c r="AM18" s="141">
        <f t="shared" si="20"/>
        <v>0</v>
      </c>
      <c r="AN18" s="141">
        <f t="shared" si="20"/>
        <v>0</v>
      </c>
      <c r="AO18" s="141">
        <f t="shared" si="20"/>
        <v>0</v>
      </c>
      <c r="AP18" s="141">
        <f t="shared" si="20"/>
        <v>0</v>
      </c>
      <c r="AQ18" s="141">
        <f t="shared" si="20"/>
        <v>0</v>
      </c>
      <c r="AR18" s="141">
        <f t="shared" si="20"/>
        <v>1484</v>
      </c>
      <c r="AS18" s="141">
        <f t="shared" si="8"/>
        <v>1542</v>
      </c>
      <c r="AT18" s="4"/>
      <c r="AU18" s="4"/>
      <c r="AV18" s="4"/>
      <c r="AW18" s="4"/>
      <c r="AX18" s="4"/>
      <c r="AY18" s="4"/>
      <c r="AZ18" s="4"/>
      <c r="BA18" s="4"/>
    </row>
    <row r="19" ht="15.75" customHeight="1">
      <c r="A19" s="167" t="s">
        <v>88</v>
      </c>
      <c r="B19" s="188">
        <v>0.0</v>
      </c>
      <c r="C19" s="188">
        <v>0.0</v>
      </c>
      <c r="D19" s="188">
        <v>0.0</v>
      </c>
      <c r="E19" s="188">
        <f t="shared" ref="E19:E22" si="21">SUM(B19:D19)</f>
        <v>0</v>
      </c>
      <c r="F19" s="188">
        <v>0.0</v>
      </c>
      <c r="G19" s="188">
        <v>0.0</v>
      </c>
      <c r="H19" s="188">
        <v>1.0</v>
      </c>
      <c r="I19" s="188">
        <f t="shared" ref="I19:I22" si="22">SUM(F19:H19)</f>
        <v>1</v>
      </c>
      <c r="J19" s="188">
        <v>20.0</v>
      </c>
      <c r="K19" s="188">
        <v>0.0</v>
      </c>
      <c r="L19" s="188">
        <v>0.0</v>
      </c>
      <c r="M19" s="188">
        <f t="shared" ref="M19:M22" si="23">SUM(J19:L19)</f>
        <v>20</v>
      </c>
      <c r="N19" s="188">
        <v>0.0</v>
      </c>
      <c r="O19" s="188">
        <v>0.0</v>
      </c>
      <c r="P19" s="188">
        <v>0.0</v>
      </c>
      <c r="Q19" s="188">
        <f t="shared" ref="Q19:Q22" si="24">SUM(N19:P19)</f>
        <v>0</v>
      </c>
      <c r="R19" s="188">
        <f t="shared" ref="R19:R22" si="25">SUM(E19,I19,M19,Q19)</f>
        <v>21</v>
      </c>
      <c r="S19" s="188">
        <v>0.0</v>
      </c>
      <c r="T19" s="188">
        <v>0.0</v>
      </c>
      <c r="U19" s="188">
        <v>79.0</v>
      </c>
      <c r="V19" s="188">
        <f t="shared" ref="V19:V22" si="26">SUM(S19:U19)</f>
        <v>79</v>
      </c>
      <c r="W19" s="188">
        <v>0.0</v>
      </c>
      <c r="X19" s="188">
        <v>0.0</v>
      </c>
      <c r="Y19" s="188">
        <v>79.0</v>
      </c>
      <c r="Z19" s="188">
        <v>0.0</v>
      </c>
      <c r="AA19" s="188">
        <v>0.0</v>
      </c>
      <c r="AB19" s="188">
        <v>0.0</v>
      </c>
      <c r="AC19" s="154"/>
      <c r="AD19" s="154"/>
      <c r="AE19" s="154"/>
      <c r="AF19" s="188">
        <v>0.0</v>
      </c>
      <c r="AG19" s="188">
        <v>0.0</v>
      </c>
      <c r="AH19" s="188">
        <v>0.0</v>
      </c>
      <c r="AI19" s="154">
        <f t="shared" ref="AI19:AI22" si="27">SUM(AF19:AH19)</f>
        <v>0</v>
      </c>
      <c r="AJ19" s="154"/>
      <c r="AK19" s="154"/>
      <c r="AL19" s="154"/>
      <c r="AM19" s="154">
        <f t="shared" ref="AM19:AM22" si="28">SUM(AJ19:AL19)</f>
        <v>0</v>
      </c>
      <c r="AN19" s="154"/>
      <c r="AO19" s="154"/>
      <c r="AP19" s="154"/>
      <c r="AQ19" s="154">
        <f t="shared" ref="AQ19:AQ22" si="29">SUM(AN19:AP19)</f>
        <v>0</v>
      </c>
      <c r="AR19" s="154">
        <f t="shared" ref="AR19:AR22" si="30">SUM(V19,AI19,AM19,AQ19)</f>
        <v>79</v>
      </c>
      <c r="AS19" s="154">
        <f t="shared" si="8"/>
        <v>100</v>
      </c>
      <c r="AT19" s="4"/>
      <c r="AU19" s="4"/>
      <c r="AV19" s="4"/>
      <c r="AW19" s="4"/>
      <c r="AX19" s="4"/>
      <c r="AY19" s="4"/>
      <c r="AZ19" s="4"/>
      <c r="BA19" s="4"/>
    </row>
    <row r="20" ht="15.75" customHeight="1">
      <c r="A20" s="167" t="s">
        <v>89</v>
      </c>
      <c r="B20" s="188">
        <v>0.0</v>
      </c>
      <c r="C20" s="188">
        <v>0.0</v>
      </c>
      <c r="D20" s="188">
        <v>0.0</v>
      </c>
      <c r="E20" s="188">
        <f t="shared" si="21"/>
        <v>0</v>
      </c>
      <c r="F20" s="188">
        <v>0.0</v>
      </c>
      <c r="G20" s="188">
        <v>0.0</v>
      </c>
      <c r="H20" s="188">
        <v>0.0</v>
      </c>
      <c r="I20" s="188">
        <f t="shared" si="22"/>
        <v>0</v>
      </c>
      <c r="J20" s="188">
        <v>6.0</v>
      </c>
      <c r="K20" s="188">
        <v>0.0</v>
      </c>
      <c r="L20" s="188">
        <v>0.0</v>
      </c>
      <c r="M20" s="188">
        <f t="shared" si="23"/>
        <v>6</v>
      </c>
      <c r="N20" s="188">
        <v>0.0</v>
      </c>
      <c r="O20" s="188">
        <v>0.0</v>
      </c>
      <c r="P20" s="188">
        <v>0.0</v>
      </c>
      <c r="Q20" s="188">
        <f t="shared" si="24"/>
        <v>0</v>
      </c>
      <c r="R20" s="188">
        <f t="shared" si="25"/>
        <v>6</v>
      </c>
      <c r="S20" s="188">
        <v>0.0</v>
      </c>
      <c r="T20" s="188">
        <v>0.0</v>
      </c>
      <c r="U20" s="188">
        <v>985.0</v>
      </c>
      <c r="V20" s="188">
        <f t="shared" si="26"/>
        <v>985</v>
      </c>
      <c r="W20" s="188">
        <v>0.0</v>
      </c>
      <c r="X20" s="188">
        <v>0.0</v>
      </c>
      <c r="Y20" s="188">
        <v>985.0</v>
      </c>
      <c r="Z20" s="188">
        <v>0.0</v>
      </c>
      <c r="AA20" s="188">
        <v>0.0</v>
      </c>
      <c r="AB20" s="188">
        <v>0.0</v>
      </c>
      <c r="AC20" s="154"/>
      <c r="AD20" s="154"/>
      <c r="AE20" s="154"/>
      <c r="AF20" s="188">
        <v>0.0</v>
      </c>
      <c r="AG20" s="188">
        <v>0.0</v>
      </c>
      <c r="AH20" s="188">
        <v>0.0</v>
      </c>
      <c r="AI20" s="154">
        <f t="shared" si="27"/>
        <v>0</v>
      </c>
      <c r="AJ20" s="154"/>
      <c r="AK20" s="154"/>
      <c r="AL20" s="154"/>
      <c r="AM20" s="154">
        <f t="shared" si="28"/>
        <v>0</v>
      </c>
      <c r="AN20" s="154"/>
      <c r="AO20" s="154"/>
      <c r="AP20" s="154"/>
      <c r="AQ20" s="154">
        <f t="shared" si="29"/>
        <v>0</v>
      </c>
      <c r="AR20" s="154">
        <f t="shared" si="30"/>
        <v>985</v>
      </c>
      <c r="AS20" s="154">
        <f t="shared" si="8"/>
        <v>991</v>
      </c>
      <c r="AT20" s="4"/>
      <c r="AU20" s="4"/>
      <c r="AV20" s="4"/>
      <c r="AW20" s="4"/>
      <c r="AX20" s="4"/>
      <c r="AY20" s="4"/>
      <c r="AZ20" s="4"/>
      <c r="BA20" s="4"/>
    </row>
    <row r="21" ht="15.75" customHeight="1">
      <c r="A21" s="167" t="s">
        <v>90</v>
      </c>
      <c r="B21" s="188">
        <v>0.0</v>
      </c>
      <c r="C21" s="188">
        <v>0.0</v>
      </c>
      <c r="D21" s="188">
        <v>0.0</v>
      </c>
      <c r="E21" s="188">
        <f t="shared" si="21"/>
        <v>0</v>
      </c>
      <c r="F21" s="188">
        <v>0.0</v>
      </c>
      <c r="G21" s="188">
        <v>0.0</v>
      </c>
      <c r="H21" s="188">
        <v>0.0</v>
      </c>
      <c r="I21" s="188">
        <f t="shared" si="22"/>
        <v>0</v>
      </c>
      <c r="J21" s="188">
        <v>14.0</v>
      </c>
      <c r="K21" s="188">
        <v>0.0</v>
      </c>
      <c r="L21" s="188">
        <v>0.0</v>
      </c>
      <c r="M21" s="188">
        <f t="shared" si="23"/>
        <v>14</v>
      </c>
      <c r="N21" s="188">
        <v>0.0</v>
      </c>
      <c r="O21" s="186"/>
      <c r="P21" s="188">
        <v>0.0</v>
      </c>
      <c r="Q21" s="188">
        <f t="shared" si="24"/>
        <v>0</v>
      </c>
      <c r="R21" s="188">
        <f t="shared" si="25"/>
        <v>14</v>
      </c>
      <c r="S21" s="188">
        <v>0.0</v>
      </c>
      <c r="T21" s="188">
        <v>0.0</v>
      </c>
      <c r="U21" s="188">
        <v>319.0</v>
      </c>
      <c r="V21" s="188">
        <f t="shared" si="26"/>
        <v>319</v>
      </c>
      <c r="W21" s="188">
        <v>0.0</v>
      </c>
      <c r="X21" s="188">
        <v>0.0</v>
      </c>
      <c r="Y21" s="188">
        <v>319.0</v>
      </c>
      <c r="Z21" s="188">
        <v>0.0</v>
      </c>
      <c r="AA21" s="188">
        <v>0.0</v>
      </c>
      <c r="AB21" s="188">
        <v>0.0</v>
      </c>
      <c r="AC21" s="154"/>
      <c r="AD21" s="154"/>
      <c r="AE21" s="154"/>
      <c r="AF21" s="188">
        <v>0.0</v>
      </c>
      <c r="AG21" s="188">
        <v>0.0</v>
      </c>
      <c r="AH21" s="188">
        <v>0.0</v>
      </c>
      <c r="AI21" s="154">
        <f t="shared" si="27"/>
        <v>0</v>
      </c>
      <c r="AJ21" s="154"/>
      <c r="AK21" s="154"/>
      <c r="AL21" s="154"/>
      <c r="AM21" s="154">
        <f t="shared" si="28"/>
        <v>0</v>
      </c>
      <c r="AN21" s="154"/>
      <c r="AO21" s="154"/>
      <c r="AP21" s="154"/>
      <c r="AQ21" s="154">
        <f t="shared" si="29"/>
        <v>0</v>
      </c>
      <c r="AR21" s="154">
        <f t="shared" si="30"/>
        <v>319</v>
      </c>
      <c r="AS21" s="154">
        <f t="shared" si="8"/>
        <v>333</v>
      </c>
      <c r="AT21" s="4"/>
      <c r="AU21" s="4"/>
      <c r="AV21" s="4"/>
      <c r="AW21" s="4"/>
      <c r="AX21" s="4"/>
      <c r="AY21" s="4"/>
      <c r="AZ21" s="4"/>
      <c r="BA21" s="4"/>
    </row>
    <row r="22" ht="15.75" customHeight="1">
      <c r="A22" s="167" t="s">
        <v>92</v>
      </c>
      <c r="B22" s="188">
        <v>0.0</v>
      </c>
      <c r="C22" s="188">
        <v>2.0</v>
      </c>
      <c r="D22" s="188">
        <v>1.0</v>
      </c>
      <c r="E22" s="188">
        <f t="shared" si="21"/>
        <v>3</v>
      </c>
      <c r="F22" s="188">
        <v>0.0</v>
      </c>
      <c r="G22" s="188">
        <v>1.0</v>
      </c>
      <c r="H22" s="188">
        <v>0.0</v>
      </c>
      <c r="I22" s="188">
        <f t="shared" si="22"/>
        <v>1</v>
      </c>
      <c r="J22" s="188">
        <v>13.0</v>
      </c>
      <c r="K22" s="186"/>
      <c r="L22" s="188">
        <v>0.0</v>
      </c>
      <c r="M22" s="188">
        <f t="shared" si="23"/>
        <v>13</v>
      </c>
      <c r="N22" s="188">
        <v>0.0</v>
      </c>
      <c r="O22" s="186"/>
      <c r="P22" s="188">
        <v>0.0</v>
      </c>
      <c r="Q22" s="188">
        <f t="shared" si="24"/>
        <v>0</v>
      </c>
      <c r="R22" s="188">
        <f t="shared" si="25"/>
        <v>17</v>
      </c>
      <c r="S22" s="188">
        <v>0.0</v>
      </c>
      <c r="T22" s="188">
        <v>0.0</v>
      </c>
      <c r="U22" s="188">
        <v>98.0</v>
      </c>
      <c r="V22" s="188">
        <f t="shared" si="26"/>
        <v>98</v>
      </c>
      <c r="W22" s="188">
        <v>0.0</v>
      </c>
      <c r="X22" s="188">
        <v>0.0</v>
      </c>
      <c r="Y22" s="188">
        <v>98.0</v>
      </c>
      <c r="Z22" s="188">
        <v>0.0</v>
      </c>
      <c r="AA22" s="188">
        <v>0.0</v>
      </c>
      <c r="AB22" s="188">
        <v>3.0</v>
      </c>
      <c r="AC22" s="154"/>
      <c r="AD22" s="154"/>
      <c r="AE22" s="154"/>
      <c r="AF22" s="188">
        <v>0.0</v>
      </c>
      <c r="AG22" s="188">
        <v>0.0</v>
      </c>
      <c r="AH22" s="188">
        <v>3.0</v>
      </c>
      <c r="AI22" s="154">
        <f t="shared" si="27"/>
        <v>3</v>
      </c>
      <c r="AJ22" s="154"/>
      <c r="AK22" s="154"/>
      <c r="AL22" s="154"/>
      <c r="AM22" s="154">
        <f t="shared" si="28"/>
        <v>0</v>
      </c>
      <c r="AN22" s="154"/>
      <c r="AO22" s="154"/>
      <c r="AP22" s="154"/>
      <c r="AQ22" s="154">
        <f t="shared" si="29"/>
        <v>0</v>
      </c>
      <c r="AR22" s="154">
        <f t="shared" si="30"/>
        <v>101</v>
      </c>
      <c r="AS22" s="154">
        <f t="shared" si="8"/>
        <v>118</v>
      </c>
      <c r="AT22" s="4"/>
      <c r="AU22" s="4"/>
      <c r="AV22" s="4"/>
      <c r="AW22" s="4"/>
      <c r="AX22" s="4"/>
      <c r="AY22" s="4"/>
      <c r="AZ22" s="4"/>
      <c r="BA22" s="4"/>
    </row>
    <row r="23" ht="15.75" customHeight="1">
      <c r="A23" s="137" t="s">
        <v>93</v>
      </c>
      <c r="B23" s="187">
        <f t="shared" ref="B23:AB23" si="31">SUM(B24:B28)</f>
        <v>0</v>
      </c>
      <c r="C23" s="187">
        <f t="shared" si="31"/>
        <v>0</v>
      </c>
      <c r="D23" s="187">
        <f t="shared" si="31"/>
        <v>0</v>
      </c>
      <c r="E23" s="187">
        <f t="shared" si="31"/>
        <v>0</v>
      </c>
      <c r="F23" s="187">
        <f t="shared" si="31"/>
        <v>0</v>
      </c>
      <c r="G23" s="187">
        <f t="shared" si="31"/>
        <v>0</v>
      </c>
      <c r="H23" s="187">
        <f t="shared" si="31"/>
        <v>49</v>
      </c>
      <c r="I23" s="187">
        <f t="shared" si="31"/>
        <v>49</v>
      </c>
      <c r="J23" s="187">
        <f t="shared" si="31"/>
        <v>6</v>
      </c>
      <c r="K23" s="187">
        <f t="shared" si="31"/>
        <v>631</v>
      </c>
      <c r="L23" s="187">
        <f t="shared" si="31"/>
        <v>0</v>
      </c>
      <c r="M23" s="187">
        <f t="shared" si="31"/>
        <v>637</v>
      </c>
      <c r="N23" s="187">
        <f t="shared" si="31"/>
        <v>0</v>
      </c>
      <c r="O23" s="187">
        <f t="shared" si="31"/>
        <v>0</v>
      </c>
      <c r="P23" s="187">
        <f t="shared" si="31"/>
        <v>61</v>
      </c>
      <c r="Q23" s="187">
        <f t="shared" si="31"/>
        <v>61</v>
      </c>
      <c r="R23" s="187">
        <f t="shared" si="31"/>
        <v>747</v>
      </c>
      <c r="S23" s="187">
        <f t="shared" si="31"/>
        <v>0</v>
      </c>
      <c r="T23" s="187">
        <f t="shared" si="31"/>
        <v>0</v>
      </c>
      <c r="U23" s="187">
        <f t="shared" si="31"/>
        <v>2790</v>
      </c>
      <c r="V23" s="187">
        <f t="shared" si="31"/>
        <v>2790</v>
      </c>
      <c r="W23" s="187">
        <f t="shared" si="31"/>
        <v>1083</v>
      </c>
      <c r="X23" s="187">
        <f t="shared" si="31"/>
        <v>2172</v>
      </c>
      <c r="Y23" s="187">
        <f t="shared" si="31"/>
        <v>2790</v>
      </c>
      <c r="Z23" s="187">
        <f t="shared" si="31"/>
        <v>2812</v>
      </c>
      <c r="AA23" s="187">
        <f t="shared" si="31"/>
        <v>2714</v>
      </c>
      <c r="AB23" s="187">
        <f t="shared" si="31"/>
        <v>1</v>
      </c>
      <c r="AC23" s="214"/>
      <c r="AD23" s="214"/>
      <c r="AE23" s="187">
        <f t="shared" ref="AE23:AR23" si="32">SUM(AE24:AE28)</f>
        <v>3256</v>
      </c>
      <c r="AF23" s="187">
        <f t="shared" si="32"/>
        <v>2812</v>
      </c>
      <c r="AG23" s="187">
        <f t="shared" si="32"/>
        <v>2714</v>
      </c>
      <c r="AH23" s="187">
        <f t="shared" si="32"/>
        <v>3256</v>
      </c>
      <c r="AI23" s="141">
        <f t="shared" si="32"/>
        <v>8782</v>
      </c>
      <c r="AJ23" s="141">
        <f t="shared" si="32"/>
        <v>0</v>
      </c>
      <c r="AK23" s="141">
        <f t="shared" si="32"/>
        <v>0</v>
      </c>
      <c r="AL23" s="141">
        <f t="shared" si="32"/>
        <v>0</v>
      </c>
      <c r="AM23" s="141">
        <f t="shared" si="32"/>
        <v>0</v>
      </c>
      <c r="AN23" s="141">
        <f t="shared" si="32"/>
        <v>0</v>
      </c>
      <c r="AO23" s="141">
        <f t="shared" si="32"/>
        <v>0</v>
      </c>
      <c r="AP23" s="141">
        <f t="shared" si="32"/>
        <v>0</v>
      </c>
      <c r="AQ23" s="141">
        <f t="shared" si="32"/>
        <v>0</v>
      </c>
      <c r="AR23" s="141">
        <f t="shared" si="32"/>
        <v>11572</v>
      </c>
      <c r="AS23" s="141">
        <f t="shared" si="8"/>
        <v>12319</v>
      </c>
      <c r="AT23" s="4"/>
      <c r="AU23" s="4"/>
      <c r="AV23" s="4"/>
      <c r="AW23" s="4"/>
      <c r="AX23" s="4"/>
      <c r="AY23" s="4"/>
      <c r="AZ23" s="4"/>
      <c r="BA23" s="4"/>
    </row>
    <row r="24" ht="15.75" customHeight="1">
      <c r="A24" s="167" t="s">
        <v>94</v>
      </c>
      <c r="B24" s="188">
        <v>0.0</v>
      </c>
      <c r="C24" s="188">
        <v>0.0</v>
      </c>
      <c r="D24" s="188">
        <v>0.0</v>
      </c>
      <c r="E24" s="188">
        <f t="shared" ref="E24:E28" si="33">SUM(B24:D24)</f>
        <v>0</v>
      </c>
      <c r="F24" s="188">
        <v>0.0</v>
      </c>
      <c r="G24" s="188">
        <v>0.0</v>
      </c>
      <c r="H24" s="186"/>
      <c r="I24" s="188">
        <f t="shared" ref="I24:I28" si="34">SUM(F24:H24)</f>
        <v>0</v>
      </c>
      <c r="J24" s="186"/>
      <c r="K24" s="186"/>
      <c r="L24" s="188">
        <v>0.0</v>
      </c>
      <c r="M24" s="188">
        <f t="shared" ref="M24:M28" si="35">SUM(J24:L24)</f>
        <v>0</v>
      </c>
      <c r="N24" s="188">
        <v>0.0</v>
      </c>
      <c r="O24" s="186"/>
      <c r="P24" s="188">
        <v>3.0</v>
      </c>
      <c r="Q24" s="188">
        <f t="shared" ref="Q24:Q28" si="36">SUM(N24:P24)</f>
        <v>3</v>
      </c>
      <c r="R24" s="188">
        <f t="shared" ref="R24:R28" si="37">SUM(E24,I24,M24,Q24)</f>
        <v>3</v>
      </c>
      <c r="S24" s="188"/>
      <c r="T24" s="188"/>
      <c r="U24" s="188">
        <v>0.0</v>
      </c>
      <c r="V24" s="188">
        <f t="shared" ref="V24:V28" si="38">SUM(S24:U24)</f>
        <v>0</v>
      </c>
      <c r="W24" s="188">
        <v>0.0</v>
      </c>
      <c r="X24" s="188">
        <v>0.0</v>
      </c>
      <c r="Y24" s="226">
        <v>0.0</v>
      </c>
      <c r="Z24" s="188">
        <v>0.0</v>
      </c>
      <c r="AA24" s="188">
        <v>0.0</v>
      </c>
      <c r="AB24" s="188">
        <v>0.0</v>
      </c>
      <c r="AC24" s="190"/>
      <c r="AD24" s="190"/>
      <c r="AE24" s="190"/>
      <c r="AF24" s="188">
        <v>0.0</v>
      </c>
      <c r="AG24" s="188">
        <v>0.0</v>
      </c>
      <c r="AH24" s="188"/>
      <c r="AI24" s="154">
        <f t="shared" ref="AI24:AI28" si="39">SUM(AF24:AH24)</f>
        <v>0</v>
      </c>
      <c r="AJ24" s="154"/>
      <c r="AK24" s="154"/>
      <c r="AL24" s="125"/>
      <c r="AM24" s="154">
        <f t="shared" ref="AM24:AM28" si="40">SUM(AJ24:AL24)</f>
        <v>0</v>
      </c>
      <c r="AN24" s="154"/>
      <c r="AO24" s="154"/>
      <c r="AP24" s="125"/>
      <c r="AQ24" s="154">
        <f t="shared" ref="AQ24:AQ28" si="41">SUM(AN24:AP24)</f>
        <v>0</v>
      </c>
      <c r="AR24" s="154">
        <f t="shared" ref="AR24:AR28" si="42">SUM(V24,AI24,AM24,AQ24)</f>
        <v>0</v>
      </c>
      <c r="AS24" s="154">
        <f t="shared" si="8"/>
        <v>3</v>
      </c>
      <c r="AT24" s="4"/>
      <c r="AU24" s="4"/>
      <c r="AV24" s="4"/>
      <c r="AW24" s="4"/>
      <c r="AX24" s="4"/>
      <c r="AY24" s="4"/>
      <c r="AZ24" s="4"/>
      <c r="BA24" s="4"/>
    </row>
    <row r="25" ht="15.75" customHeight="1">
      <c r="A25" s="167" t="s">
        <v>95</v>
      </c>
      <c r="B25" s="188">
        <v>0.0</v>
      </c>
      <c r="C25" s="188">
        <v>0.0</v>
      </c>
      <c r="D25" s="188">
        <v>0.0</v>
      </c>
      <c r="E25" s="188">
        <f t="shared" si="33"/>
        <v>0</v>
      </c>
      <c r="F25" s="188">
        <v>0.0</v>
      </c>
      <c r="G25" s="188">
        <v>0.0</v>
      </c>
      <c r="H25" s="188">
        <v>28.0</v>
      </c>
      <c r="I25" s="188">
        <f t="shared" si="34"/>
        <v>28</v>
      </c>
      <c r="J25" s="188">
        <v>6.0</v>
      </c>
      <c r="K25" s="188">
        <v>252.0</v>
      </c>
      <c r="L25" s="188">
        <v>0.0</v>
      </c>
      <c r="M25" s="188">
        <f t="shared" si="35"/>
        <v>258</v>
      </c>
      <c r="N25" s="188">
        <v>0.0</v>
      </c>
      <c r="O25" s="186"/>
      <c r="P25" s="188">
        <v>51.0</v>
      </c>
      <c r="Q25" s="188">
        <f t="shared" si="36"/>
        <v>51</v>
      </c>
      <c r="R25" s="188">
        <f t="shared" si="37"/>
        <v>337</v>
      </c>
      <c r="S25" s="188"/>
      <c r="T25" s="188"/>
      <c r="U25" s="188">
        <f>16+1081</f>
        <v>1097</v>
      </c>
      <c r="V25" s="188">
        <f t="shared" si="38"/>
        <v>1097</v>
      </c>
      <c r="W25" s="227">
        <v>557.0</v>
      </c>
      <c r="X25" s="188">
        <v>1057.0</v>
      </c>
      <c r="Y25" s="226">
        <f>16+1081</f>
        <v>1097</v>
      </c>
      <c r="Z25" s="188">
        <v>1540.0</v>
      </c>
      <c r="AA25" s="188">
        <v>1509.0</v>
      </c>
      <c r="AB25" s="188">
        <v>1.0</v>
      </c>
      <c r="AC25" s="190"/>
      <c r="AD25" s="190"/>
      <c r="AE25" s="227">
        <f t="shared" ref="AE25:AE28" si="43">SUM(W25:X25,AB25)</f>
        <v>1615</v>
      </c>
      <c r="AF25" s="188">
        <v>1540.0</v>
      </c>
      <c r="AG25" s="188">
        <v>1509.0</v>
      </c>
      <c r="AH25" s="188">
        <v>1615.0</v>
      </c>
      <c r="AI25" s="154">
        <f t="shared" si="39"/>
        <v>4664</v>
      </c>
      <c r="AJ25" s="154"/>
      <c r="AK25" s="154"/>
      <c r="AL25" s="154"/>
      <c r="AM25" s="154">
        <f t="shared" si="40"/>
        <v>0</v>
      </c>
      <c r="AN25" s="154"/>
      <c r="AO25" s="154"/>
      <c r="AP25" s="154"/>
      <c r="AQ25" s="154">
        <f t="shared" si="41"/>
        <v>0</v>
      </c>
      <c r="AR25" s="154">
        <f t="shared" si="42"/>
        <v>5761</v>
      </c>
      <c r="AS25" s="154">
        <f t="shared" si="8"/>
        <v>6098</v>
      </c>
      <c r="AT25" s="4"/>
      <c r="AU25" s="1"/>
      <c r="AV25" s="4"/>
      <c r="AW25" s="4"/>
      <c r="AX25" s="4"/>
      <c r="AY25" s="4"/>
      <c r="AZ25" s="4"/>
      <c r="BA25" s="4"/>
    </row>
    <row r="26" ht="15.75" customHeight="1">
      <c r="A26" s="167" t="s">
        <v>96</v>
      </c>
      <c r="B26" s="188">
        <v>0.0</v>
      </c>
      <c r="C26" s="188">
        <v>0.0</v>
      </c>
      <c r="D26" s="188">
        <v>0.0</v>
      </c>
      <c r="E26" s="188">
        <f t="shared" si="33"/>
        <v>0</v>
      </c>
      <c r="F26" s="188">
        <v>0.0</v>
      </c>
      <c r="G26" s="188">
        <v>0.0</v>
      </c>
      <c r="H26" s="188">
        <v>2.0</v>
      </c>
      <c r="I26" s="188">
        <f t="shared" si="34"/>
        <v>2</v>
      </c>
      <c r="J26" s="188">
        <v>0.0</v>
      </c>
      <c r="K26" s="188">
        <v>254.0</v>
      </c>
      <c r="L26" s="188">
        <v>0.0</v>
      </c>
      <c r="M26" s="188">
        <f t="shared" si="35"/>
        <v>254</v>
      </c>
      <c r="N26" s="188">
        <v>0.0</v>
      </c>
      <c r="O26" s="186"/>
      <c r="P26" s="188">
        <v>6.0</v>
      </c>
      <c r="Q26" s="188">
        <f t="shared" si="36"/>
        <v>6</v>
      </c>
      <c r="R26" s="188">
        <f t="shared" si="37"/>
        <v>262</v>
      </c>
      <c r="S26" s="188"/>
      <c r="T26" s="188"/>
      <c r="U26" s="188">
        <f>122+1041</f>
        <v>1163</v>
      </c>
      <c r="V26" s="188">
        <f t="shared" si="38"/>
        <v>1163</v>
      </c>
      <c r="W26" s="188">
        <v>270.0</v>
      </c>
      <c r="X26" s="188">
        <v>811.0</v>
      </c>
      <c r="Y26" s="226">
        <f>122+1041</f>
        <v>1163</v>
      </c>
      <c r="Z26" s="188">
        <f>2+1058</f>
        <v>1060</v>
      </c>
      <c r="AA26" s="188">
        <v>765.0</v>
      </c>
      <c r="AB26" s="188">
        <v>0.0</v>
      </c>
      <c r="AC26" s="190"/>
      <c r="AD26" s="190"/>
      <c r="AE26" s="227">
        <f t="shared" si="43"/>
        <v>1081</v>
      </c>
      <c r="AF26" s="188">
        <f>2+1058</f>
        <v>1060</v>
      </c>
      <c r="AG26" s="188">
        <v>765.0</v>
      </c>
      <c r="AH26" s="188">
        <v>1081.0</v>
      </c>
      <c r="AI26" s="154">
        <f t="shared" si="39"/>
        <v>2906</v>
      </c>
      <c r="AJ26" s="154"/>
      <c r="AK26" s="154"/>
      <c r="AL26" s="154"/>
      <c r="AM26" s="154">
        <f t="shared" si="40"/>
        <v>0</v>
      </c>
      <c r="AN26" s="154"/>
      <c r="AO26" s="154"/>
      <c r="AP26" s="154"/>
      <c r="AQ26" s="154">
        <f t="shared" si="41"/>
        <v>0</v>
      </c>
      <c r="AR26" s="154">
        <f t="shared" si="42"/>
        <v>4069</v>
      </c>
      <c r="AS26" s="154">
        <f t="shared" si="8"/>
        <v>4331</v>
      </c>
      <c r="AT26" s="4"/>
      <c r="AU26" s="164"/>
      <c r="AV26" s="4"/>
      <c r="AW26" s="4"/>
      <c r="AX26" s="4"/>
      <c r="AY26" s="4"/>
      <c r="AZ26" s="4"/>
      <c r="BA26" s="4"/>
    </row>
    <row r="27" ht="15.75" customHeight="1">
      <c r="A27" s="167" t="s">
        <v>97</v>
      </c>
      <c r="B27" s="188">
        <v>0.0</v>
      </c>
      <c r="C27" s="188">
        <v>0.0</v>
      </c>
      <c r="D27" s="188">
        <v>0.0</v>
      </c>
      <c r="E27" s="188">
        <f t="shared" si="33"/>
        <v>0</v>
      </c>
      <c r="F27" s="188">
        <v>0.0</v>
      </c>
      <c r="G27" s="188">
        <v>0.0</v>
      </c>
      <c r="H27" s="188">
        <v>9.0</v>
      </c>
      <c r="I27" s="188">
        <f t="shared" si="34"/>
        <v>9</v>
      </c>
      <c r="J27" s="188">
        <v>0.0</v>
      </c>
      <c r="K27" s="188">
        <v>54.0</v>
      </c>
      <c r="L27" s="188">
        <v>0.0</v>
      </c>
      <c r="M27" s="188">
        <f t="shared" si="35"/>
        <v>54</v>
      </c>
      <c r="N27" s="188">
        <v>0.0</v>
      </c>
      <c r="O27" s="186"/>
      <c r="P27" s="188">
        <v>1.0</v>
      </c>
      <c r="Q27" s="188">
        <f t="shared" si="36"/>
        <v>1</v>
      </c>
      <c r="R27" s="188">
        <f t="shared" si="37"/>
        <v>64</v>
      </c>
      <c r="S27" s="188"/>
      <c r="T27" s="188"/>
      <c r="U27" s="188">
        <f>18+331</f>
        <v>349</v>
      </c>
      <c r="V27" s="188">
        <f t="shared" si="38"/>
        <v>349</v>
      </c>
      <c r="W27" s="188">
        <v>93.0</v>
      </c>
      <c r="X27" s="188">
        <v>222.0</v>
      </c>
      <c r="Y27" s="226">
        <f>18+331</f>
        <v>349</v>
      </c>
      <c r="Z27" s="188">
        <v>134.0</v>
      </c>
      <c r="AA27" s="188">
        <v>343.0</v>
      </c>
      <c r="AB27" s="188">
        <v>0.0</v>
      </c>
      <c r="AC27" s="190"/>
      <c r="AD27" s="190"/>
      <c r="AE27" s="227">
        <f t="shared" si="43"/>
        <v>315</v>
      </c>
      <c r="AF27" s="188">
        <v>134.0</v>
      </c>
      <c r="AG27" s="188">
        <v>343.0</v>
      </c>
      <c r="AH27" s="188">
        <v>315.0</v>
      </c>
      <c r="AI27" s="154">
        <f t="shared" si="39"/>
        <v>792</v>
      </c>
      <c r="AJ27" s="154"/>
      <c r="AK27" s="154"/>
      <c r="AL27" s="154"/>
      <c r="AM27" s="154">
        <f t="shared" si="40"/>
        <v>0</v>
      </c>
      <c r="AN27" s="154"/>
      <c r="AO27" s="154"/>
      <c r="AP27" s="154"/>
      <c r="AQ27" s="154">
        <f t="shared" si="41"/>
        <v>0</v>
      </c>
      <c r="AR27" s="154">
        <f t="shared" si="42"/>
        <v>1141</v>
      </c>
      <c r="AS27" s="154">
        <f t="shared" si="8"/>
        <v>1205</v>
      </c>
      <c r="AT27" s="4"/>
      <c r="AU27" s="164"/>
      <c r="AV27" s="4"/>
      <c r="AW27" s="4"/>
      <c r="AX27" s="4"/>
      <c r="AY27" s="4"/>
      <c r="AZ27" s="4"/>
      <c r="BA27" s="4"/>
    </row>
    <row r="28" ht="15.75" customHeight="1">
      <c r="A28" s="167" t="s">
        <v>98</v>
      </c>
      <c r="B28" s="188">
        <v>0.0</v>
      </c>
      <c r="C28" s="188">
        <v>0.0</v>
      </c>
      <c r="D28" s="188">
        <v>0.0</v>
      </c>
      <c r="E28" s="188">
        <f t="shared" si="33"/>
        <v>0</v>
      </c>
      <c r="F28" s="188">
        <v>0.0</v>
      </c>
      <c r="G28" s="188">
        <v>0.0</v>
      </c>
      <c r="H28" s="188">
        <v>10.0</v>
      </c>
      <c r="I28" s="188">
        <f t="shared" si="34"/>
        <v>10</v>
      </c>
      <c r="J28" s="188">
        <v>0.0</v>
      </c>
      <c r="K28" s="188">
        <v>71.0</v>
      </c>
      <c r="L28" s="188">
        <v>0.0</v>
      </c>
      <c r="M28" s="188">
        <f t="shared" si="35"/>
        <v>71</v>
      </c>
      <c r="N28" s="188">
        <v>0.0</v>
      </c>
      <c r="O28" s="186"/>
      <c r="P28" s="188">
        <v>0.0</v>
      </c>
      <c r="Q28" s="188">
        <f t="shared" si="36"/>
        <v>0</v>
      </c>
      <c r="R28" s="188">
        <f t="shared" si="37"/>
        <v>81</v>
      </c>
      <c r="S28" s="186"/>
      <c r="T28" s="188"/>
      <c r="U28" s="188">
        <f>15+166</f>
        <v>181</v>
      </c>
      <c r="V28" s="188">
        <f t="shared" si="38"/>
        <v>181</v>
      </c>
      <c r="W28" s="188">
        <v>163.0</v>
      </c>
      <c r="X28" s="188">
        <v>82.0</v>
      </c>
      <c r="Y28" s="226">
        <f>15+166</f>
        <v>181</v>
      </c>
      <c r="Z28" s="188">
        <v>78.0</v>
      </c>
      <c r="AA28" s="188">
        <v>97.0</v>
      </c>
      <c r="AB28" s="188">
        <v>0.0</v>
      </c>
      <c r="AC28" s="190"/>
      <c r="AD28" s="190"/>
      <c r="AE28" s="227">
        <f t="shared" si="43"/>
        <v>245</v>
      </c>
      <c r="AF28" s="188">
        <v>78.0</v>
      </c>
      <c r="AG28" s="188">
        <v>97.0</v>
      </c>
      <c r="AH28" s="188">
        <v>245.0</v>
      </c>
      <c r="AI28" s="154">
        <f t="shared" si="39"/>
        <v>420</v>
      </c>
      <c r="AJ28" s="154"/>
      <c r="AK28" s="154"/>
      <c r="AL28" s="154"/>
      <c r="AM28" s="154">
        <f t="shared" si="40"/>
        <v>0</v>
      </c>
      <c r="AN28" s="154"/>
      <c r="AO28" s="154"/>
      <c r="AP28" s="154"/>
      <c r="AQ28" s="154">
        <f t="shared" si="41"/>
        <v>0</v>
      </c>
      <c r="AR28" s="154">
        <f t="shared" si="42"/>
        <v>601</v>
      </c>
      <c r="AS28" s="154">
        <f t="shared" si="8"/>
        <v>682</v>
      </c>
      <c r="AT28" s="4"/>
      <c r="AU28" s="164"/>
      <c r="AV28" s="4"/>
      <c r="AW28" s="4"/>
      <c r="AX28" s="4"/>
      <c r="AY28" s="4"/>
      <c r="AZ28" s="4"/>
      <c r="BA28" s="4"/>
    </row>
    <row r="29" ht="15.75" customHeight="1">
      <c r="A29" s="137" t="s">
        <v>99</v>
      </c>
      <c r="B29" s="187">
        <f t="shared" ref="B29:AB29" si="44">SUM(B30:B36)</f>
        <v>2712</v>
      </c>
      <c r="C29" s="187">
        <f t="shared" si="44"/>
        <v>3824</v>
      </c>
      <c r="D29" s="187">
        <f t="shared" si="44"/>
        <v>1356</v>
      </c>
      <c r="E29" s="187">
        <f t="shared" si="44"/>
        <v>7892</v>
      </c>
      <c r="F29" s="187">
        <f t="shared" si="44"/>
        <v>1182</v>
      </c>
      <c r="G29" s="187">
        <f t="shared" si="44"/>
        <v>1356</v>
      </c>
      <c r="H29" s="187">
        <f t="shared" si="44"/>
        <v>455</v>
      </c>
      <c r="I29" s="187">
        <f t="shared" si="44"/>
        <v>2993</v>
      </c>
      <c r="J29" s="187">
        <f t="shared" si="44"/>
        <v>1189</v>
      </c>
      <c r="K29" s="187">
        <f t="shared" si="44"/>
        <v>20</v>
      </c>
      <c r="L29" s="187">
        <f t="shared" si="44"/>
        <v>1167</v>
      </c>
      <c r="M29" s="187">
        <f t="shared" si="44"/>
        <v>2376</v>
      </c>
      <c r="N29" s="187">
        <f t="shared" si="44"/>
        <v>956</v>
      </c>
      <c r="O29" s="187">
        <f t="shared" si="44"/>
        <v>1505</v>
      </c>
      <c r="P29" s="187">
        <f t="shared" si="44"/>
        <v>1189</v>
      </c>
      <c r="Q29" s="187">
        <f t="shared" si="44"/>
        <v>3650</v>
      </c>
      <c r="R29" s="187">
        <f t="shared" si="44"/>
        <v>16911</v>
      </c>
      <c r="S29" s="187">
        <f t="shared" si="44"/>
        <v>839</v>
      </c>
      <c r="T29" s="187">
        <f t="shared" si="44"/>
        <v>1091</v>
      </c>
      <c r="U29" s="187">
        <f t="shared" si="44"/>
        <v>2106</v>
      </c>
      <c r="V29" s="187">
        <f t="shared" si="44"/>
        <v>4036</v>
      </c>
      <c r="W29" s="187">
        <f t="shared" si="44"/>
        <v>839</v>
      </c>
      <c r="X29" s="187">
        <f t="shared" si="44"/>
        <v>1091</v>
      </c>
      <c r="Y29" s="187">
        <f t="shared" si="44"/>
        <v>2106</v>
      </c>
      <c r="Z29" s="187">
        <f t="shared" si="44"/>
        <v>2295</v>
      </c>
      <c r="AA29" s="187">
        <f t="shared" si="44"/>
        <v>1853</v>
      </c>
      <c r="AB29" s="187">
        <f t="shared" si="44"/>
        <v>1572</v>
      </c>
      <c r="AC29" s="141"/>
      <c r="AD29" s="141"/>
      <c r="AE29" s="141"/>
      <c r="AF29" s="187">
        <f t="shared" ref="AF29:AR29" si="45">SUM(AF30:AF36)</f>
        <v>2295</v>
      </c>
      <c r="AG29" s="187">
        <f t="shared" si="45"/>
        <v>1853</v>
      </c>
      <c r="AH29" s="187">
        <f t="shared" si="45"/>
        <v>1572</v>
      </c>
      <c r="AI29" s="141">
        <f t="shared" si="45"/>
        <v>5720</v>
      </c>
      <c r="AJ29" s="141">
        <f t="shared" si="45"/>
        <v>0</v>
      </c>
      <c r="AK29" s="141">
        <f t="shared" si="45"/>
        <v>0</v>
      </c>
      <c r="AL29" s="141">
        <f t="shared" si="45"/>
        <v>0</v>
      </c>
      <c r="AM29" s="141">
        <f t="shared" si="45"/>
        <v>0</v>
      </c>
      <c r="AN29" s="141">
        <f t="shared" si="45"/>
        <v>0</v>
      </c>
      <c r="AO29" s="141">
        <f t="shared" si="45"/>
        <v>0</v>
      </c>
      <c r="AP29" s="141">
        <f t="shared" si="45"/>
        <v>0</v>
      </c>
      <c r="AQ29" s="141">
        <f t="shared" si="45"/>
        <v>0</v>
      </c>
      <c r="AR29" s="141">
        <f t="shared" si="45"/>
        <v>9756</v>
      </c>
      <c r="AS29" s="141">
        <f t="shared" si="8"/>
        <v>26667</v>
      </c>
      <c r="AT29" s="4"/>
      <c r="AU29" s="164"/>
      <c r="AV29" s="4"/>
      <c r="AW29" s="4"/>
      <c r="AX29" s="4"/>
      <c r="AY29" s="4"/>
      <c r="AZ29" s="4"/>
      <c r="BA29" s="4"/>
    </row>
    <row r="30" ht="15.75" customHeight="1">
      <c r="A30" s="167" t="s">
        <v>100</v>
      </c>
      <c r="B30" s="188">
        <v>19.0</v>
      </c>
      <c r="C30" s="188">
        <v>61.0</v>
      </c>
      <c r="D30" s="188">
        <v>151.0</v>
      </c>
      <c r="E30" s="188">
        <f t="shared" ref="E30:E36" si="46">SUM(B30:D30)</f>
        <v>231</v>
      </c>
      <c r="F30" s="188">
        <v>112.0</v>
      </c>
      <c r="G30" s="188">
        <v>151.0</v>
      </c>
      <c r="H30" s="188">
        <v>50.0</v>
      </c>
      <c r="I30" s="188">
        <f t="shared" ref="I30:I36" si="47">SUM(F30:H30)</f>
        <v>313</v>
      </c>
      <c r="J30" s="188">
        <v>91.0</v>
      </c>
      <c r="K30" s="186"/>
      <c r="L30" s="188">
        <v>0.0</v>
      </c>
      <c r="M30" s="188">
        <f t="shared" ref="M30:M36" si="48">SUM(J30:L30)</f>
        <v>91</v>
      </c>
      <c r="N30" s="188">
        <v>108.0</v>
      </c>
      <c r="O30" s="188">
        <v>103.0</v>
      </c>
      <c r="P30" s="188">
        <v>13.0</v>
      </c>
      <c r="Q30" s="188">
        <f t="shared" ref="Q30:Q36" si="49">SUM(N30:P30)</f>
        <v>224</v>
      </c>
      <c r="R30" s="188">
        <f t="shared" ref="R30:R36" si="50">SUM(E30,I30,M30,Q30)</f>
        <v>859</v>
      </c>
      <c r="S30" s="188">
        <v>74.0</v>
      </c>
      <c r="T30" s="188">
        <v>27.0</v>
      </c>
      <c r="U30" s="188">
        <v>226.0</v>
      </c>
      <c r="V30" s="188">
        <f t="shared" ref="V30:V36" si="51">SUM(S30:U30)</f>
        <v>327</v>
      </c>
      <c r="W30" s="188">
        <v>74.0</v>
      </c>
      <c r="X30" s="188">
        <v>27.0</v>
      </c>
      <c r="Y30" s="188">
        <v>226.0</v>
      </c>
      <c r="Z30" s="188">
        <v>47.0</v>
      </c>
      <c r="AA30" s="188">
        <v>8.0</v>
      </c>
      <c r="AB30" s="189">
        <v>17.0</v>
      </c>
      <c r="AC30" s="154"/>
      <c r="AD30" s="154"/>
      <c r="AE30" s="154"/>
      <c r="AF30" s="188">
        <v>47.0</v>
      </c>
      <c r="AG30" s="188">
        <v>8.0</v>
      </c>
      <c r="AH30" s="189">
        <v>17.0</v>
      </c>
      <c r="AI30" s="154">
        <f t="shared" ref="AI30:AI36" si="52">SUM(AF30:AH30)</f>
        <v>72</v>
      </c>
      <c r="AJ30" s="154"/>
      <c r="AK30" s="154"/>
      <c r="AL30" s="155"/>
      <c r="AM30" s="154">
        <f t="shared" ref="AM30:AM36" si="53">SUM(AJ30:AL30)</f>
        <v>0</v>
      </c>
      <c r="AN30" s="154"/>
      <c r="AO30" s="154"/>
      <c r="AP30" s="155"/>
      <c r="AQ30" s="154">
        <f t="shared" ref="AQ30:AQ36" si="54">SUM(AN30:AP30)</f>
        <v>0</v>
      </c>
      <c r="AR30" s="154">
        <f t="shared" ref="AR30:AR36" si="55">SUM(V30,AI30,AM30,AQ30)</f>
        <v>399</v>
      </c>
      <c r="AS30" s="154">
        <f t="shared" si="8"/>
        <v>1258</v>
      </c>
      <c r="AT30" s="4"/>
      <c r="AU30" s="164"/>
      <c r="AV30" s="4"/>
      <c r="AW30" s="4"/>
      <c r="AX30" s="4"/>
      <c r="AY30" s="4"/>
      <c r="AZ30" s="4"/>
      <c r="BA30" s="4"/>
    </row>
    <row r="31" ht="15.75" customHeight="1">
      <c r="A31" s="167" t="s">
        <v>101</v>
      </c>
      <c r="B31" s="188">
        <v>9.0</v>
      </c>
      <c r="C31" s="188">
        <v>78.0</v>
      </c>
      <c r="D31" s="188">
        <v>14.0</v>
      </c>
      <c r="E31" s="188">
        <f t="shared" si="46"/>
        <v>101</v>
      </c>
      <c r="F31" s="188">
        <v>18.0</v>
      </c>
      <c r="G31" s="188">
        <v>14.0</v>
      </c>
      <c r="H31" s="188">
        <v>10.0</v>
      </c>
      <c r="I31" s="188">
        <f t="shared" si="47"/>
        <v>42</v>
      </c>
      <c r="J31" s="188">
        <v>3.0</v>
      </c>
      <c r="K31" s="188">
        <v>20.0</v>
      </c>
      <c r="L31" s="188">
        <v>63.0</v>
      </c>
      <c r="M31" s="188">
        <f t="shared" si="48"/>
        <v>86</v>
      </c>
      <c r="N31" s="188">
        <v>17.0</v>
      </c>
      <c r="O31" s="188">
        <v>15.0</v>
      </c>
      <c r="P31" s="188">
        <v>0.0</v>
      </c>
      <c r="Q31" s="188">
        <f t="shared" si="49"/>
        <v>32</v>
      </c>
      <c r="R31" s="188">
        <f t="shared" si="50"/>
        <v>261</v>
      </c>
      <c r="S31" s="188">
        <v>1.0</v>
      </c>
      <c r="T31" s="188">
        <v>3.0</v>
      </c>
      <c r="U31" s="188">
        <v>59.0</v>
      </c>
      <c r="V31" s="188">
        <f t="shared" si="51"/>
        <v>63</v>
      </c>
      <c r="W31" s="188">
        <v>1.0</v>
      </c>
      <c r="X31" s="188">
        <v>3.0</v>
      </c>
      <c r="Y31" s="188">
        <v>59.0</v>
      </c>
      <c r="Z31" s="188">
        <v>48.0</v>
      </c>
      <c r="AA31" s="188">
        <v>10.0</v>
      </c>
      <c r="AB31" s="188">
        <v>1.0</v>
      </c>
      <c r="AC31" s="154"/>
      <c r="AD31" s="154"/>
      <c r="AE31" s="154"/>
      <c r="AF31" s="188">
        <v>48.0</v>
      </c>
      <c r="AG31" s="188">
        <v>10.0</v>
      </c>
      <c r="AH31" s="188">
        <v>1.0</v>
      </c>
      <c r="AI31" s="154">
        <f t="shared" si="52"/>
        <v>59</v>
      </c>
      <c r="AJ31" s="154"/>
      <c r="AK31" s="154"/>
      <c r="AL31" s="154"/>
      <c r="AM31" s="154">
        <f t="shared" si="53"/>
        <v>0</v>
      </c>
      <c r="AN31" s="154"/>
      <c r="AO31" s="154"/>
      <c r="AP31" s="154"/>
      <c r="AQ31" s="154">
        <f t="shared" si="54"/>
        <v>0</v>
      </c>
      <c r="AR31" s="154">
        <f t="shared" si="55"/>
        <v>122</v>
      </c>
      <c r="AS31" s="154">
        <f t="shared" si="8"/>
        <v>383</v>
      </c>
      <c r="AT31" s="4"/>
      <c r="AU31" s="164"/>
      <c r="AV31" s="4"/>
      <c r="AW31" s="4"/>
      <c r="AX31" s="4"/>
      <c r="AY31" s="4"/>
      <c r="AZ31" s="4"/>
      <c r="BA31" s="4"/>
    </row>
    <row r="32" ht="15.75" customHeight="1">
      <c r="A32" s="167" t="s">
        <v>102</v>
      </c>
      <c r="B32" s="188">
        <v>61.0</v>
      </c>
      <c r="C32" s="188">
        <v>233.0</v>
      </c>
      <c r="D32" s="188">
        <v>21.0</v>
      </c>
      <c r="E32" s="188">
        <f t="shared" si="46"/>
        <v>315</v>
      </c>
      <c r="F32" s="188">
        <v>56.0</v>
      </c>
      <c r="G32" s="188">
        <v>21.0</v>
      </c>
      <c r="H32" s="188">
        <v>98.0</v>
      </c>
      <c r="I32" s="188">
        <f t="shared" si="47"/>
        <v>175</v>
      </c>
      <c r="J32" s="188">
        <v>55.0</v>
      </c>
      <c r="K32" s="186"/>
      <c r="L32" s="188">
        <v>590.0</v>
      </c>
      <c r="M32" s="188">
        <f t="shared" si="48"/>
        <v>645</v>
      </c>
      <c r="N32" s="188">
        <v>158.0</v>
      </c>
      <c r="O32" s="188">
        <v>141.0</v>
      </c>
      <c r="P32" s="188">
        <v>54.0</v>
      </c>
      <c r="Q32" s="188">
        <f t="shared" si="49"/>
        <v>353</v>
      </c>
      <c r="R32" s="188">
        <f t="shared" si="50"/>
        <v>1488</v>
      </c>
      <c r="S32" s="188">
        <v>30.0</v>
      </c>
      <c r="T32" s="188">
        <v>94.0</v>
      </c>
      <c r="U32" s="188">
        <v>224.0</v>
      </c>
      <c r="V32" s="188">
        <f t="shared" si="51"/>
        <v>348</v>
      </c>
      <c r="W32" s="188">
        <v>30.0</v>
      </c>
      <c r="X32" s="188">
        <v>94.0</v>
      </c>
      <c r="Y32" s="188">
        <v>224.0</v>
      </c>
      <c r="Z32" s="188">
        <v>96.0</v>
      </c>
      <c r="AA32" s="188">
        <v>13.0</v>
      </c>
      <c r="AB32" s="188">
        <v>77.0</v>
      </c>
      <c r="AC32" s="154"/>
      <c r="AD32" s="154"/>
      <c r="AE32" s="154"/>
      <c r="AF32" s="188">
        <v>96.0</v>
      </c>
      <c r="AG32" s="188">
        <v>13.0</v>
      </c>
      <c r="AH32" s="188">
        <v>77.0</v>
      </c>
      <c r="AI32" s="154">
        <f t="shared" si="52"/>
        <v>186</v>
      </c>
      <c r="AJ32" s="154"/>
      <c r="AK32" s="154"/>
      <c r="AL32" s="154"/>
      <c r="AM32" s="154">
        <f t="shared" si="53"/>
        <v>0</v>
      </c>
      <c r="AN32" s="154"/>
      <c r="AO32" s="154"/>
      <c r="AP32" s="154"/>
      <c r="AQ32" s="154">
        <f t="shared" si="54"/>
        <v>0</v>
      </c>
      <c r="AR32" s="154">
        <f t="shared" si="55"/>
        <v>534</v>
      </c>
      <c r="AS32" s="154">
        <f t="shared" si="8"/>
        <v>2022</v>
      </c>
      <c r="AT32" s="4"/>
      <c r="AU32" s="164"/>
      <c r="AV32" s="4"/>
      <c r="AW32" s="4"/>
      <c r="AX32" s="4"/>
      <c r="AY32" s="4"/>
      <c r="AZ32" s="4"/>
      <c r="BA32" s="4"/>
    </row>
    <row r="33" ht="15.75" customHeight="1">
      <c r="A33" s="167" t="s">
        <v>103</v>
      </c>
      <c r="B33" s="188">
        <v>585.0</v>
      </c>
      <c r="C33" s="188">
        <v>640.0</v>
      </c>
      <c r="D33" s="188">
        <v>344.0</v>
      </c>
      <c r="E33" s="188">
        <f t="shared" si="46"/>
        <v>1569</v>
      </c>
      <c r="F33" s="188">
        <v>11.0</v>
      </c>
      <c r="G33" s="188">
        <v>344.0</v>
      </c>
      <c r="H33" s="188">
        <v>9.0</v>
      </c>
      <c r="I33" s="188">
        <f t="shared" si="47"/>
        <v>364</v>
      </c>
      <c r="J33" s="188">
        <v>356.0</v>
      </c>
      <c r="K33" s="186"/>
      <c r="L33" s="186"/>
      <c r="M33" s="188">
        <f t="shared" si="48"/>
        <v>356</v>
      </c>
      <c r="N33" s="186"/>
      <c r="O33" s="186"/>
      <c r="P33" s="188">
        <v>881.0</v>
      </c>
      <c r="Q33" s="188">
        <f t="shared" si="49"/>
        <v>881</v>
      </c>
      <c r="R33" s="188">
        <f t="shared" si="50"/>
        <v>3170</v>
      </c>
      <c r="S33" s="188">
        <v>459.0</v>
      </c>
      <c r="T33" s="188">
        <v>627.0</v>
      </c>
      <c r="U33" s="188">
        <v>986.0</v>
      </c>
      <c r="V33" s="188">
        <f t="shared" si="51"/>
        <v>2072</v>
      </c>
      <c r="W33" s="188">
        <v>459.0</v>
      </c>
      <c r="X33" s="188">
        <v>627.0</v>
      </c>
      <c r="Y33" s="188">
        <v>986.0</v>
      </c>
      <c r="Z33" s="188">
        <v>1190.0</v>
      </c>
      <c r="AA33" s="188">
        <v>1291.0</v>
      </c>
      <c r="AB33" s="188">
        <v>1323.0</v>
      </c>
      <c r="AC33" s="154"/>
      <c r="AD33" s="154"/>
      <c r="AE33" s="154"/>
      <c r="AF33" s="188">
        <v>1190.0</v>
      </c>
      <c r="AG33" s="188">
        <v>1291.0</v>
      </c>
      <c r="AH33" s="188">
        <v>1323.0</v>
      </c>
      <c r="AI33" s="154">
        <f t="shared" si="52"/>
        <v>3804</v>
      </c>
      <c r="AJ33" s="154"/>
      <c r="AK33" s="154"/>
      <c r="AL33" s="154"/>
      <c r="AM33" s="154">
        <f t="shared" si="53"/>
        <v>0</v>
      </c>
      <c r="AN33" s="154"/>
      <c r="AO33" s="154"/>
      <c r="AP33" s="154"/>
      <c r="AQ33" s="154">
        <f t="shared" si="54"/>
        <v>0</v>
      </c>
      <c r="AR33" s="154">
        <f t="shared" si="55"/>
        <v>5876</v>
      </c>
      <c r="AS33" s="154">
        <f t="shared" si="8"/>
        <v>9046</v>
      </c>
      <c r="AT33" s="4"/>
      <c r="AU33" s="164"/>
      <c r="AV33" s="4"/>
      <c r="AW33" s="4"/>
      <c r="AX33" s="4"/>
      <c r="AY33" s="4"/>
      <c r="AZ33" s="4"/>
      <c r="BA33" s="4"/>
    </row>
    <row r="34" ht="15.75" customHeight="1">
      <c r="A34" s="169" t="s">
        <v>104</v>
      </c>
      <c r="B34" s="188">
        <v>1573.0</v>
      </c>
      <c r="C34" s="188">
        <v>133.0</v>
      </c>
      <c r="D34" s="188">
        <v>108.0</v>
      </c>
      <c r="E34" s="188">
        <f t="shared" si="46"/>
        <v>1814</v>
      </c>
      <c r="F34" s="188">
        <v>293.0</v>
      </c>
      <c r="G34" s="188">
        <v>108.0</v>
      </c>
      <c r="H34" s="188">
        <v>53.0</v>
      </c>
      <c r="I34" s="188">
        <f t="shared" si="47"/>
        <v>454</v>
      </c>
      <c r="J34" s="188">
        <v>213.0</v>
      </c>
      <c r="K34" s="188">
        <v>0.0</v>
      </c>
      <c r="L34" s="188">
        <v>0.0</v>
      </c>
      <c r="M34" s="188">
        <f t="shared" si="48"/>
        <v>213</v>
      </c>
      <c r="N34" s="188">
        <v>569.0</v>
      </c>
      <c r="O34" s="188">
        <v>796.0</v>
      </c>
      <c r="P34" s="188">
        <v>211.0</v>
      </c>
      <c r="Q34" s="188">
        <f t="shared" si="49"/>
        <v>1576</v>
      </c>
      <c r="R34" s="188">
        <f t="shared" si="50"/>
        <v>4057</v>
      </c>
      <c r="S34" s="188">
        <v>221.0</v>
      </c>
      <c r="T34" s="188">
        <v>286.0</v>
      </c>
      <c r="U34" s="188">
        <v>199.0</v>
      </c>
      <c r="V34" s="188">
        <f t="shared" si="51"/>
        <v>706</v>
      </c>
      <c r="W34" s="188">
        <v>221.0</v>
      </c>
      <c r="X34" s="188">
        <v>286.0</v>
      </c>
      <c r="Y34" s="188">
        <v>199.0</v>
      </c>
      <c r="Z34" s="188">
        <v>325.0</v>
      </c>
      <c r="AA34" s="188">
        <f>40+1</f>
        <v>41</v>
      </c>
      <c r="AB34" s="188">
        <f>7+1</f>
        <v>8</v>
      </c>
      <c r="AC34" s="154"/>
      <c r="AD34" s="154"/>
      <c r="AE34" s="154"/>
      <c r="AF34" s="188">
        <v>325.0</v>
      </c>
      <c r="AG34" s="188">
        <f>40+1</f>
        <v>41</v>
      </c>
      <c r="AH34" s="188">
        <f>7+1</f>
        <v>8</v>
      </c>
      <c r="AI34" s="154">
        <f t="shared" si="52"/>
        <v>374</v>
      </c>
      <c r="AJ34" s="154"/>
      <c r="AK34" s="154"/>
      <c r="AL34" s="154"/>
      <c r="AM34" s="154">
        <f t="shared" si="53"/>
        <v>0</v>
      </c>
      <c r="AN34" s="154"/>
      <c r="AO34" s="154"/>
      <c r="AP34" s="154"/>
      <c r="AQ34" s="154">
        <f t="shared" si="54"/>
        <v>0</v>
      </c>
      <c r="AR34" s="154">
        <f t="shared" si="55"/>
        <v>1080</v>
      </c>
      <c r="AS34" s="154">
        <f t="shared" si="8"/>
        <v>5137</v>
      </c>
      <c r="AT34" s="4"/>
      <c r="AU34" s="164"/>
      <c r="AV34" s="4"/>
      <c r="AW34" s="4"/>
      <c r="AX34" s="4"/>
      <c r="AY34" s="4"/>
      <c r="AZ34" s="4"/>
      <c r="BA34" s="4"/>
    </row>
    <row r="35" ht="15.75" customHeight="1">
      <c r="A35" s="167" t="s">
        <v>105</v>
      </c>
      <c r="B35" s="188">
        <v>442.0</v>
      </c>
      <c r="C35" s="188">
        <v>640.0</v>
      </c>
      <c r="D35" s="188">
        <v>607.0</v>
      </c>
      <c r="E35" s="188">
        <f t="shared" si="46"/>
        <v>1689</v>
      </c>
      <c r="F35" s="188">
        <v>73.0</v>
      </c>
      <c r="G35" s="188">
        <v>607.0</v>
      </c>
      <c r="H35" s="188">
        <v>137.0</v>
      </c>
      <c r="I35" s="188">
        <f t="shared" si="47"/>
        <v>817</v>
      </c>
      <c r="J35" s="188">
        <v>61.0</v>
      </c>
      <c r="K35" s="186"/>
      <c r="L35" s="188">
        <v>316.0</v>
      </c>
      <c r="M35" s="188">
        <f t="shared" si="48"/>
        <v>377</v>
      </c>
      <c r="N35" s="188">
        <v>12.0</v>
      </c>
      <c r="O35" s="188">
        <v>419.0</v>
      </c>
      <c r="P35" s="188">
        <v>30.0</v>
      </c>
      <c r="Q35" s="188">
        <f t="shared" si="49"/>
        <v>461</v>
      </c>
      <c r="R35" s="188">
        <f t="shared" si="50"/>
        <v>3344</v>
      </c>
      <c r="S35" s="186"/>
      <c r="T35" s="188">
        <v>37.0</v>
      </c>
      <c r="U35" s="188">
        <v>271.0</v>
      </c>
      <c r="V35" s="188">
        <f t="shared" si="51"/>
        <v>308</v>
      </c>
      <c r="W35" s="186"/>
      <c r="X35" s="188">
        <v>37.0</v>
      </c>
      <c r="Y35" s="188">
        <v>271.0</v>
      </c>
      <c r="Z35" s="188">
        <v>201.0</v>
      </c>
      <c r="AA35" s="188">
        <v>451.0</v>
      </c>
      <c r="AB35" s="188">
        <v>139.0</v>
      </c>
      <c r="AC35" s="154"/>
      <c r="AD35" s="154"/>
      <c r="AE35" s="154"/>
      <c r="AF35" s="188">
        <v>201.0</v>
      </c>
      <c r="AG35" s="188">
        <v>451.0</v>
      </c>
      <c r="AH35" s="188">
        <v>139.0</v>
      </c>
      <c r="AI35" s="154">
        <f t="shared" si="52"/>
        <v>791</v>
      </c>
      <c r="AJ35" s="154"/>
      <c r="AK35" s="154"/>
      <c r="AL35" s="154"/>
      <c r="AM35" s="154">
        <f t="shared" si="53"/>
        <v>0</v>
      </c>
      <c r="AN35" s="154"/>
      <c r="AO35" s="154"/>
      <c r="AP35" s="154"/>
      <c r="AQ35" s="154">
        <f t="shared" si="54"/>
        <v>0</v>
      </c>
      <c r="AR35" s="154">
        <f t="shared" si="55"/>
        <v>1099</v>
      </c>
      <c r="AS35" s="154">
        <f t="shared" si="8"/>
        <v>4443</v>
      </c>
      <c r="AT35" s="4"/>
      <c r="AU35" s="164"/>
      <c r="AV35" s="4"/>
      <c r="AW35" s="4"/>
      <c r="AX35" s="4"/>
      <c r="AY35" s="4"/>
      <c r="AZ35" s="4"/>
      <c r="BA35" s="4"/>
    </row>
    <row r="36" ht="15.75" customHeight="1">
      <c r="A36" s="169" t="s">
        <v>106</v>
      </c>
      <c r="B36" s="188">
        <v>23.0</v>
      </c>
      <c r="C36" s="188">
        <v>2039.0</v>
      </c>
      <c r="D36" s="188">
        <v>111.0</v>
      </c>
      <c r="E36" s="188">
        <f t="shared" si="46"/>
        <v>2173</v>
      </c>
      <c r="F36" s="188">
        <v>619.0</v>
      </c>
      <c r="G36" s="188">
        <v>111.0</v>
      </c>
      <c r="H36" s="188">
        <v>98.0</v>
      </c>
      <c r="I36" s="188">
        <f t="shared" si="47"/>
        <v>828</v>
      </c>
      <c r="J36" s="188">
        <v>410.0</v>
      </c>
      <c r="K36" s="188">
        <v>0.0</v>
      </c>
      <c r="L36" s="188">
        <v>198.0</v>
      </c>
      <c r="M36" s="188">
        <f t="shared" si="48"/>
        <v>608</v>
      </c>
      <c r="N36" s="188">
        <v>92.0</v>
      </c>
      <c r="O36" s="188">
        <v>31.0</v>
      </c>
      <c r="P36" s="188">
        <v>0.0</v>
      </c>
      <c r="Q36" s="188">
        <f t="shared" si="49"/>
        <v>123</v>
      </c>
      <c r="R36" s="188">
        <f t="shared" si="50"/>
        <v>3732</v>
      </c>
      <c r="S36" s="188">
        <v>54.0</v>
      </c>
      <c r="T36" s="188">
        <v>17.0</v>
      </c>
      <c r="U36" s="188">
        <v>141.0</v>
      </c>
      <c r="V36" s="188">
        <f t="shared" si="51"/>
        <v>212</v>
      </c>
      <c r="W36" s="188">
        <v>54.0</v>
      </c>
      <c r="X36" s="188">
        <v>17.0</v>
      </c>
      <c r="Y36" s="188">
        <v>141.0</v>
      </c>
      <c r="Z36" s="188">
        <v>388.0</v>
      </c>
      <c r="AA36" s="188">
        <v>39.0</v>
      </c>
      <c r="AB36" s="188">
        <v>7.0</v>
      </c>
      <c r="AC36" s="154"/>
      <c r="AD36" s="154"/>
      <c r="AE36" s="154"/>
      <c r="AF36" s="188">
        <v>388.0</v>
      </c>
      <c r="AG36" s="188">
        <v>39.0</v>
      </c>
      <c r="AH36" s="188">
        <v>7.0</v>
      </c>
      <c r="AI36" s="154">
        <f t="shared" si="52"/>
        <v>434</v>
      </c>
      <c r="AJ36" s="154"/>
      <c r="AK36" s="154"/>
      <c r="AL36" s="154"/>
      <c r="AM36" s="154">
        <f t="shared" si="53"/>
        <v>0</v>
      </c>
      <c r="AN36" s="154"/>
      <c r="AO36" s="154"/>
      <c r="AP36" s="154"/>
      <c r="AQ36" s="154">
        <f t="shared" si="54"/>
        <v>0</v>
      </c>
      <c r="AR36" s="154">
        <f t="shared" si="55"/>
        <v>646</v>
      </c>
      <c r="AS36" s="154">
        <f t="shared" si="8"/>
        <v>4378</v>
      </c>
      <c r="AT36" s="4"/>
      <c r="AU36" s="164"/>
      <c r="AV36" s="4"/>
      <c r="AW36" s="4"/>
      <c r="AX36" s="4"/>
      <c r="AY36" s="4"/>
      <c r="AZ36" s="4"/>
      <c r="BA36" s="4"/>
    </row>
    <row r="37" ht="15.75" customHeight="1">
      <c r="A37" s="137" t="s">
        <v>107</v>
      </c>
      <c r="B37" s="191">
        <f t="shared" ref="B37:AB37" si="56">SUM(B38:B42)</f>
        <v>0</v>
      </c>
      <c r="C37" s="191">
        <f t="shared" si="56"/>
        <v>0</v>
      </c>
      <c r="D37" s="191">
        <f t="shared" si="56"/>
        <v>0</v>
      </c>
      <c r="E37" s="191">
        <f t="shared" si="56"/>
        <v>0</v>
      </c>
      <c r="F37" s="191">
        <f t="shared" si="56"/>
        <v>0</v>
      </c>
      <c r="G37" s="191">
        <f t="shared" si="56"/>
        <v>0</v>
      </c>
      <c r="H37" s="191">
        <f t="shared" si="56"/>
        <v>37</v>
      </c>
      <c r="I37" s="191">
        <f t="shared" si="56"/>
        <v>37</v>
      </c>
      <c r="J37" s="191">
        <f t="shared" si="56"/>
        <v>77</v>
      </c>
      <c r="K37" s="191">
        <f t="shared" si="56"/>
        <v>214</v>
      </c>
      <c r="L37" s="191">
        <f t="shared" si="56"/>
        <v>0</v>
      </c>
      <c r="M37" s="191">
        <f t="shared" si="56"/>
        <v>291</v>
      </c>
      <c r="N37" s="191">
        <f t="shared" si="56"/>
        <v>0</v>
      </c>
      <c r="O37" s="191">
        <f t="shared" si="56"/>
        <v>0</v>
      </c>
      <c r="P37" s="191">
        <f t="shared" si="56"/>
        <v>0</v>
      </c>
      <c r="Q37" s="191">
        <f t="shared" si="56"/>
        <v>0</v>
      </c>
      <c r="R37" s="191">
        <f t="shared" si="56"/>
        <v>328</v>
      </c>
      <c r="S37" s="187">
        <f t="shared" si="56"/>
        <v>0</v>
      </c>
      <c r="T37" s="187">
        <f t="shared" si="56"/>
        <v>0</v>
      </c>
      <c r="U37" s="187">
        <f t="shared" si="56"/>
        <v>1953</v>
      </c>
      <c r="V37" s="187">
        <f t="shared" si="56"/>
        <v>1953</v>
      </c>
      <c r="W37" s="187">
        <f t="shared" si="56"/>
        <v>0</v>
      </c>
      <c r="X37" s="187">
        <f t="shared" si="56"/>
        <v>0</v>
      </c>
      <c r="Y37" s="187">
        <f t="shared" si="56"/>
        <v>1953</v>
      </c>
      <c r="Z37" s="187">
        <f t="shared" si="56"/>
        <v>5</v>
      </c>
      <c r="AA37" s="187">
        <f t="shared" si="56"/>
        <v>7</v>
      </c>
      <c r="AB37" s="187">
        <f t="shared" si="56"/>
        <v>2</v>
      </c>
      <c r="AC37" s="141"/>
      <c r="AD37" s="141"/>
      <c r="AE37" s="141"/>
      <c r="AF37" s="187">
        <f t="shared" ref="AF37:AR37" si="57">SUM(AF38:AF42)</f>
        <v>5</v>
      </c>
      <c r="AG37" s="187">
        <f t="shared" si="57"/>
        <v>7</v>
      </c>
      <c r="AH37" s="187">
        <f t="shared" si="57"/>
        <v>2</v>
      </c>
      <c r="AI37" s="141">
        <f t="shared" si="57"/>
        <v>14</v>
      </c>
      <c r="AJ37" s="141">
        <f t="shared" si="57"/>
        <v>0</v>
      </c>
      <c r="AK37" s="141">
        <f t="shared" si="57"/>
        <v>0</v>
      </c>
      <c r="AL37" s="141">
        <f t="shared" si="57"/>
        <v>0</v>
      </c>
      <c r="AM37" s="141">
        <f t="shared" si="57"/>
        <v>0</v>
      </c>
      <c r="AN37" s="141">
        <f t="shared" si="57"/>
        <v>0</v>
      </c>
      <c r="AO37" s="141">
        <f t="shared" si="57"/>
        <v>0</v>
      </c>
      <c r="AP37" s="141">
        <f t="shared" si="57"/>
        <v>0</v>
      </c>
      <c r="AQ37" s="141">
        <f t="shared" si="57"/>
        <v>0</v>
      </c>
      <c r="AR37" s="141">
        <f t="shared" si="57"/>
        <v>1967</v>
      </c>
      <c r="AS37" s="141">
        <f t="shared" si="8"/>
        <v>2295</v>
      </c>
      <c r="AT37" s="4"/>
      <c r="AU37" s="164"/>
      <c r="AV37" s="4"/>
      <c r="AW37" s="4"/>
      <c r="AX37" s="4"/>
      <c r="AY37" s="4"/>
      <c r="AZ37" s="4"/>
      <c r="BA37" s="4"/>
    </row>
    <row r="38" ht="15.75" customHeight="1">
      <c r="A38" s="167" t="s">
        <v>108</v>
      </c>
      <c r="B38" s="188">
        <v>0.0</v>
      </c>
      <c r="C38" s="188">
        <v>0.0</v>
      </c>
      <c r="D38" s="188">
        <v>0.0</v>
      </c>
      <c r="E38" s="188">
        <f t="shared" ref="E38:E42" si="58">SUM(B38:D38)</f>
        <v>0</v>
      </c>
      <c r="F38" s="188">
        <v>0.0</v>
      </c>
      <c r="G38" s="188">
        <v>0.0</v>
      </c>
      <c r="H38" s="188">
        <v>0.0</v>
      </c>
      <c r="I38" s="188">
        <f t="shared" ref="I38:I42" si="59">SUM(F38:H38)</f>
        <v>0</v>
      </c>
      <c r="J38" s="188">
        <v>21.0</v>
      </c>
      <c r="K38" s="186"/>
      <c r="L38" s="186"/>
      <c r="M38" s="188">
        <f t="shared" ref="M38:M42" si="60">SUM(J38:L38)</f>
        <v>21</v>
      </c>
      <c r="N38" s="188">
        <v>0.0</v>
      </c>
      <c r="O38" s="188">
        <v>0.0</v>
      </c>
      <c r="P38" s="188">
        <v>0.0</v>
      </c>
      <c r="Q38" s="188">
        <f t="shared" ref="Q38:Q42" si="61">SUM(N38:P38)</f>
        <v>0</v>
      </c>
      <c r="R38" s="188">
        <f t="shared" ref="R38:R42" si="62">SUM(E38,I38,M38,Q38)</f>
        <v>21</v>
      </c>
      <c r="S38" s="188">
        <v>0.0</v>
      </c>
      <c r="T38" s="188">
        <v>0.0</v>
      </c>
      <c r="U38" s="188">
        <v>609.0</v>
      </c>
      <c r="V38" s="188">
        <f t="shared" ref="V38:V42" si="63">SUM(S38:U38)</f>
        <v>609</v>
      </c>
      <c r="W38" s="188">
        <v>0.0</v>
      </c>
      <c r="X38" s="188">
        <v>0.0</v>
      </c>
      <c r="Y38" s="188">
        <v>609.0</v>
      </c>
      <c r="Z38" s="188">
        <v>0.0</v>
      </c>
      <c r="AA38" s="188">
        <v>3.0</v>
      </c>
      <c r="AB38" s="188">
        <v>1.0</v>
      </c>
      <c r="AC38" s="154"/>
      <c r="AD38" s="154"/>
      <c r="AE38" s="154"/>
      <c r="AF38" s="188">
        <v>0.0</v>
      </c>
      <c r="AG38" s="188">
        <v>3.0</v>
      </c>
      <c r="AH38" s="188">
        <v>1.0</v>
      </c>
      <c r="AI38" s="154">
        <f t="shared" ref="AI38:AI42" si="64">SUM(AF38:AH38)</f>
        <v>4</v>
      </c>
      <c r="AJ38" s="154"/>
      <c r="AK38" s="154"/>
      <c r="AL38" s="154"/>
      <c r="AM38" s="154">
        <f t="shared" ref="AM38:AM42" si="65">SUM(AJ38:AL38)</f>
        <v>0</v>
      </c>
      <c r="AN38" s="154"/>
      <c r="AO38" s="154"/>
      <c r="AP38" s="154"/>
      <c r="AQ38" s="154">
        <f t="shared" ref="AQ38:AQ42" si="66">SUM(AN38:AP38)</f>
        <v>0</v>
      </c>
      <c r="AR38" s="154">
        <f t="shared" ref="AR38:AR42" si="67">SUM(V38,AI38,AM38,AQ38)</f>
        <v>613</v>
      </c>
      <c r="AS38" s="154">
        <f t="shared" si="8"/>
        <v>634</v>
      </c>
      <c r="AT38" s="4"/>
      <c r="AU38" s="164"/>
      <c r="AV38" s="4"/>
      <c r="AW38" s="4"/>
      <c r="AX38" s="4"/>
      <c r="AY38" s="4"/>
      <c r="AZ38" s="4"/>
      <c r="BA38" s="4"/>
    </row>
    <row r="39" ht="15.75" customHeight="1">
      <c r="A39" s="167" t="s">
        <v>109</v>
      </c>
      <c r="B39" s="188">
        <v>0.0</v>
      </c>
      <c r="C39" s="188">
        <v>0.0</v>
      </c>
      <c r="D39" s="188">
        <v>0.0</v>
      </c>
      <c r="E39" s="188">
        <f t="shared" si="58"/>
        <v>0</v>
      </c>
      <c r="F39" s="188">
        <v>0.0</v>
      </c>
      <c r="G39" s="188">
        <v>0.0</v>
      </c>
      <c r="H39" s="188">
        <v>0.0</v>
      </c>
      <c r="I39" s="188">
        <f t="shared" si="59"/>
        <v>0</v>
      </c>
      <c r="J39" s="188">
        <v>15.0</v>
      </c>
      <c r="K39" s="186"/>
      <c r="L39" s="188">
        <v>0.0</v>
      </c>
      <c r="M39" s="188">
        <f t="shared" si="60"/>
        <v>15</v>
      </c>
      <c r="N39" s="188">
        <v>0.0</v>
      </c>
      <c r="O39" s="188">
        <v>0.0</v>
      </c>
      <c r="P39" s="188">
        <v>0.0</v>
      </c>
      <c r="Q39" s="188">
        <f t="shared" si="61"/>
        <v>0</v>
      </c>
      <c r="R39" s="188">
        <f t="shared" si="62"/>
        <v>15</v>
      </c>
      <c r="S39" s="188">
        <v>0.0</v>
      </c>
      <c r="T39" s="188">
        <v>0.0</v>
      </c>
      <c r="U39" s="188">
        <v>10.0</v>
      </c>
      <c r="V39" s="188">
        <f t="shared" si="63"/>
        <v>10</v>
      </c>
      <c r="W39" s="188">
        <v>0.0</v>
      </c>
      <c r="X39" s="188">
        <v>0.0</v>
      </c>
      <c r="Y39" s="188">
        <v>10.0</v>
      </c>
      <c r="Z39" s="188">
        <v>1.0</v>
      </c>
      <c r="AA39" s="188">
        <v>3.0</v>
      </c>
      <c r="AB39" s="188">
        <v>0.0</v>
      </c>
      <c r="AC39" s="154"/>
      <c r="AD39" s="154"/>
      <c r="AE39" s="154"/>
      <c r="AF39" s="188">
        <v>1.0</v>
      </c>
      <c r="AG39" s="188">
        <v>3.0</v>
      </c>
      <c r="AH39" s="188">
        <v>0.0</v>
      </c>
      <c r="AI39" s="154">
        <f t="shared" si="64"/>
        <v>4</v>
      </c>
      <c r="AJ39" s="154"/>
      <c r="AK39" s="154"/>
      <c r="AL39" s="154"/>
      <c r="AM39" s="154">
        <f t="shared" si="65"/>
        <v>0</v>
      </c>
      <c r="AN39" s="154"/>
      <c r="AO39" s="154"/>
      <c r="AP39" s="154"/>
      <c r="AQ39" s="154">
        <f t="shared" si="66"/>
        <v>0</v>
      </c>
      <c r="AR39" s="154">
        <f t="shared" si="67"/>
        <v>14</v>
      </c>
      <c r="AS39" s="154">
        <f t="shared" si="8"/>
        <v>29</v>
      </c>
      <c r="AT39" s="4"/>
      <c r="AU39" s="164"/>
      <c r="AV39" s="4"/>
      <c r="AW39" s="4"/>
      <c r="AX39" s="4"/>
      <c r="AY39" s="4"/>
      <c r="AZ39" s="4"/>
      <c r="BA39" s="4"/>
    </row>
    <row r="40" ht="15.75" customHeight="1">
      <c r="A40" s="167" t="s">
        <v>110</v>
      </c>
      <c r="B40" s="188">
        <v>0.0</v>
      </c>
      <c r="C40" s="188">
        <v>0.0</v>
      </c>
      <c r="D40" s="188">
        <v>0.0</v>
      </c>
      <c r="E40" s="188">
        <f t="shared" si="58"/>
        <v>0</v>
      </c>
      <c r="F40" s="188">
        <v>0.0</v>
      </c>
      <c r="G40" s="188">
        <v>0.0</v>
      </c>
      <c r="H40" s="188">
        <v>37.0</v>
      </c>
      <c r="I40" s="188">
        <f t="shared" si="59"/>
        <v>37</v>
      </c>
      <c r="J40" s="188">
        <v>15.0</v>
      </c>
      <c r="K40" s="186"/>
      <c r="L40" s="188">
        <v>0.0</v>
      </c>
      <c r="M40" s="188">
        <f t="shared" si="60"/>
        <v>15</v>
      </c>
      <c r="N40" s="188">
        <v>0.0</v>
      </c>
      <c r="O40" s="188">
        <v>0.0</v>
      </c>
      <c r="P40" s="188">
        <v>0.0</v>
      </c>
      <c r="Q40" s="188">
        <f t="shared" si="61"/>
        <v>0</v>
      </c>
      <c r="R40" s="188">
        <f t="shared" si="62"/>
        <v>52</v>
      </c>
      <c r="S40" s="188">
        <v>0.0</v>
      </c>
      <c r="T40" s="188">
        <v>0.0</v>
      </c>
      <c r="U40" s="188">
        <v>620.0</v>
      </c>
      <c r="V40" s="188">
        <f t="shared" si="63"/>
        <v>620</v>
      </c>
      <c r="W40" s="188">
        <v>0.0</v>
      </c>
      <c r="X40" s="188">
        <v>0.0</v>
      </c>
      <c r="Y40" s="188">
        <v>620.0</v>
      </c>
      <c r="Z40" s="188">
        <v>1.0</v>
      </c>
      <c r="AA40" s="188">
        <v>0.0</v>
      </c>
      <c r="AB40" s="188">
        <v>0.0</v>
      </c>
      <c r="AC40" s="154"/>
      <c r="AD40" s="154"/>
      <c r="AE40" s="154"/>
      <c r="AF40" s="188">
        <v>1.0</v>
      </c>
      <c r="AG40" s="188">
        <v>0.0</v>
      </c>
      <c r="AH40" s="188">
        <v>0.0</v>
      </c>
      <c r="AI40" s="154">
        <f t="shared" si="64"/>
        <v>1</v>
      </c>
      <c r="AJ40" s="154"/>
      <c r="AK40" s="154"/>
      <c r="AL40" s="154"/>
      <c r="AM40" s="154">
        <f t="shared" si="65"/>
        <v>0</v>
      </c>
      <c r="AN40" s="154"/>
      <c r="AO40" s="154"/>
      <c r="AP40" s="154"/>
      <c r="AQ40" s="154">
        <f t="shared" si="66"/>
        <v>0</v>
      </c>
      <c r="AR40" s="154">
        <f t="shared" si="67"/>
        <v>621</v>
      </c>
      <c r="AS40" s="154">
        <f t="shared" si="8"/>
        <v>673</v>
      </c>
      <c r="AT40" s="4"/>
      <c r="AU40" s="164"/>
      <c r="AV40" s="4"/>
      <c r="AW40" s="4"/>
      <c r="AX40" s="4"/>
      <c r="AY40" s="4"/>
      <c r="AZ40" s="4"/>
      <c r="BA40" s="4"/>
    </row>
    <row r="41" ht="15.75" customHeight="1">
      <c r="A41" s="169" t="s">
        <v>111</v>
      </c>
      <c r="B41" s="188">
        <v>0.0</v>
      </c>
      <c r="C41" s="188">
        <v>0.0</v>
      </c>
      <c r="D41" s="188">
        <v>0.0</v>
      </c>
      <c r="E41" s="188">
        <f t="shared" si="58"/>
        <v>0</v>
      </c>
      <c r="F41" s="188">
        <v>0.0</v>
      </c>
      <c r="G41" s="188">
        <v>0.0</v>
      </c>
      <c r="H41" s="188">
        <v>0.0</v>
      </c>
      <c r="I41" s="188">
        <f t="shared" si="59"/>
        <v>0</v>
      </c>
      <c r="J41" s="188">
        <v>12.0</v>
      </c>
      <c r="K41" s="188">
        <v>214.0</v>
      </c>
      <c r="L41" s="188">
        <v>0.0</v>
      </c>
      <c r="M41" s="188">
        <f t="shared" si="60"/>
        <v>226</v>
      </c>
      <c r="N41" s="188">
        <v>0.0</v>
      </c>
      <c r="O41" s="188">
        <v>0.0</v>
      </c>
      <c r="P41" s="188">
        <v>0.0</v>
      </c>
      <c r="Q41" s="188">
        <f t="shared" si="61"/>
        <v>0</v>
      </c>
      <c r="R41" s="188">
        <f t="shared" si="62"/>
        <v>226</v>
      </c>
      <c r="S41" s="188">
        <v>0.0</v>
      </c>
      <c r="T41" s="188">
        <v>0.0</v>
      </c>
      <c r="U41" s="188">
        <v>665.0</v>
      </c>
      <c r="V41" s="188">
        <f t="shared" si="63"/>
        <v>665</v>
      </c>
      <c r="W41" s="188">
        <v>0.0</v>
      </c>
      <c r="X41" s="188">
        <v>0.0</v>
      </c>
      <c r="Y41" s="188">
        <v>665.0</v>
      </c>
      <c r="Z41" s="188">
        <v>3.0</v>
      </c>
      <c r="AA41" s="188">
        <v>1.0</v>
      </c>
      <c r="AB41" s="188">
        <v>1.0</v>
      </c>
      <c r="AC41" s="154"/>
      <c r="AD41" s="154"/>
      <c r="AE41" s="154"/>
      <c r="AF41" s="188">
        <v>3.0</v>
      </c>
      <c r="AG41" s="188">
        <v>1.0</v>
      </c>
      <c r="AH41" s="188">
        <v>1.0</v>
      </c>
      <c r="AI41" s="154">
        <f t="shared" si="64"/>
        <v>5</v>
      </c>
      <c r="AJ41" s="154"/>
      <c r="AK41" s="154"/>
      <c r="AL41" s="154"/>
      <c r="AM41" s="154">
        <f t="shared" si="65"/>
        <v>0</v>
      </c>
      <c r="AN41" s="154"/>
      <c r="AO41" s="154"/>
      <c r="AP41" s="154"/>
      <c r="AQ41" s="154">
        <f t="shared" si="66"/>
        <v>0</v>
      </c>
      <c r="AR41" s="154">
        <f t="shared" si="67"/>
        <v>670</v>
      </c>
      <c r="AS41" s="154">
        <f t="shared" si="8"/>
        <v>896</v>
      </c>
      <c r="AT41" s="4"/>
      <c r="AU41" s="164"/>
      <c r="AV41" s="4"/>
      <c r="AW41" s="4"/>
      <c r="AX41" s="4"/>
      <c r="AY41" s="4"/>
      <c r="AZ41" s="4"/>
      <c r="BA41" s="4"/>
    </row>
    <row r="42" ht="15.75" customHeight="1">
      <c r="A42" s="167" t="s">
        <v>112</v>
      </c>
      <c r="B42" s="188">
        <v>0.0</v>
      </c>
      <c r="C42" s="188">
        <v>0.0</v>
      </c>
      <c r="D42" s="188">
        <v>0.0</v>
      </c>
      <c r="E42" s="188">
        <f t="shared" si="58"/>
        <v>0</v>
      </c>
      <c r="F42" s="188">
        <v>0.0</v>
      </c>
      <c r="G42" s="188">
        <v>0.0</v>
      </c>
      <c r="H42" s="188">
        <v>0.0</v>
      </c>
      <c r="I42" s="188">
        <f t="shared" si="59"/>
        <v>0</v>
      </c>
      <c r="J42" s="188">
        <v>14.0</v>
      </c>
      <c r="K42" s="186"/>
      <c r="L42" s="188">
        <v>0.0</v>
      </c>
      <c r="M42" s="188">
        <f t="shared" si="60"/>
        <v>14</v>
      </c>
      <c r="N42" s="188">
        <v>0.0</v>
      </c>
      <c r="O42" s="188">
        <v>0.0</v>
      </c>
      <c r="P42" s="188">
        <v>0.0</v>
      </c>
      <c r="Q42" s="188">
        <f t="shared" si="61"/>
        <v>0</v>
      </c>
      <c r="R42" s="188">
        <f t="shared" si="62"/>
        <v>14</v>
      </c>
      <c r="S42" s="188">
        <v>0.0</v>
      </c>
      <c r="T42" s="188">
        <v>0.0</v>
      </c>
      <c r="U42" s="188">
        <v>49.0</v>
      </c>
      <c r="V42" s="188">
        <f t="shared" si="63"/>
        <v>49</v>
      </c>
      <c r="W42" s="188">
        <v>0.0</v>
      </c>
      <c r="X42" s="188">
        <v>0.0</v>
      </c>
      <c r="Y42" s="188">
        <v>49.0</v>
      </c>
      <c r="Z42" s="188">
        <v>0.0</v>
      </c>
      <c r="AA42" s="188">
        <v>0.0</v>
      </c>
      <c r="AB42" s="188">
        <v>0.0</v>
      </c>
      <c r="AC42" s="154"/>
      <c r="AD42" s="154"/>
      <c r="AE42" s="154"/>
      <c r="AF42" s="188">
        <v>0.0</v>
      </c>
      <c r="AG42" s="188">
        <v>0.0</v>
      </c>
      <c r="AH42" s="188">
        <v>0.0</v>
      </c>
      <c r="AI42" s="154">
        <f t="shared" si="64"/>
        <v>0</v>
      </c>
      <c r="AJ42" s="154"/>
      <c r="AK42" s="154"/>
      <c r="AL42" s="154"/>
      <c r="AM42" s="154">
        <f t="shared" si="65"/>
        <v>0</v>
      </c>
      <c r="AN42" s="154"/>
      <c r="AO42" s="154"/>
      <c r="AP42" s="154"/>
      <c r="AQ42" s="154">
        <f t="shared" si="66"/>
        <v>0</v>
      </c>
      <c r="AR42" s="154">
        <f t="shared" si="67"/>
        <v>49</v>
      </c>
      <c r="AS42" s="154">
        <f t="shared" si="8"/>
        <v>63</v>
      </c>
      <c r="AT42" s="4"/>
      <c r="AU42" s="1"/>
      <c r="AV42" s="1"/>
      <c r="AW42" s="4"/>
      <c r="AX42" s="4"/>
      <c r="AY42" s="4"/>
      <c r="AZ42" s="4"/>
      <c r="BA42" s="4"/>
    </row>
    <row r="43" ht="15.75" customHeight="1">
      <c r="A43" s="137" t="s">
        <v>113</v>
      </c>
      <c r="B43" s="191">
        <f t="shared" ref="B43:AB43" si="68">SUM(B44:B48)</f>
        <v>0</v>
      </c>
      <c r="C43" s="191">
        <f t="shared" si="68"/>
        <v>36</v>
      </c>
      <c r="D43" s="191">
        <f t="shared" si="68"/>
        <v>0</v>
      </c>
      <c r="E43" s="191">
        <f t="shared" si="68"/>
        <v>36</v>
      </c>
      <c r="F43" s="191">
        <f t="shared" si="68"/>
        <v>0</v>
      </c>
      <c r="G43" s="191">
        <f t="shared" si="68"/>
        <v>0</v>
      </c>
      <c r="H43" s="191">
        <f t="shared" si="68"/>
        <v>0</v>
      </c>
      <c r="I43" s="191">
        <f t="shared" si="68"/>
        <v>0</v>
      </c>
      <c r="J43" s="191">
        <f t="shared" si="68"/>
        <v>36</v>
      </c>
      <c r="K43" s="191">
        <f t="shared" si="68"/>
        <v>29</v>
      </c>
      <c r="L43" s="191">
        <f t="shared" si="68"/>
        <v>0</v>
      </c>
      <c r="M43" s="191">
        <f t="shared" si="68"/>
        <v>65</v>
      </c>
      <c r="N43" s="191">
        <f t="shared" si="68"/>
        <v>224</v>
      </c>
      <c r="O43" s="191">
        <f t="shared" si="68"/>
        <v>0</v>
      </c>
      <c r="P43" s="191">
        <f t="shared" si="68"/>
        <v>0</v>
      </c>
      <c r="Q43" s="191">
        <f t="shared" si="68"/>
        <v>224</v>
      </c>
      <c r="R43" s="191">
        <f t="shared" si="68"/>
        <v>325</v>
      </c>
      <c r="S43" s="187">
        <f t="shared" si="68"/>
        <v>0</v>
      </c>
      <c r="T43" s="187">
        <f t="shared" si="68"/>
        <v>0</v>
      </c>
      <c r="U43" s="187">
        <f t="shared" si="68"/>
        <v>291</v>
      </c>
      <c r="V43" s="187">
        <f t="shared" si="68"/>
        <v>291</v>
      </c>
      <c r="W43" s="187">
        <f t="shared" si="68"/>
        <v>0</v>
      </c>
      <c r="X43" s="187">
        <f t="shared" si="68"/>
        <v>0</v>
      </c>
      <c r="Y43" s="187">
        <f t="shared" si="68"/>
        <v>291</v>
      </c>
      <c r="Z43" s="187">
        <f t="shared" si="68"/>
        <v>2</v>
      </c>
      <c r="AA43" s="187">
        <f t="shared" si="68"/>
        <v>83</v>
      </c>
      <c r="AB43" s="187">
        <f t="shared" si="68"/>
        <v>1047</v>
      </c>
      <c r="AC43" s="141"/>
      <c r="AD43" s="141"/>
      <c r="AE43" s="141"/>
      <c r="AF43" s="187">
        <f t="shared" ref="AF43:AR43" si="69">SUM(AF44:AF48)</f>
        <v>2</v>
      </c>
      <c r="AG43" s="187">
        <f t="shared" si="69"/>
        <v>83</v>
      </c>
      <c r="AH43" s="187">
        <f t="shared" si="69"/>
        <v>1047</v>
      </c>
      <c r="AI43" s="141">
        <f t="shared" si="69"/>
        <v>1132</v>
      </c>
      <c r="AJ43" s="141">
        <f t="shared" si="69"/>
        <v>0</v>
      </c>
      <c r="AK43" s="141">
        <f t="shared" si="69"/>
        <v>0</v>
      </c>
      <c r="AL43" s="141">
        <f t="shared" si="69"/>
        <v>0</v>
      </c>
      <c r="AM43" s="141">
        <f t="shared" si="69"/>
        <v>0</v>
      </c>
      <c r="AN43" s="141">
        <f t="shared" si="69"/>
        <v>0</v>
      </c>
      <c r="AO43" s="141">
        <f t="shared" si="69"/>
        <v>0</v>
      </c>
      <c r="AP43" s="141">
        <f t="shared" si="69"/>
        <v>0</v>
      </c>
      <c r="AQ43" s="141">
        <f t="shared" si="69"/>
        <v>0</v>
      </c>
      <c r="AR43" s="141">
        <f t="shared" si="69"/>
        <v>1423</v>
      </c>
      <c r="AS43" s="141">
        <f t="shared" si="8"/>
        <v>1748</v>
      </c>
      <c r="AT43" s="4"/>
      <c r="AU43" s="4"/>
      <c r="AV43" s="4"/>
      <c r="AW43" s="4"/>
      <c r="AX43" s="4"/>
      <c r="AY43" s="4"/>
      <c r="AZ43" s="4"/>
      <c r="BA43" s="4"/>
    </row>
    <row r="44" ht="15.75" customHeight="1">
      <c r="A44" s="167" t="s">
        <v>114</v>
      </c>
      <c r="B44" s="188">
        <v>0.0</v>
      </c>
      <c r="C44" s="188">
        <v>0.0</v>
      </c>
      <c r="D44" s="188">
        <v>0.0</v>
      </c>
      <c r="E44" s="188">
        <f t="shared" ref="E44:E48" si="70">SUM(B44:D44)</f>
        <v>0</v>
      </c>
      <c r="F44" s="188">
        <v>0.0</v>
      </c>
      <c r="G44" s="188">
        <v>0.0</v>
      </c>
      <c r="H44" s="188">
        <v>0.0</v>
      </c>
      <c r="I44" s="188">
        <f t="shared" ref="I44:I48" si="71">SUM(F44:H44)</f>
        <v>0</v>
      </c>
      <c r="J44" s="186"/>
      <c r="K44" s="188">
        <v>29.0</v>
      </c>
      <c r="L44" s="188">
        <v>0.0</v>
      </c>
      <c r="M44" s="188">
        <f t="shared" ref="M44:M48" si="72">SUM(J44:L44)</f>
        <v>29</v>
      </c>
      <c r="N44" s="188">
        <v>0.0</v>
      </c>
      <c r="O44" s="188">
        <v>0.0</v>
      </c>
      <c r="P44" s="188">
        <v>0.0</v>
      </c>
      <c r="Q44" s="188">
        <f t="shared" ref="Q44:Q48" si="73">SUM(N44:P44)</f>
        <v>0</v>
      </c>
      <c r="R44" s="188">
        <f t="shared" ref="R44:R48" si="74">SUM(E44,I44,M44,Q44)</f>
        <v>29</v>
      </c>
      <c r="S44" s="188">
        <v>0.0</v>
      </c>
      <c r="T44" s="186"/>
      <c r="U44" s="188">
        <v>5.0</v>
      </c>
      <c r="V44" s="188">
        <f t="shared" ref="V44:V48" si="75">SUM(S44:U44)</f>
        <v>5</v>
      </c>
      <c r="W44" s="188">
        <v>0.0</v>
      </c>
      <c r="X44" s="186"/>
      <c r="Y44" s="188">
        <v>5.0</v>
      </c>
      <c r="Z44" s="188">
        <v>1.0</v>
      </c>
      <c r="AA44" s="188">
        <v>0.0</v>
      </c>
      <c r="AB44" s="188">
        <v>196.0</v>
      </c>
      <c r="AC44" s="154"/>
      <c r="AD44" s="154"/>
      <c r="AE44" s="154"/>
      <c r="AF44" s="188">
        <v>1.0</v>
      </c>
      <c r="AG44" s="188">
        <v>0.0</v>
      </c>
      <c r="AH44" s="188">
        <v>196.0</v>
      </c>
      <c r="AI44" s="154">
        <f t="shared" ref="AI44:AI48" si="76">SUM(AF44:AH44)</f>
        <v>197</v>
      </c>
      <c r="AJ44" s="154"/>
      <c r="AK44" s="154"/>
      <c r="AL44" s="154"/>
      <c r="AM44" s="154">
        <f t="shared" ref="AM44:AM48" si="77">SUM(AJ44:AL44)</f>
        <v>0</v>
      </c>
      <c r="AN44" s="154"/>
      <c r="AO44" s="154"/>
      <c r="AP44" s="154"/>
      <c r="AQ44" s="154">
        <f t="shared" ref="AQ44:AQ48" si="78">SUM(AN44:AP44)</f>
        <v>0</v>
      </c>
      <c r="AR44" s="154">
        <f t="shared" ref="AR44:AR48" si="79">SUM(V44,AI44,AM44,AQ44)</f>
        <v>202</v>
      </c>
      <c r="AS44" s="154">
        <f t="shared" si="8"/>
        <v>231</v>
      </c>
      <c r="AT44" s="4"/>
      <c r="AU44" s="4"/>
      <c r="AV44" s="4"/>
      <c r="AW44" s="4"/>
      <c r="AX44" s="4"/>
      <c r="AY44" s="4"/>
      <c r="AZ44" s="4"/>
      <c r="BA44" s="4"/>
    </row>
    <row r="45" ht="15.75" customHeight="1">
      <c r="A45" s="167" t="s">
        <v>115</v>
      </c>
      <c r="B45" s="188">
        <v>0.0</v>
      </c>
      <c r="C45" s="188">
        <v>36.0</v>
      </c>
      <c r="D45" s="188">
        <v>0.0</v>
      </c>
      <c r="E45" s="188">
        <f t="shared" si="70"/>
        <v>36</v>
      </c>
      <c r="F45" s="188">
        <v>0.0</v>
      </c>
      <c r="G45" s="188">
        <v>0.0</v>
      </c>
      <c r="H45" s="188">
        <v>0.0</v>
      </c>
      <c r="I45" s="188">
        <f t="shared" si="71"/>
        <v>0</v>
      </c>
      <c r="J45" s="188">
        <v>18.0</v>
      </c>
      <c r="K45" s="186"/>
      <c r="L45" s="188">
        <v>0.0</v>
      </c>
      <c r="M45" s="188">
        <f t="shared" si="72"/>
        <v>18</v>
      </c>
      <c r="N45" s="188">
        <v>0.0</v>
      </c>
      <c r="O45" s="188">
        <v>0.0</v>
      </c>
      <c r="P45" s="188">
        <v>0.0</v>
      </c>
      <c r="Q45" s="188">
        <f t="shared" si="73"/>
        <v>0</v>
      </c>
      <c r="R45" s="188">
        <f t="shared" si="74"/>
        <v>54</v>
      </c>
      <c r="S45" s="188">
        <v>0.0</v>
      </c>
      <c r="T45" s="186"/>
      <c r="U45" s="188">
        <v>59.0</v>
      </c>
      <c r="V45" s="188">
        <f t="shared" si="75"/>
        <v>59</v>
      </c>
      <c r="W45" s="188">
        <v>0.0</v>
      </c>
      <c r="X45" s="186"/>
      <c r="Y45" s="188">
        <v>59.0</v>
      </c>
      <c r="Z45" s="188">
        <v>0.0</v>
      </c>
      <c r="AA45" s="188">
        <v>0.0</v>
      </c>
      <c r="AB45" s="188">
        <v>151.0</v>
      </c>
      <c r="AC45" s="154"/>
      <c r="AD45" s="154"/>
      <c r="AE45" s="154"/>
      <c r="AF45" s="188">
        <v>0.0</v>
      </c>
      <c r="AG45" s="188">
        <v>0.0</v>
      </c>
      <c r="AH45" s="188">
        <v>151.0</v>
      </c>
      <c r="AI45" s="154">
        <f t="shared" si="76"/>
        <v>151</v>
      </c>
      <c r="AJ45" s="154"/>
      <c r="AK45" s="154"/>
      <c r="AL45" s="154"/>
      <c r="AM45" s="154">
        <f t="shared" si="77"/>
        <v>0</v>
      </c>
      <c r="AN45" s="154"/>
      <c r="AO45" s="154"/>
      <c r="AP45" s="154"/>
      <c r="AQ45" s="154">
        <f t="shared" si="78"/>
        <v>0</v>
      </c>
      <c r="AR45" s="154">
        <f t="shared" si="79"/>
        <v>210</v>
      </c>
      <c r="AS45" s="154">
        <f t="shared" si="8"/>
        <v>264</v>
      </c>
      <c r="AT45" s="4"/>
      <c r="AU45" s="4"/>
      <c r="AV45" s="4"/>
      <c r="AW45" s="4"/>
      <c r="AX45" s="4"/>
      <c r="AY45" s="4"/>
      <c r="AZ45" s="4"/>
      <c r="BA45" s="4"/>
    </row>
    <row r="46" ht="15.75" customHeight="1">
      <c r="A46" s="167" t="s">
        <v>116</v>
      </c>
      <c r="B46" s="188">
        <v>0.0</v>
      </c>
      <c r="C46" s="188">
        <v>0.0</v>
      </c>
      <c r="D46" s="188">
        <v>0.0</v>
      </c>
      <c r="E46" s="188">
        <f t="shared" si="70"/>
        <v>0</v>
      </c>
      <c r="F46" s="188">
        <v>0.0</v>
      </c>
      <c r="G46" s="188">
        <v>0.0</v>
      </c>
      <c r="H46" s="188">
        <v>0.0</v>
      </c>
      <c r="I46" s="188">
        <f t="shared" si="71"/>
        <v>0</v>
      </c>
      <c r="J46" s="188">
        <v>2.0</v>
      </c>
      <c r="K46" s="186"/>
      <c r="L46" s="188">
        <v>0.0</v>
      </c>
      <c r="M46" s="188">
        <f t="shared" si="72"/>
        <v>2</v>
      </c>
      <c r="N46" s="188">
        <v>224.0</v>
      </c>
      <c r="O46" s="188">
        <v>0.0</v>
      </c>
      <c r="P46" s="188">
        <v>0.0</v>
      </c>
      <c r="Q46" s="188">
        <f t="shared" si="73"/>
        <v>224</v>
      </c>
      <c r="R46" s="188">
        <f t="shared" si="74"/>
        <v>226</v>
      </c>
      <c r="S46" s="188">
        <v>0.0</v>
      </c>
      <c r="T46" s="186"/>
      <c r="U46" s="188">
        <v>4.0</v>
      </c>
      <c r="V46" s="188">
        <f t="shared" si="75"/>
        <v>4</v>
      </c>
      <c r="W46" s="188">
        <v>0.0</v>
      </c>
      <c r="X46" s="186"/>
      <c r="Y46" s="188">
        <v>4.0</v>
      </c>
      <c r="Z46" s="188">
        <v>1.0</v>
      </c>
      <c r="AA46" s="188">
        <v>63.0</v>
      </c>
      <c r="AB46" s="188">
        <v>346.0</v>
      </c>
      <c r="AC46" s="154"/>
      <c r="AD46" s="154"/>
      <c r="AE46" s="154"/>
      <c r="AF46" s="188">
        <v>1.0</v>
      </c>
      <c r="AG46" s="188">
        <v>63.0</v>
      </c>
      <c r="AH46" s="188">
        <v>346.0</v>
      </c>
      <c r="AI46" s="154">
        <f t="shared" si="76"/>
        <v>410</v>
      </c>
      <c r="AJ46" s="154"/>
      <c r="AK46" s="154"/>
      <c r="AL46" s="154"/>
      <c r="AM46" s="154">
        <f t="shared" si="77"/>
        <v>0</v>
      </c>
      <c r="AN46" s="154"/>
      <c r="AO46" s="154"/>
      <c r="AP46" s="154"/>
      <c r="AQ46" s="154">
        <f t="shared" si="78"/>
        <v>0</v>
      </c>
      <c r="AR46" s="154">
        <f t="shared" si="79"/>
        <v>414</v>
      </c>
      <c r="AS46" s="154">
        <f t="shared" si="8"/>
        <v>640</v>
      </c>
      <c r="AT46" s="4"/>
      <c r="AU46" s="4"/>
      <c r="AV46" s="4"/>
      <c r="AW46" s="4"/>
      <c r="AX46" s="4"/>
      <c r="AY46" s="4"/>
      <c r="AZ46" s="4"/>
      <c r="BA46" s="4"/>
    </row>
    <row r="47" ht="15.75" customHeight="1">
      <c r="A47" s="169" t="s">
        <v>117</v>
      </c>
      <c r="B47" s="188">
        <v>0.0</v>
      </c>
      <c r="C47" s="188">
        <v>0.0</v>
      </c>
      <c r="D47" s="188">
        <v>0.0</v>
      </c>
      <c r="E47" s="188">
        <f t="shared" si="70"/>
        <v>0</v>
      </c>
      <c r="F47" s="188">
        <v>0.0</v>
      </c>
      <c r="G47" s="188">
        <v>0.0</v>
      </c>
      <c r="H47" s="188">
        <v>0.0</v>
      </c>
      <c r="I47" s="188">
        <f t="shared" si="71"/>
        <v>0</v>
      </c>
      <c r="J47" s="188">
        <v>3.0</v>
      </c>
      <c r="K47" s="188">
        <v>0.0</v>
      </c>
      <c r="L47" s="188">
        <v>0.0</v>
      </c>
      <c r="M47" s="188">
        <f t="shared" si="72"/>
        <v>3</v>
      </c>
      <c r="N47" s="188">
        <v>0.0</v>
      </c>
      <c r="O47" s="188">
        <v>0.0</v>
      </c>
      <c r="P47" s="188">
        <v>0.0</v>
      </c>
      <c r="Q47" s="188">
        <f t="shared" si="73"/>
        <v>0</v>
      </c>
      <c r="R47" s="188">
        <f t="shared" si="74"/>
        <v>3</v>
      </c>
      <c r="S47" s="188">
        <v>0.0</v>
      </c>
      <c r="T47" s="188">
        <v>0.0</v>
      </c>
      <c r="U47" s="188">
        <v>197.0</v>
      </c>
      <c r="V47" s="188">
        <f t="shared" si="75"/>
        <v>197</v>
      </c>
      <c r="W47" s="188">
        <v>0.0</v>
      </c>
      <c r="X47" s="188">
        <v>0.0</v>
      </c>
      <c r="Y47" s="188">
        <v>197.0</v>
      </c>
      <c r="Z47" s="188">
        <v>0.0</v>
      </c>
      <c r="AA47" s="188">
        <v>0.0</v>
      </c>
      <c r="AB47" s="188">
        <v>293.0</v>
      </c>
      <c r="AC47" s="154"/>
      <c r="AD47" s="154"/>
      <c r="AE47" s="154"/>
      <c r="AF47" s="188">
        <v>0.0</v>
      </c>
      <c r="AG47" s="188">
        <v>0.0</v>
      </c>
      <c r="AH47" s="188">
        <v>293.0</v>
      </c>
      <c r="AI47" s="154">
        <f t="shared" si="76"/>
        <v>293</v>
      </c>
      <c r="AJ47" s="154"/>
      <c r="AK47" s="154"/>
      <c r="AL47" s="154"/>
      <c r="AM47" s="154">
        <f t="shared" si="77"/>
        <v>0</v>
      </c>
      <c r="AN47" s="154"/>
      <c r="AO47" s="154"/>
      <c r="AP47" s="154"/>
      <c r="AQ47" s="154">
        <f t="shared" si="78"/>
        <v>0</v>
      </c>
      <c r="AR47" s="154">
        <f t="shared" si="79"/>
        <v>490</v>
      </c>
      <c r="AS47" s="154">
        <f t="shared" si="8"/>
        <v>493</v>
      </c>
      <c r="AT47" s="4"/>
      <c r="AU47" s="4"/>
      <c r="AV47" s="4"/>
      <c r="AW47" s="4"/>
      <c r="AX47" s="4"/>
      <c r="AY47" s="4"/>
      <c r="AZ47" s="4"/>
      <c r="BA47" s="4"/>
    </row>
    <row r="48" ht="15.75" customHeight="1">
      <c r="A48" s="167" t="s">
        <v>118</v>
      </c>
      <c r="B48" s="188">
        <v>0.0</v>
      </c>
      <c r="C48" s="188">
        <v>0.0</v>
      </c>
      <c r="D48" s="188">
        <v>0.0</v>
      </c>
      <c r="E48" s="188">
        <f t="shared" si="70"/>
        <v>0</v>
      </c>
      <c r="F48" s="188">
        <v>0.0</v>
      </c>
      <c r="G48" s="188">
        <v>0.0</v>
      </c>
      <c r="H48" s="188">
        <v>0.0</v>
      </c>
      <c r="I48" s="188">
        <f t="shared" si="71"/>
        <v>0</v>
      </c>
      <c r="J48" s="188">
        <v>13.0</v>
      </c>
      <c r="K48" s="188">
        <v>0.0</v>
      </c>
      <c r="L48" s="188">
        <v>0.0</v>
      </c>
      <c r="M48" s="188">
        <f t="shared" si="72"/>
        <v>13</v>
      </c>
      <c r="N48" s="188">
        <v>0.0</v>
      </c>
      <c r="O48" s="188">
        <v>0.0</v>
      </c>
      <c r="P48" s="188">
        <v>0.0</v>
      </c>
      <c r="Q48" s="188">
        <f t="shared" si="73"/>
        <v>0</v>
      </c>
      <c r="R48" s="188">
        <f t="shared" si="74"/>
        <v>13</v>
      </c>
      <c r="S48" s="188">
        <v>0.0</v>
      </c>
      <c r="T48" s="186"/>
      <c r="U48" s="188">
        <v>26.0</v>
      </c>
      <c r="V48" s="188">
        <f t="shared" si="75"/>
        <v>26</v>
      </c>
      <c r="W48" s="188">
        <v>0.0</v>
      </c>
      <c r="X48" s="186"/>
      <c r="Y48" s="188">
        <v>26.0</v>
      </c>
      <c r="Z48" s="188">
        <v>0.0</v>
      </c>
      <c r="AA48" s="188">
        <v>20.0</v>
      </c>
      <c r="AB48" s="188">
        <v>61.0</v>
      </c>
      <c r="AC48" s="154"/>
      <c r="AD48" s="154"/>
      <c r="AE48" s="154"/>
      <c r="AF48" s="188">
        <v>0.0</v>
      </c>
      <c r="AG48" s="188">
        <v>20.0</v>
      </c>
      <c r="AH48" s="188">
        <v>61.0</v>
      </c>
      <c r="AI48" s="154">
        <f t="shared" si="76"/>
        <v>81</v>
      </c>
      <c r="AJ48" s="154"/>
      <c r="AK48" s="154"/>
      <c r="AL48" s="154"/>
      <c r="AM48" s="154">
        <f t="shared" si="77"/>
        <v>0</v>
      </c>
      <c r="AN48" s="154"/>
      <c r="AO48" s="154"/>
      <c r="AP48" s="154"/>
      <c r="AQ48" s="154">
        <f t="shared" si="78"/>
        <v>0</v>
      </c>
      <c r="AR48" s="154">
        <f t="shared" si="79"/>
        <v>107</v>
      </c>
      <c r="AS48" s="154">
        <f t="shared" si="8"/>
        <v>120</v>
      </c>
      <c r="AT48" s="4"/>
      <c r="AU48" s="4"/>
      <c r="AV48" s="4"/>
      <c r="AW48" s="4"/>
      <c r="AX48" s="4"/>
      <c r="AY48" s="4"/>
      <c r="AZ48" s="4"/>
      <c r="BA48" s="4"/>
    </row>
    <row r="49" ht="15.75" customHeight="1">
      <c r="A49" s="137" t="s">
        <v>119</v>
      </c>
      <c r="B49" s="191">
        <f t="shared" ref="B49:AB49" si="80">SUM(B50:B55)</f>
        <v>0</v>
      </c>
      <c r="C49" s="191">
        <f t="shared" si="80"/>
        <v>0</v>
      </c>
      <c r="D49" s="191">
        <f t="shared" si="80"/>
        <v>0</v>
      </c>
      <c r="E49" s="191">
        <f t="shared" si="80"/>
        <v>0</v>
      </c>
      <c r="F49" s="191">
        <f t="shared" si="80"/>
        <v>0</v>
      </c>
      <c r="G49" s="191">
        <f t="shared" si="80"/>
        <v>0</v>
      </c>
      <c r="H49" s="191">
        <f t="shared" si="80"/>
        <v>0</v>
      </c>
      <c r="I49" s="191">
        <f t="shared" si="80"/>
        <v>0</v>
      </c>
      <c r="J49" s="191">
        <f t="shared" si="80"/>
        <v>9</v>
      </c>
      <c r="K49" s="191">
        <f t="shared" si="80"/>
        <v>0</v>
      </c>
      <c r="L49" s="191">
        <f t="shared" si="80"/>
        <v>0</v>
      </c>
      <c r="M49" s="191">
        <f t="shared" si="80"/>
        <v>9</v>
      </c>
      <c r="N49" s="191">
        <f t="shared" si="80"/>
        <v>0</v>
      </c>
      <c r="O49" s="191">
        <f t="shared" si="80"/>
        <v>0</v>
      </c>
      <c r="P49" s="191">
        <f t="shared" si="80"/>
        <v>0</v>
      </c>
      <c r="Q49" s="191">
        <f t="shared" si="80"/>
        <v>0</v>
      </c>
      <c r="R49" s="191">
        <f t="shared" si="80"/>
        <v>9</v>
      </c>
      <c r="S49" s="187">
        <f t="shared" si="80"/>
        <v>0</v>
      </c>
      <c r="T49" s="187">
        <f t="shared" si="80"/>
        <v>0</v>
      </c>
      <c r="U49" s="187">
        <f t="shared" si="80"/>
        <v>1082</v>
      </c>
      <c r="V49" s="187">
        <f t="shared" si="80"/>
        <v>1082</v>
      </c>
      <c r="W49" s="187">
        <f t="shared" si="80"/>
        <v>0</v>
      </c>
      <c r="X49" s="187">
        <f t="shared" si="80"/>
        <v>0</v>
      </c>
      <c r="Y49" s="187">
        <f t="shared" si="80"/>
        <v>1082</v>
      </c>
      <c r="Z49" s="187">
        <f t="shared" si="80"/>
        <v>0</v>
      </c>
      <c r="AA49" s="187">
        <f t="shared" si="80"/>
        <v>197</v>
      </c>
      <c r="AB49" s="187">
        <f t="shared" si="80"/>
        <v>4057</v>
      </c>
      <c r="AC49" s="141"/>
      <c r="AD49" s="141"/>
      <c r="AE49" s="141"/>
      <c r="AF49" s="187">
        <f t="shared" ref="AF49:AR49" si="81">SUM(AF50:AF55)</f>
        <v>0</v>
      </c>
      <c r="AG49" s="187">
        <f t="shared" si="81"/>
        <v>197</v>
      </c>
      <c r="AH49" s="187">
        <f t="shared" si="81"/>
        <v>4057</v>
      </c>
      <c r="AI49" s="141">
        <f t="shared" si="81"/>
        <v>4254</v>
      </c>
      <c r="AJ49" s="141">
        <f t="shared" si="81"/>
        <v>0.739730756</v>
      </c>
      <c r="AK49" s="141">
        <f t="shared" si="81"/>
        <v>0</v>
      </c>
      <c r="AL49" s="141">
        <f t="shared" si="81"/>
        <v>0</v>
      </c>
      <c r="AM49" s="141">
        <f t="shared" si="81"/>
        <v>0.739730756</v>
      </c>
      <c r="AN49" s="141">
        <f t="shared" si="81"/>
        <v>0</v>
      </c>
      <c r="AO49" s="141">
        <f t="shared" si="81"/>
        <v>0</v>
      </c>
      <c r="AP49" s="141">
        <f t="shared" si="81"/>
        <v>0</v>
      </c>
      <c r="AQ49" s="141">
        <f t="shared" si="81"/>
        <v>0</v>
      </c>
      <c r="AR49" s="141">
        <f t="shared" si="81"/>
        <v>5336.739731</v>
      </c>
      <c r="AS49" s="141">
        <f t="shared" si="8"/>
        <v>5345.739731</v>
      </c>
      <c r="AT49" s="4"/>
      <c r="AU49" s="4"/>
      <c r="AV49" s="4"/>
      <c r="AW49" s="4"/>
      <c r="AX49" s="4"/>
      <c r="AY49" s="4"/>
      <c r="AZ49" s="4"/>
      <c r="BA49" s="4"/>
    </row>
    <row r="50" ht="15.75" customHeight="1">
      <c r="A50" s="167" t="s">
        <v>120</v>
      </c>
      <c r="B50" s="188">
        <v>0.0</v>
      </c>
      <c r="C50" s="188">
        <v>0.0</v>
      </c>
      <c r="D50" s="188">
        <v>0.0</v>
      </c>
      <c r="E50" s="188">
        <f t="shared" ref="E50:E55" si="82">SUM(B50:D50)</f>
        <v>0</v>
      </c>
      <c r="F50" s="188">
        <v>0.0</v>
      </c>
      <c r="G50" s="188">
        <v>0.0</v>
      </c>
      <c r="H50" s="186"/>
      <c r="I50" s="188">
        <f t="shared" ref="I50:I55" si="83">SUM(F50:H50)</f>
        <v>0</v>
      </c>
      <c r="J50" s="186"/>
      <c r="K50" s="186"/>
      <c r="L50" s="186"/>
      <c r="M50" s="188">
        <f t="shared" ref="M50:M55" si="84">SUM(J50:L50)</f>
        <v>0</v>
      </c>
      <c r="N50" s="186"/>
      <c r="O50" s="186"/>
      <c r="P50" s="186"/>
      <c r="Q50" s="188">
        <f t="shared" ref="Q50:Q55" si="85">SUM(N50:P50)</f>
        <v>0</v>
      </c>
      <c r="R50" s="188">
        <f t="shared" ref="R50:R55" si="86">SUM(E50,I50,M50,Q50)</f>
        <v>0</v>
      </c>
      <c r="S50" s="186"/>
      <c r="T50" s="186"/>
      <c r="U50" s="188">
        <v>114.0</v>
      </c>
      <c r="V50" s="188">
        <f t="shared" ref="V50:V55" si="87">SUM(S50:U50)</f>
        <v>114</v>
      </c>
      <c r="W50" s="186"/>
      <c r="X50" s="186"/>
      <c r="Y50" s="188">
        <v>114.0</v>
      </c>
      <c r="Z50" s="188">
        <v>0.0</v>
      </c>
      <c r="AA50" s="188">
        <v>9.0</v>
      </c>
      <c r="AB50" s="189">
        <v>572.0</v>
      </c>
      <c r="AC50" s="154"/>
      <c r="AD50" s="154"/>
      <c r="AE50" s="154"/>
      <c r="AF50" s="188">
        <v>0.0</v>
      </c>
      <c r="AG50" s="188">
        <v>9.0</v>
      </c>
      <c r="AH50" s="189">
        <v>572.0</v>
      </c>
      <c r="AI50" s="154">
        <f t="shared" ref="AI50:AI55" si="88">SUM(AF50:AH50)</f>
        <v>581</v>
      </c>
      <c r="AJ50" s="154"/>
      <c r="AK50" s="154"/>
      <c r="AL50" s="155"/>
      <c r="AM50" s="154">
        <f t="shared" ref="AM50:AM55" si="89">SUM(AJ50:AL50)</f>
        <v>0</v>
      </c>
      <c r="AN50" s="154"/>
      <c r="AO50" s="154"/>
      <c r="AP50" s="155"/>
      <c r="AQ50" s="154">
        <f t="shared" ref="AQ50:AQ55" si="90">SUM(AN50:AP50)</f>
        <v>0</v>
      </c>
      <c r="AR50" s="154">
        <f t="shared" ref="AR50:AR55" si="91">SUM(V50,AI50,AM50,AQ50)</f>
        <v>695</v>
      </c>
      <c r="AS50" s="154">
        <f t="shared" si="8"/>
        <v>695</v>
      </c>
      <c r="AT50" s="4"/>
      <c r="AU50" s="4"/>
      <c r="AV50" s="4"/>
      <c r="AW50" s="4"/>
      <c r="AX50" s="4"/>
      <c r="AY50" s="4"/>
      <c r="AZ50" s="4"/>
      <c r="BA50" s="4"/>
    </row>
    <row r="51" ht="15.75" customHeight="1">
      <c r="A51" s="167" t="s">
        <v>121</v>
      </c>
      <c r="B51" s="188">
        <v>0.0</v>
      </c>
      <c r="C51" s="188">
        <v>0.0</v>
      </c>
      <c r="D51" s="188">
        <v>0.0</v>
      </c>
      <c r="E51" s="188">
        <f t="shared" si="82"/>
        <v>0</v>
      </c>
      <c r="F51" s="188">
        <v>0.0</v>
      </c>
      <c r="G51" s="188">
        <v>0.0</v>
      </c>
      <c r="H51" s="186"/>
      <c r="I51" s="188">
        <f t="shared" si="83"/>
        <v>0</v>
      </c>
      <c r="J51" s="188">
        <v>9.0</v>
      </c>
      <c r="K51" s="186"/>
      <c r="L51" s="188">
        <v>0.0</v>
      </c>
      <c r="M51" s="188">
        <f t="shared" si="84"/>
        <v>9</v>
      </c>
      <c r="N51" s="188">
        <v>0.0</v>
      </c>
      <c r="O51" s="188">
        <v>0.0</v>
      </c>
      <c r="P51" s="188">
        <v>0.0</v>
      </c>
      <c r="Q51" s="188">
        <f t="shared" si="85"/>
        <v>0</v>
      </c>
      <c r="R51" s="188">
        <f t="shared" si="86"/>
        <v>9</v>
      </c>
      <c r="S51" s="188">
        <v>0.0</v>
      </c>
      <c r="T51" s="188">
        <v>0.0</v>
      </c>
      <c r="U51" s="188">
        <v>26.0</v>
      </c>
      <c r="V51" s="188">
        <f t="shared" si="87"/>
        <v>26</v>
      </c>
      <c r="W51" s="188">
        <v>0.0</v>
      </c>
      <c r="X51" s="188">
        <v>0.0</v>
      </c>
      <c r="Y51" s="188">
        <v>26.0</v>
      </c>
      <c r="Z51" s="188">
        <v>0.0</v>
      </c>
      <c r="AA51" s="188">
        <v>95.0</v>
      </c>
      <c r="AB51" s="188">
        <v>356.0</v>
      </c>
      <c r="AC51" s="154"/>
      <c r="AD51" s="154"/>
      <c r="AE51" s="154"/>
      <c r="AF51" s="188">
        <v>0.0</v>
      </c>
      <c r="AG51" s="188">
        <v>95.0</v>
      </c>
      <c r="AH51" s="188">
        <v>356.0</v>
      </c>
      <c r="AI51" s="154">
        <f t="shared" si="88"/>
        <v>451</v>
      </c>
      <c r="AJ51" s="154"/>
      <c r="AK51" s="154"/>
      <c r="AL51" s="154"/>
      <c r="AM51" s="154">
        <f t="shared" si="89"/>
        <v>0</v>
      </c>
      <c r="AN51" s="154"/>
      <c r="AO51" s="154"/>
      <c r="AP51" s="154"/>
      <c r="AQ51" s="154">
        <f t="shared" si="90"/>
        <v>0</v>
      </c>
      <c r="AR51" s="154">
        <f t="shared" si="91"/>
        <v>477</v>
      </c>
      <c r="AS51" s="154">
        <f t="shared" si="8"/>
        <v>486</v>
      </c>
      <c r="AT51" s="4"/>
      <c r="AU51" s="4"/>
      <c r="AV51" s="4"/>
      <c r="AW51" s="4"/>
      <c r="AX51" s="4"/>
      <c r="AY51" s="4"/>
      <c r="AZ51" s="4"/>
      <c r="BA51" s="4"/>
    </row>
    <row r="52" ht="15.75" customHeight="1">
      <c r="A52" s="167" t="s">
        <v>122</v>
      </c>
      <c r="B52" s="188">
        <v>0.0</v>
      </c>
      <c r="C52" s="188">
        <v>0.0</v>
      </c>
      <c r="D52" s="188">
        <v>0.0</v>
      </c>
      <c r="E52" s="188">
        <f t="shared" si="82"/>
        <v>0</v>
      </c>
      <c r="F52" s="188">
        <v>0.0</v>
      </c>
      <c r="G52" s="188">
        <v>0.0</v>
      </c>
      <c r="H52" s="186"/>
      <c r="I52" s="188">
        <f t="shared" si="83"/>
        <v>0</v>
      </c>
      <c r="J52" s="186"/>
      <c r="K52" s="186"/>
      <c r="L52" s="186"/>
      <c r="M52" s="188">
        <f t="shared" si="84"/>
        <v>0</v>
      </c>
      <c r="N52" s="186"/>
      <c r="O52" s="186"/>
      <c r="P52" s="186"/>
      <c r="Q52" s="188">
        <f t="shared" si="85"/>
        <v>0</v>
      </c>
      <c r="R52" s="188">
        <f t="shared" si="86"/>
        <v>0</v>
      </c>
      <c r="S52" s="186"/>
      <c r="T52" s="186"/>
      <c r="U52" s="188">
        <v>45.0</v>
      </c>
      <c r="V52" s="188">
        <f t="shared" si="87"/>
        <v>45</v>
      </c>
      <c r="W52" s="186"/>
      <c r="X52" s="186"/>
      <c r="Y52" s="188">
        <v>45.0</v>
      </c>
      <c r="Z52" s="188">
        <v>0.0</v>
      </c>
      <c r="AA52" s="188">
        <v>19.0</v>
      </c>
      <c r="AB52" s="188">
        <v>1427.0</v>
      </c>
      <c r="AC52" s="154"/>
      <c r="AD52" s="154"/>
      <c r="AE52" s="154"/>
      <c r="AF52" s="188">
        <v>0.0</v>
      </c>
      <c r="AG52" s="188">
        <v>19.0</v>
      </c>
      <c r="AH52" s="188">
        <v>1427.0</v>
      </c>
      <c r="AI52" s="154">
        <f t="shared" si="88"/>
        <v>1446</v>
      </c>
      <c r="AJ52" s="154"/>
      <c r="AK52" s="154"/>
      <c r="AL52" s="154"/>
      <c r="AM52" s="154">
        <f t="shared" si="89"/>
        <v>0</v>
      </c>
      <c r="AN52" s="154"/>
      <c r="AO52" s="154"/>
      <c r="AP52" s="154"/>
      <c r="AQ52" s="154">
        <f t="shared" si="90"/>
        <v>0</v>
      </c>
      <c r="AR52" s="154">
        <f t="shared" si="91"/>
        <v>1491</v>
      </c>
      <c r="AS52" s="154">
        <f t="shared" si="8"/>
        <v>1491</v>
      </c>
      <c r="AT52" s="4"/>
      <c r="AU52" s="4"/>
      <c r="AV52" s="4"/>
      <c r="AW52" s="4"/>
      <c r="AX52" s="4"/>
      <c r="AY52" s="4"/>
      <c r="AZ52" s="4"/>
      <c r="BA52" s="4"/>
    </row>
    <row r="53" ht="15.75" customHeight="1">
      <c r="A53" s="167" t="s">
        <v>123</v>
      </c>
      <c r="B53" s="188">
        <v>0.0</v>
      </c>
      <c r="C53" s="188">
        <v>0.0</v>
      </c>
      <c r="D53" s="188">
        <v>0.0</v>
      </c>
      <c r="E53" s="188">
        <f t="shared" si="82"/>
        <v>0</v>
      </c>
      <c r="F53" s="188">
        <v>0.0</v>
      </c>
      <c r="G53" s="188">
        <v>0.0</v>
      </c>
      <c r="H53" s="186"/>
      <c r="I53" s="188">
        <f t="shared" si="83"/>
        <v>0</v>
      </c>
      <c r="J53" s="186"/>
      <c r="K53" s="186"/>
      <c r="L53" s="186"/>
      <c r="M53" s="188">
        <f t="shared" si="84"/>
        <v>0</v>
      </c>
      <c r="N53" s="186"/>
      <c r="O53" s="186"/>
      <c r="P53" s="186"/>
      <c r="Q53" s="188">
        <f t="shared" si="85"/>
        <v>0</v>
      </c>
      <c r="R53" s="188">
        <f t="shared" si="86"/>
        <v>0</v>
      </c>
      <c r="S53" s="186"/>
      <c r="T53" s="186"/>
      <c r="U53" s="188">
        <v>7.0</v>
      </c>
      <c r="V53" s="188">
        <f t="shared" si="87"/>
        <v>7</v>
      </c>
      <c r="W53" s="186"/>
      <c r="X53" s="186"/>
      <c r="Y53" s="188">
        <v>7.0</v>
      </c>
      <c r="Z53" s="188">
        <v>0.0</v>
      </c>
      <c r="AA53" s="188">
        <v>26.0</v>
      </c>
      <c r="AB53" s="188">
        <v>485.0</v>
      </c>
      <c r="AC53" s="154"/>
      <c r="AD53" s="154"/>
      <c r="AE53" s="154"/>
      <c r="AF53" s="188">
        <v>0.0</v>
      </c>
      <c r="AG53" s="188">
        <v>26.0</v>
      </c>
      <c r="AH53" s="188">
        <v>485.0</v>
      </c>
      <c r="AI53" s="154">
        <f t="shared" si="88"/>
        <v>511</v>
      </c>
      <c r="AJ53" s="154"/>
      <c r="AK53" s="154"/>
      <c r="AL53" s="154"/>
      <c r="AM53" s="154">
        <f t="shared" si="89"/>
        <v>0</v>
      </c>
      <c r="AN53" s="154"/>
      <c r="AO53" s="154"/>
      <c r="AP53" s="154"/>
      <c r="AQ53" s="154">
        <f t="shared" si="90"/>
        <v>0</v>
      </c>
      <c r="AR53" s="154">
        <f t="shared" si="91"/>
        <v>518</v>
      </c>
      <c r="AS53" s="154">
        <f t="shared" si="8"/>
        <v>518</v>
      </c>
      <c r="AT53" s="4"/>
      <c r="AU53" s="4"/>
      <c r="AV53" s="4"/>
      <c r="AW53" s="4"/>
      <c r="AX53" s="4"/>
      <c r="AY53" s="4"/>
      <c r="AZ53" s="4"/>
      <c r="BA53" s="4"/>
    </row>
    <row r="54" ht="15.75" customHeight="1">
      <c r="A54" s="167" t="s">
        <v>124</v>
      </c>
      <c r="B54" s="188">
        <v>0.0</v>
      </c>
      <c r="C54" s="188">
        <v>0.0</v>
      </c>
      <c r="D54" s="188">
        <v>0.0</v>
      </c>
      <c r="E54" s="188">
        <f t="shared" si="82"/>
        <v>0</v>
      </c>
      <c r="F54" s="188">
        <v>0.0</v>
      </c>
      <c r="G54" s="188">
        <v>0.0</v>
      </c>
      <c r="H54" s="186"/>
      <c r="I54" s="188">
        <f t="shared" si="83"/>
        <v>0</v>
      </c>
      <c r="J54" s="186"/>
      <c r="K54" s="186"/>
      <c r="L54" s="186"/>
      <c r="M54" s="188">
        <f t="shared" si="84"/>
        <v>0</v>
      </c>
      <c r="N54" s="186"/>
      <c r="O54" s="186"/>
      <c r="P54" s="186"/>
      <c r="Q54" s="188">
        <f t="shared" si="85"/>
        <v>0</v>
      </c>
      <c r="R54" s="188">
        <f t="shared" si="86"/>
        <v>0</v>
      </c>
      <c r="S54" s="186"/>
      <c r="T54" s="186"/>
      <c r="U54" s="188">
        <v>681.0</v>
      </c>
      <c r="V54" s="188">
        <f t="shared" si="87"/>
        <v>681</v>
      </c>
      <c r="W54" s="186"/>
      <c r="X54" s="186"/>
      <c r="Y54" s="188">
        <v>681.0</v>
      </c>
      <c r="Z54" s="188">
        <v>0.0</v>
      </c>
      <c r="AA54" s="188">
        <v>0.0</v>
      </c>
      <c r="AB54" s="188">
        <v>743.0</v>
      </c>
      <c r="AC54" s="154"/>
      <c r="AD54" s="154"/>
      <c r="AE54" s="154"/>
      <c r="AF54" s="188">
        <v>0.0</v>
      </c>
      <c r="AG54" s="188">
        <v>0.0</v>
      </c>
      <c r="AH54" s="188">
        <v>743.0</v>
      </c>
      <c r="AI54" s="154">
        <f t="shared" si="88"/>
        <v>743</v>
      </c>
      <c r="AJ54" s="154"/>
      <c r="AK54" s="154"/>
      <c r="AL54" s="154"/>
      <c r="AM54" s="154">
        <f t="shared" si="89"/>
        <v>0</v>
      </c>
      <c r="AN54" s="154"/>
      <c r="AO54" s="154"/>
      <c r="AP54" s="154"/>
      <c r="AQ54" s="154">
        <f t="shared" si="90"/>
        <v>0</v>
      </c>
      <c r="AR54" s="154">
        <f t="shared" si="91"/>
        <v>1424</v>
      </c>
      <c r="AS54" s="154">
        <f t="shared" si="8"/>
        <v>1424</v>
      </c>
      <c r="AT54" s="4"/>
      <c r="AU54" s="4"/>
      <c r="AV54" s="4"/>
      <c r="AW54" s="4"/>
      <c r="AX54" s="4"/>
      <c r="AY54" s="4"/>
      <c r="AZ54" s="4"/>
      <c r="BA54" s="4"/>
    </row>
    <row r="55" ht="15.75" customHeight="1">
      <c r="A55" s="167" t="s">
        <v>125</v>
      </c>
      <c r="B55" s="188">
        <v>0.0</v>
      </c>
      <c r="C55" s="188">
        <v>0.0</v>
      </c>
      <c r="D55" s="188">
        <v>0.0</v>
      </c>
      <c r="E55" s="188">
        <f t="shared" si="82"/>
        <v>0</v>
      </c>
      <c r="F55" s="188">
        <v>0.0</v>
      </c>
      <c r="G55" s="188">
        <v>0.0</v>
      </c>
      <c r="H55" s="186"/>
      <c r="I55" s="188">
        <f t="shared" si="83"/>
        <v>0</v>
      </c>
      <c r="J55" s="186"/>
      <c r="K55" s="186"/>
      <c r="L55" s="186"/>
      <c r="M55" s="188">
        <f t="shared" si="84"/>
        <v>0</v>
      </c>
      <c r="N55" s="186"/>
      <c r="O55" s="186"/>
      <c r="P55" s="186"/>
      <c r="Q55" s="188">
        <f t="shared" si="85"/>
        <v>0</v>
      </c>
      <c r="R55" s="188">
        <f t="shared" si="86"/>
        <v>0</v>
      </c>
      <c r="S55" s="186"/>
      <c r="T55" s="186"/>
      <c r="U55" s="188">
        <v>209.0</v>
      </c>
      <c r="V55" s="188">
        <f t="shared" si="87"/>
        <v>209</v>
      </c>
      <c r="W55" s="186"/>
      <c r="X55" s="186"/>
      <c r="Y55" s="188">
        <v>209.0</v>
      </c>
      <c r="Z55" s="188">
        <v>0.0</v>
      </c>
      <c r="AA55" s="188">
        <v>48.0</v>
      </c>
      <c r="AB55" s="188">
        <v>474.0</v>
      </c>
      <c r="AC55" s="154"/>
      <c r="AD55" s="154"/>
      <c r="AE55" s="154"/>
      <c r="AF55" s="188">
        <v>0.0</v>
      </c>
      <c r="AG55" s="188">
        <v>48.0</v>
      </c>
      <c r="AH55" s="188">
        <v>474.0</v>
      </c>
      <c r="AI55" s="154">
        <f t="shared" si="88"/>
        <v>522</v>
      </c>
      <c r="AJ55" s="228">
        <f>2143/AH56</f>
        <v>0.739730756</v>
      </c>
      <c r="AK55" s="154"/>
      <c r="AL55" s="154"/>
      <c r="AM55" s="154">
        <f t="shared" si="89"/>
        <v>0.739730756</v>
      </c>
      <c r="AN55" s="154"/>
      <c r="AO55" s="154"/>
      <c r="AP55" s="154"/>
      <c r="AQ55" s="154">
        <f t="shared" si="90"/>
        <v>0</v>
      </c>
      <c r="AR55" s="154">
        <f t="shared" si="91"/>
        <v>731.7397308</v>
      </c>
      <c r="AS55" s="154">
        <f t="shared" si="8"/>
        <v>731.7397308</v>
      </c>
      <c r="AT55" s="4"/>
      <c r="AU55" s="4"/>
      <c r="AV55" s="4"/>
      <c r="AW55" s="4"/>
      <c r="AX55" s="4"/>
      <c r="AY55" s="4"/>
      <c r="AZ55" s="4"/>
      <c r="BA55" s="4"/>
    </row>
    <row r="56" ht="15.75" customHeight="1">
      <c r="A56" s="137" t="s">
        <v>126</v>
      </c>
      <c r="B56" s="191">
        <f t="shared" ref="B56:AK56" si="92">SUM(B57:B62)</f>
        <v>4</v>
      </c>
      <c r="C56" s="191">
        <f t="shared" si="92"/>
        <v>2</v>
      </c>
      <c r="D56" s="191">
        <f t="shared" si="92"/>
        <v>0</v>
      </c>
      <c r="E56" s="191">
        <f t="shared" si="92"/>
        <v>6</v>
      </c>
      <c r="F56" s="191">
        <f t="shared" si="92"/>
        <v>0</v>
      </c>
      <c r="G56" s="191">
        <f t="shared" si="92"/>
        <v>0</v>
      </c>
      <c r="H56" s="191">
        <f t="shared" si="92"/>
        <v>0</v>
      </c>
      <c r="I56" s="191">
        <f t="shared" si="92"/>
        <v>0</v>
      </c>
      <c r="J56" s="191">
        <f t="shared" si="92"/>
        <v>3</v>
      </c>
      <c r="K56" s="191">
        <f t="shared" si="92"/>
        <v>0</v>
      </c>
      <c r="L56" s="191">
        <f t="shared" si="92"/>
        <v>0</v>
      </c>
      <c r="M56" s="191">
        <f t="shared" si="92"/>
        <v>3</v>
      </c>
      <c r="N56" s="191">
        <f t="shared" si="92"/>
        <v>2</v>
      </c>
      <c r="O56" s="191">
        <f t="shared" si="92"/>
        <v>0</v>
      </c>
      <c r="P56" s="191">
        <f t="shared" si="92"/>
        <v>0</v>
      </c>
      <c r="Q56" s="191">
        <f t="shared" si="92"/>
        <v>2</v>
      </c>
      <c r="R56" s="191">
        <f t="shared" si="92"/>
        <v>11</v>
      </c>
      <c r="S56" s="187">
        <f t="shared" si="92"/>
        <v>3485</v>
      </c>
      <c r="T56" s="187">
        <f t="shared" si="92"/>
        <v>5317</v>
      </c>
      <c r="U56" s="187">
        <f t="shared" si="92"/>
        <v>3225</v>
      </c>
      <c r="V56" s="187">
        <f t="shared" si="92"/>
        <v>12027</v>
      </c>
      <c r="W56" s="187">
        <f t="shared" si="92"/>
        <v>3485</v>
      </c>
      <c r="X56" s="187">
        <f t="shared" si="92"/>
        <v>5317</v>
      </c>
      <c r="Y56" s="187">
        <f t="shared" si="92"/>
        <v>2143</v>
      </c>
      <c r="Z56" s="187">
        <f t="shared" si="92"/>
        <v>5402</v>
      </c>
      <c r="AA56" s="187">
        <f t="shared" si="92"/>
        <v>5987</v>
      </c>
      <c r="AB56" s="187">
        <f t="shared" si="92"/>
        <v>5040</v>
      </c>
      <c r="AC56" s="187">
        <f t="shared" si="92"/>
        <v>1917</v>
      </c>
      <c r="AD56" s="187">
        <f t="shared" si="92"/>
        <v>670</v>
      </c>
      <c r="AE56" s="187">
        <f t="shared" si="92"/>
        <v>2897</v>
      </c>
      <c r="AF56" s="187">
        <f t="shared" si="92"/>
        <v>1917</v>
      </c>
      <c r="AG56" s="187">
        <f t="shared" si="92"/>
        <v>670</v>
      </c>
      <c r="AH56" s="187">
        <f t="shared" si="92"/>
        <v>2897</v>
      </c>
      <c r="AI56" s="141">
        <f t="shared" si="92"/>
        <v>5484</v>
      </c>
      <c r="AJ56" s="141">
        <f t="shared" si="92"/>
        <v>2143</v>
      </c>
      <c r="AK56" s="141">
        <f t="shared" si="92"/>
        <v>754</v>
      </c>
      <c r="AL56" s="141"/>
      <c r="AM56" s="141">
        <f t="shared" ref="AM56:AR56" si="93">SUM(AM57:AM62)</f>
        <v>2897</v>
      </c>
      <c r="AN56" s="141">
        <f t="shared" si="93"/>
        <v>0</v>
      </c>
      <c r="AO56" s="141">
        <f t="shared" si="93"/>
        <v>0</v>
      </c>
      <c r="AP56" s="141">
        <f t="shared" si="93"/>
        <v>0</v>
      </c>
      <c r="AQ56" s="141">
        <f t="shared" si="93"/>
        <v>0</v>
      </c>
      <c r="AR56" s="141">
        <f t="shared" si="93"/>
        <v>20408</v>
      </c>
      <c r="AS56" s="141">
        <f t="shared" si="8"/>
        <v>20419</v>
      </c>
      <c r="AT56" s="4"/>
      <c r="AU56" s="4"/>
      <c r="AV56" s="4"/>
      <c r="AW56" s="4"/>
      <c r="AX56" s="4"/>
      <c r="AY56" s="4"/>
      <c r="AZ56" s="4"/>
      <c r="BA56" s="4"/>
    </row>
    <row r="57" ht="15.75" customHeight="1">
      <c r="A57" s="167" t="s">
        <v>127</v>
      </c>
      <c r="B57" s="188">
        <v>0.0</v>
      </c>
      <c r="C57" s="188">
        <v>0.0</v>
      </c>
      <c r="D57" s="188">
        <v>0.0</v>
      </c>
      <c r="E57" s="188">
        <f t="shared" ref="E57:E62" si="95">SUM(B57:D57)</f>
        <v>0</v>
      </c>
      <c r="F57" s="188">
        <v>0.0</v>
      </c>
      <c r="G57" s="188">
        <v>0.0</v>
      </c>
      <c r="H57" s="188">
        <v>0.0</v>
      </c>
      <c r="I57" s="188">
        <f t="shared" ref="I57:I62" si="96">SUM(F57:H57)</f>
        <v>0</v>
      </c>
      <c r="J57" s="188">
        <v>2.0</v>
      </c>
      <c r="K57" s="186"/>
      <c r="L57" s="188">
        <v>0.0</v>
      </c>
      <c r="M57" s="188">
        <f t="shared" ref="M57:M62" si="97">SUM(J57:L57)</f>
        <v>2</v>
      </c>
      <c r="N57" s="188">
        <v>0.0</v>
      </c>
      <c r="O57" s="188">
        <v>0.0</v>
      </c>
      <c r="P57" s="188">
        <v>0.0</v>
      </c>
      <c r="Q57" s="188">
        <f t="shared" ref="Q57:Q62" si="98">SUM(N57:P57)</f>
        <v>0</v>
      </c>
      <c r="R57" s="188">
        <f t="shared" ref="R57:R62" si="99">SUM(E57,I57,M57,Q57)</f>
        <v>2</v>
      </c>
      <c r="S57" s="188">
        <v>987.0</v>
      </c>
      <c r="T57" s="188">
        <v>990.0</v>
      </c>
      <c r="U57" s="188">
        <v>538.0</v>
      </c>
      <c r="V57" s="188">
        <f t="shared" ref="V57:V62" si="100">SUM(S57:U57)</f>
        <v>2515</v>
      </c>
      <c r="W57" s="188">
        <v>987.0</v>
      </c>
      <c r="X57" s="188">
        <v>990.0</v>
      </c>
      <c r="Y57" s="188">
        <v>424.0</v>
      </c>
      <c r="Z57" s="188">
        <v>1012.0</v>
      </c>
      <c r="AA57" s="188">
        <v>995.0</v>
      </c>
      <c r="AB57" s="188">
        <v>997.0</v>
      </c>
      <c r="AC57" s="154">
        <f t="shared" ref="AC57:AE57" si="94">Z57-W57</f>
        <v>25</v>
      </c>
      <c r="AD57" s="154">
        <f t="shared" si="94"/>
        <v>5</v>
      </c>
      <c r="AE57" s="154">
        <f t="shared" si="94"/>
        <v>573</v>
      </c>
      <c r="AF57" s="188">
        <v>25.0</v>
      </c>
      <c r="AG57" s="188">
        <v>5.0</v>
      </c>
      <c r="AH57" s="188">
        <v>573.0</v>
      </c>
      <c r="AI57" s="154">
        <f t="shared" ref="AI57:AI62" si="101">SUM(AF57:AH57)</f>
        <v>603</v>
      </c>
      <c r="AJ57" s="176">
        <v>424.0</v>
      </c>
      <c r="AK57" s="227">
        <f t="shared" ref="AK57:AK62" si="102">AH57-AJ57</f>
        <v>149</v>
      </c>
      <c r="AL57" s="154"/>
      <c r="AM57" s="154">
        <f t="shared" ref="AM57:AM62" si="103">SUM(AJ57:AL57)</f>
        <v>573</v>
      </c>
      <c r="AN57" s="154"/>
      <c r="AO57" s="154"/>
      <c r="AP57" s="154"/>
      <c r="AQ57" s="154">
        <f t="shared" ref="AQ57:AQ62" si="104">SUM(AN57:AP57)</f>
        <v>0</v>
      </c>
      <c r="AR57" s="154">
        <f t="shared" ref="AR57:AR62" si="105">SUM(V57,AI57,AM57,AQ57)</f>
        <v>3691</v>
      </c>
      <c r="AS57" s="154">
        <f t="shared" si="8"/>
        <v>3693</v>
      </c>
      <c r="AT57" s="4"/>
      <c r="AU57" s="4"/>
      <c r="AV57" s="4"/>
      <c r="AW57" s="4"/>
      <c r="AX57" s="4"/>
      <c r="AY57" s="4"/>
      <c r="AZ57" s="4"/>
      <c r="BA57" s="4"/>
    </row>
    <row r="58" ht="15.75" customHeight="1">
      <c r="A58" s="167" t="s">
        <v>128</v>
      </c>
      <c r="B58" s="188">
        <v>0.0</v>
      </c>
      <c r="C58" s="188">
        <v>0.0</v>
      </c>
      <c r="D58" s="188">
        <v>0.0</v>
      </c>
      <c r="E58" s="188">
        <f t="shared" si="95"/>
        <v>0</v>
      </c>
      <c r="F58" s="188">
        <v>0.0</v>
      </c>
      <c r="G58" s="188">
        <v>0.0</v>
      </c>
      <c r="H58" s="186"/>
      <c r="I58" s="188">
        <f t="shared" si="96"/>
        <v>0</v>
      </c>
      <c r="J58" s="186"/>
      <c r="K58" s="186"/>
      <c r="L58" s="188">
        <v>0.0</v>
      </c>
      <c r="M58" s="188">
        <f t="shared" si="97"/>
        <v>0</v>
      </c>
      <c r="N58" s="186"/>
      <c r="O58" s="186"/>
      <c r="P58" s="186"/>
      <c r="Q58" s="188">
        <f t="shared" si="98"/>
        <v>0</v>
      </c>
      <c r="R58" s="188">
        <f t="shared" si="99"/>
        <v>0</v>
      </c>
      <c r="S58" s="188">
        <v>210.0</v>
      </c>
      <c r="T58" s="188">
        <v>574.0</v>
      </c>
      <c r="U58" s="188">
        <v>259.0</v>
      </c>
      <c r="V58" s="188">
        <f t="shared" si="100"/>
        <v>1043</v>
      </c>
      <c r="W58" s="188">
        <v>210.0</v>
      </c>
      <c r="X58" s="188">
        <v>574.0</v>
      </c>
      <c r="Y58" s="188">
        <v>233.0</v>
      </c>
      <c r="Z58" s="188">
        <v>307.0</v>
      </c>
      <c r="AA58" s="188">
        <v>1087.0</v>
      </c>
      <c r="AB58" s="188">
        <v>549.0</v>
      </c>
      <c r="AC58" s="154">
        <f>Z58-W58</f>
        <v>97</v>
      </c>
      <c r="AD58" s="154">
        <f>AA58-X58-199</f>
        <v>314</v>
      </c>
      <c r="AE58" s="154">
        <f>AB58-Y58</f>
        <v>316</v>
      </c>
      <c r="AF58" s="188">
        <v>97.0</v>
      </c>
      <c r="AG58" s="188">
        <v>314.0</v>
      </c>
      <c r="AH58" s="188">
        <v>316.0</v>
      </c>
      <c r="AI58" s="154">
        <f t="shared" si="101"/>
        <v>727</v>
      </c>
      <c r="AJ58" s="176">
        <v>233.0</v>
      </c>
      <c r="AK58" s="227">
        <f t="shared" si="102"/>
        <v>83</v>
      </c>
      <c r="AL58" s="154"/>
      <c r="AM58" s="154">
        <f t="shared" si="103"/>
        <v>316</v>
      </c>
      <c r="AN58" s="154"/>
      <c r="AO58" s="154"/>
      <c r="AP58" s="154"/>
      <c r="AQ58" s="154">
        <f t="shared" si="104"/>
        <v>0</v>
      </c>
      <c r="AR58" s="154">
        <f t="shared" si="105"/>
        <v>2086</v>
      </c>
      <c r="AS58" s="154">
        <f t="shared" si="8"/>
        <v>2086</v>
      </c>
      <c r="AT58" s="4"/>
      <c r="AU58" s="4"/>
      <c r="AV58" s="4"/>
      <c r="AW58" s="4"/>
      <c r="AX58" s="4"/>
      <c r="AY58" s="4"/>
      <c r="AZ58" s="4"/>
      <c r="BA58" s="4"/>
    </row>
    <row r="59" ht="15.75" customHeight="1">
      <c r="A59" s="167" t="s">
        <v>129</v>
      </c>
      <c r="B59" s="188">
        <v>0.0</v>
      </c>
      <c r="C59" s="188">
        <v>0.0</v>
      </c>
      <c r="D59" s="188">
        <v>0.0</v>
      </c>
      <c r="E59" s="188">
        <f t="shared" si="95"/>
        <v>0</v>
      </c>
      <c r="F59" s="188">
        <v>0.0</v>
      </c>
      <c r="G59" s="188">
        <v>0.0</v>
      </c>
      <c r="H59" s="186"/>
      <c r="I59" s="188">
        <f t="shared" si="96"/>
        <v>0</v>
      </c>
      <c r="J59" s="186"/>
      <c r="K59" s="186"/>
      <c r="L59" s="186"/>
      <c r="M59" s="188">
        <f t="shared" si="97"/>
        <v>0</v>
      </c>
      <c r="N59" s="186"/>
      <c r="O59" s="186"/>
      <c r="P59" s="186"/>
      <c r="Q59" s="188">
        <f t="shared" si="98"/>
        <v>0</v>
      </c>
      <c r="R59" s="188">
        <f t="shared" si="99"/>
        <v>0</v>
      </c>
      <c r="S59" s="188">
        <v>927.0</v>
      </c>
      <c r="T59" s="188">
        <v>667.0</v>
      </c>
      <c r="U59" s="188">
        <v>340.0</v>
      </c>
      <c r="V59" s="188">
        <f t="shared" si="100"/>
        <v>1934</v>
      </c>
      <c r="W59" s="188">
        <v>927.0</v>
      </c>
      <c r="X59" s="188">
        <v>667.0</v>
      </c>
      <c r="Y59" s="188">
        <v>295.0</v>
      </c>
      <c r="Z59" s="188">
        <v>794.0</v>
      </c>
      <c r="AA59" s="188">
        <v>752.0</v>
      </c>
      <c r="AB59" s="188">
        <v>694.0</v>
      </c>
      <c r="AC59" s="176">
        <v>0.0</v>
      </c>
      <c r="AD59" s="154">
        <f t="shared" ref="AD59:AE59" si="106">AA59-X59</f>
        <v>85</v>
      </c>
      <c r="AE59" s="154">
        <f t="shared" si="106"/>
        <v>399</v>
      </c>
      <c r="AF59" s="188">
        <v>0.0</v>
      </c>
      <c r="AG59" s="188">
        <v>85.0</v>
      </c>
      <c r="AH59" s="188">
        <v>399.0</v>
      </c>
      <c r="AI59" s="154">
        <f t="shared" si="101"/>
        <v>484</v>
      </c>
      <c r="AJ59" s="176">
        <v>295.0</v>
      </c>
      <c r="AK59" s="227">
        <f t="shared" si="102"/>
        <v>104</v>
      </c>
      <c r="AL59" s="154"/>
      <c r="AM59" s="154">
        <f t="shared" si="103"/>
        <v>399</v>
      </c>
      <c r="AN59" s="154"/>
      <c r="AO59" s="154"/>
      <c r="AP59" s="154"/>
      <c r="AQ59" s="154">
        <f t="shared" si="104"/>
        <v>0</v>
      </c>
      <c r="AR59" s="154">
        <f t="shared" si="105"/>
        <v>2817</v>
      </c>
      <c r="AS59" s="154">
        <f t="shared" si="8"/>
        <v>2817</v>
      </c>
      <c r="AT59" s="4"/>
      <c r="AU59" s="4"/>
      <c r="AV59" s="4"/>
      <c r="AW59" s="4"/>
      <c r="AX59" s="4"/>
      <c r="AY59" s="4"/>
      <c r="AZ59" s="4"/>
      <c r="BA59" s="4"/>
    </row>
    <row r="60" ht="15.75" customHeight="1">
      <c r="A60" s="167" t="s">
        <v>130</v>
      </c>
      <c r="B60" s="188">
        <v>4.0</v>
      </c>
      <c r="C60" s="188">
        <v>2.0</v>
      </c>
      <c r="D60" s="188">
        <v>0.0</v>
      </c>
      <c r="E60" s="188">
        <f t="shared" si="95"/>
        <v>6</v>
      </c>
      <c r="F60" s="188">
        <v>0.0</v>
      </c>
      <c r="G60" s="188">
        <v>0.0</v>
      </c>
      <c r="H60" s="188">
        <v>0.0</v>
      </c>
      <c r="I60" s="188">
        <f t="shared" si="96"/>
        <v>0</v>
      </c>
      <c r="J60" s="188">
        <v>0.0</v>
      </c>
      <c r="K60" s="186"/>
      <c r="L60" s="188">
        <v>0.0</v>
      </c>
      <c r="M60" s="188">
        <f t="shared" si="97"/>
        <v>0</v>
      </c>
      <c r="N60" s="188">
        <v>0.0</v>
      </c>
      <c r="O60" s="188">
        <v>0.0</v>
      </c>
      <c r="P60" s="186"/>
      <c r="Q60" s="188">
        <f t="shared" si="98"/>
        <v>0</v>
      </c>
      <c r="R60" s="188">
        <f t="shared" si="99"/>
        <v>6</v>
      </c>
      <c r="S60" s="186"/>
      <c r="T60" s="188">
        <v>201.0</v>
      </c>
      <c r="U60" s="188">
        <v>9.0</v>
      </c>
      <c r="V60" s="188">
        <f t="shared" si="100"/>
        <v>210</v>
      </c>
      <c r="W60" s="186"/>
      <c r="X60" s="188">
        <v>201.0</v>
      </c>
      <c r="Y60" s="188">
        <v>2.0</v>
      </c>
      <c r="Z60" s="188">
        <v>0.0</v>
      </c>
      <c r="AA60" s="188">
        <v>2.0</v>
      </c>
      <c r="AB60" s="189">
        <v>4.0</v>
      </c>
      <c r="AC60" s="154">
        <f t="shared" ref="AC60:AC61" si="107">Z60-W60</f>
        <v>0</v>
      </c>
      <c r="AD60" s="176">
        <v>0.0</v>
      </c>
      <c r="AE60" s="154">
        <f t="shared" ref="AE60:AE62" si="108">AB60-Y60</f>
        <v>2</v>
      </c>
      <c r="AF60" s="188">
        <v>0.0</v>
      </c>
      <c r="AG60" s="188">
        <v>0.0</v>
      </c>
      <c r="AH60" s="188">
        <v>2.0</v>
      </c>
      <c r="AI60" s="154">
        <f t="shared" si="101"/>
        <v>2</v>
      </c>
      <c r="AJ60" s="176">
        <v>2.0</v>
      </c>
      <c r="AK60" s="227">
        <f t="shared" si="102"/>
        <v>0</v>
      </c>
      <c r="AL60" s="154"/>
      <c r="AM60" s="154">
        <f t="shared" si="103"/>
        <v>2</v>
      </c>
      <c r="AN60" s="154"/>
      <c r="AO60" s="154"/>
      <c r="AP60" s="155"/>
      <c r="AQ60" s="154">
        <f t="shared" si="104"/>
        <v>0</v>
      </c>
      <c r="AR60" s="154">
        <f t="shared" si="105"/>
        <v>214</v>
      </c>
      <c r="AS60" s="154">
        <f t="shared" si="8"/>
        <v>220</v>
      </c>
      <c r="AT60" s="4"/>
      <c r="AU60" s="4"/>
      <c r="AV60" s="4"/>
      <c r="AW60" s="4"/>
      <c r="AX60" s="4"/>
      <c r="AY60" s="4"/>
      <c r="AZ60" s="4"/>
      <c r="BA60" s="4"/>
    </row>
    <row r="61" ht="15.75" customHeight="1">
      <c r="A61" s="169" t="s">
        <v>131</v>
      </c>
      <c r="B61" s="188">
        <v>0.0</v>
      </c>
      <c r="C61" s="188">
        <v>0.0</v>
      </c>
      <c r="D61" s="188">
        <v>0.0</v>
      </c>
      <c r="E61" s="188">
        <f t="shared" si="95"/>
        <v>0</v>
      </c>
      <c r="F61" s="188">
        <v>0.0</v>
      </c>
      <c r="G61" s="188">
        <v>0.0</v>
      </c>
      <c r="H61" s="188">
        <v>0.0</v>
      </c>
      <c r="I61" s="188">
        <f t="shared" si="96"/>
        <v>0</v>
      </c>
      <c r="J61" s="188">
        <v>1.0</v>
      </c>
      <c r="K61" s="188">
        <v>0.0</v>
      </c>
      <c r="L61" s="188">
        <v>0.0</v>
      </c>
      <c r="M61" s="188">
        <f t="shared" si="97"/>
        <v>1</v>
      </c>
      <c r="N61" s="188">
        <v>2.0</v>
      </c>
      <c r="O61" s="188">
        <v>0.0</v>
      </c>
      <c r="P61" s="188">
        <v>0.0</v>
      </c>
      <c r="Q61" s="188">
        <f t="shared" si="98"/>
        <v>2</v>
      </c>
      <c r="R61" s="188">
        <f t="shared" si="99"/>
        <v>3</v>
      </c>
      <c r="S61" s="188">
        <v>1260.0</v>
      </c>
      <c r="T61" s="188">
        <v>1905.0</v>
      </c>
      <c r="U61" s="188">
        <v>1361.0</v>
      </c>
      <c r="V61" s="188">
        <f t="shared" si="100"/>
        <v>4526</v>
      </c>
      <c r="W61" s="188">
        <v>1260.0</v>
      </c>
      <c r="X61" s="188">
        <v>1905.0</v>
      </c>
      <c r="Y61" s="188">
        <v>680.0</v>
      </c>
      <c r="Z61" s="188">
        <v>2029.0</v>
      </c>
      <c r="AA61" s="188">
        <v>1562.0</v>
      </c>
      <c r="AB61" s="188">
        <f>1596+3</f>
        <v>1599</v>
      </c>
      <c r="AC61" s="154">
        <f t="shared" si="107"/>
        <v>769</v>
      </c>
      <c r="AD61" s="176">
        <v>0.0</v>
      </c>
      <c r="AE61" s="154">
        <f t="shared" si="108"/>
        <v>919</v>
      </c>
      <c r="AF61" s="188">
        <v>769.0</v>
      </c>
      <c r="AG61" s="188">
        <v>0.0</v>
      </c>
      <c r="AH61" s="188">
        <v>919.0</v>
      </c>
      <c r="AI61" s="154">
        <f t="shared" si="101"/>
        <v>1688</v>
      </c>
      <c r="AJ61" s="176">
        <v>680.0</v>
      </c>
      <c r="AK61" s="227">
        <f t="shared" si="102"/>
        <v>239</v>
      </c>
      <c r="AL61" s="154"/>
      <c r="AM61" s="154">
        <f t="shared" si="103"/>
        <v>919</v>
      </c>
      <c r="AN61" s="154"/>
      <c r="AO61" s="154"/>
      <c r="AP61" s="154"/>
      <c r="AQ61" s="154">
        <f t="shared" si="104"/>
        <v>0</v>
      </c>
      <c r="AR61" s="154">
        <f t="shared" si="105"/>
        <v>7133</v>
      </c>
      <c r="AS61" s="154">
        <f t="shared" si="8"/>
        <v>7136</v>
      </c>
      <c r="AT61" s="4"/>
      <c r="AU61" s="4"/>
      <c r="AV61" s="4"/>
      <c r="AW61" s="4"/>
      <c r="AX61" s="4"/>
      <c r="AY61" s="4"/>
      <c r="AZ61" s="4"/>
      <c r="BA61" s="4"/>
    </row>
    <row r="62" ht="15.75" customHeight="1">
      <c r="A62" s="169" t="s">
        <v>132</v>
      </c>
      <c r="B62" s="188">
        <v>0.0</v>
      </c>
      <c r="C62" s="188">
        <v>0.0</v>
      </c>
      <c r="D62" s="188">
        <v>0.0</v>
      </c>
      <c r="E62" s="188">
        <f t="shared" si="95"/>
        <v>0</v>
      </c>
      <c r="F62" s="188">
        <v>0.0</v>
      </c>
      <c r="G62" s="188">
        <v>0.0</v>
      </c>
      <c r="H62" s="188">
        <v>0.0</v>
      </c>
      <c r="I62" s="188">
        <f t="shared" si="96"/>
        <v>0</v>
      </c>
      <c r="J62" s="188">
        <v>0.0</v>
      </c>
      <c r="K62" s="188">
        <v>0.0</v>
      </c>
      <c r="L62" s="188">
        <v>0.0</v>
      </c>
      <c r="M62" s="188">
        <f t="shared" si="97"/>
        <v>0</v>
      </c>
      <c r="N62" s="188">
        <v>0.0</v>
      </c>
      <c r="O62" s="188">
        <v>0.0</v>
      </c>
      <c r="P62" s="188">
        <v>0.0</v>
      </c>
      <c r="Q62" s="188">
        <f t="shared" si="98"/>
        <v>0</v>
      </c>
      <c r="R62" s="188">
        <f t="shared" si="99"/>
        <v>0</v>
      </c>
      <c r="S62" s="188">
        <v>101.0</v>
      </c>
      <c r="T62" s="188">
        <v>980.0</v>
      </c>
      <c r="U62" s="188">
        <v>718.0</v>
      </c>
      <c r="V62" s="188">
        <f t="shared" si="100"/>
        <v>1799</v>
      </c>
      <c r="W62" s="188">
        <v>101.0</v>
      </c>
      <c r="X62" s="188">
        <v>980.0</v>
      </c>
      <c r="Y62" s="188">
        <v>509.0</v>
      </c>
      <c r="Z62" s="188">
        <v>1260.0</v>
      </c>
      <c r="AA62" s="188">
        <v>1589.0</v>
      </c>
      <c r="AB62" s="188">
        <v>1197.0</v>
      </c>
      <c r="AC62" s="154">
        <f>Z62-W62-133</f>
        <v>1026</v>
      </c>
      <c r="AD62" s="154">
        <f>AA62-X62-343</f>
        <v>266</v>
      </c>
      <c r="AE62" s="154">
        <f t="shared" si="108"/>
        <v>688</v>
      </c>
      <c r="AF62" s="188">
        <v>1026.0</v>
      </c>
      <c r="AG62" s="188">
        <v>266.0</v>
      </c>
      <c r="AH62" s="188">
        <v>688.0</v>
      </c>
      <c r="AI62" s="154">
        <f t="shared" si="101"/>
        <v>1980</v>
      </c>
      <c r="AJ62" s="176">
        <v>509.0</v>
      </c>
      <c r="AK62" s="227">
        <f t="shared" si="102"/>
        <v>179</v>
      </c>
      <c r="AL62" s="154"/>
      <c r="AM62" s="154">
        <f t="shared" si="103"/>
        <v>688</v>
      </c>
      <c r="AN62" s="154"/>
      <c r="AO62" s="154"/>
      <c r="AP62" s="154"/>
      <c r="AQ62" s="154">
        <f t="shared" si="104"/>
        <v>0</v>
      </c>
      <c r="AR62" s="154">
        <f t="shared" si="105"/>
        <v>4467</v>
      </c>
      <c r="AS62" s="154">
        <f t="shared" si="8"/>
        <v>4467</v>
      </c>
      <c r="AT62" s="4"/>
      <c r="AU62" s="4"/>
      <c r="AV62" s="4"/>
      <c r="AW62" s="4"/>
      <c r="AX62" s="4"/>
      <c r="AY62" s="4"/>
      <c r="AZ62" s="4"/>
      <c r="BA62" s="4"/>
    </row>
    <row r="63" ht="15.75" customHeight="1">
      <c r="A63" s="137" t="s">
        <v>133</v>
      </c>
      <c r="B63" s="141">
        <f t="shared" ref="B63:AB63" si="109">SUM(B64:B67)</f>
        <v>0</v>
      </c>
      <c r="C63" s="141">
        <f t="shared" si="109"/>
        <v>0</v>
      </c>
      <c r="D63" s="141">
        <f t="shared" si="109"/>
        <v>0</v>
      </c>
      <c r="E63" s="141">
        <f t="shared" si="109"/>
        <v>0</v>
      </c>
      <c r="F63" s="141">
        <f t="shared" si="109"/>
        <v>0</v>
      </c>
      <c r="G63" s="141">
        <f t="shared" si="109"/>
        <v>0</v>
      </c>
      <c r="H63" s="141">
        <f t="shared" si="109"/>
        <v>1</v>
      </c>
      <c r="I63" s="141">
        <f t="shared" si="109"/>
        <v>1</v>
      </c>
      <c r="J63" s="141">
        <f t="shared" si="109"/>
        <v>143</v>
      </c>
      <c r="K63" s="141">
        <f t="shared" si="109"/>
        <v>0</v>
      </c>
      <c r="L63" s="141">
        <f t="shared" si="109"/>
        <v>0</v>
      </c>
      <c r="M63" s="141">
        <f t="shared" si="109"/>
        <v>143</v>
      </c>
      <c r="N63" s="141">
        <f t="shared" si="109"/>
        <v>68</v>
      </c>
      <c r="O63" s="141">
        <f t="shared" si="109"/>
        <v>0</v>
      </c>
      <c r="P63" s="141">
        <f t="shared" si="109"/>
        <v>1</v>
      </c>
      <c r="Q63" s="141">
        <f t="shared" si="109"/>
        <v>69</v>
      </c>
      <c r="R63" s="141">
        <f t="shared" si="109"/>
        <v>213</v>
      </c>
      <c r="S63" s="141">
        <f t="shared" si="109"/>
        <v>0</v>
      </c>
      <c r="T63" s="141">
        <f t="shared" si="109"/>
        <v>0</v>
      </c>
      <c r="U63" s="141">
        <f t="shared" si="109"/>
        <v>1</v>
      </c>
      <c r="V63" s="141">
        <f t="shared" si="109"/>
        <v>1</v>
      </c>
      <c r="W63" s="141">
        <f t="shared" si="109"/>
        <v>0</v>
      </c>
      <c r="X63" s="141">
        <f t="shared" si="109"/>
        <v>0</v>
      </c>
      <c r="Y63" s="141">
        <f t="shared" si="109"/>
        <v>1</v>
      </c>
      <c r="Z63" s="187">
        <f t="shared" si="109"/>
        <v>0</v>
      </c>
      <c r="AA63" s="187">
        <f t="shared" si="109"/>
        <v>0</v>
      </c>
      <c r="AB63" s="187">
        <f t="shared" si="109"/>
        <v>2</v>
      </c>
      <c r="AC63" s="141"/>
      <c r="AD63" s="141"/>
      <c r="AE63" s="141"/>
      <c r="AF63" s="187">
        <f t="shared" ref="AF63:AR63" si="110">SUM(AF64:AF67)</f>
        <v>0</v>
      </c>
      <c r="AG63" s="187">
        <f t="shared" si="110"/>
        <v>0</v>
      </c>
      <c r="AH63" s="187">
        <f t="shared" si="110"/>
        <v>2</v>
      </c>
      <c r="AI63" s="141">
        <f t="shared" si="110"/>
        <v>2</v>
      </c>
      <c r="AJ63" s="141">
        <f t="shared" si="110"/>
        <v>0</v>
      </c>
      <c r="AK63" s="141">
        <f t="shared" si="110"/>
        <v>0</v>
      </c>
      <c r="AL63" s="141">
        <f t="shared" si="110"/>
        <v>0</v>
      </c>
      <c r="AM63" s="141">
        <f t="shared" si="110"/>
        <v>0</v>
      </c>
      <c r="AN63" s="141">
        <f t="shared" si="110"/>
        <v>0</v>
      </c>
      <c r="AO63" s="141">
        <f t="shared" si="110"/>
        <v>0</v>
      </c>
      <c r="AP63" s="141">
        <f t="shared" si="110"/>
        <v>0</v>
      </c>
      <c r="AQ63" s="141">
        <f t="shared" si="110"/>
        <v>0</v>
      </c>
      <c r="AR63" s="141">
        <f t="shared" si="110"/>
        <v>3</v>
      </c>
      <c r="AS63" s="141">
        <f t="shared" si="8"/>
        <v>216</v>
      </c>
      <c r="AT63" s="4"/>
      <c r="AU63" s="4"/>
      <c r="AV63" s="4"/>
      <c r="AW63" s="4"/>
      <c r="AX63" s="4"/>
      <c r="AY63" s="4"/>
      <c r="AZ63" s="4"/>
      <c r="BA63" s="4"/>
    </row>
    <row r="64" ht="15.75" customHeight="1">
      <c r="A64" s="167" t="s">
        <v>134</v>
      </c>
      <c r="B64" s="188">
        <v>0.0</v>
      </c>
      <c r="C64" s="188">
        <v>0.0</v>
      </c>
      <c r="D64" s="188">
        <v>0.0</v>
      </c>
      <c r="E64" s="188">
        <f t="shared" ref="E64:E67" si="111">SUM(B64:D64)</f>
        <v>0</v>
      </c>
      <c r="F64" s="188">
        <v>0.0</v>
      </c>
      <c r="G64" s="188">
        <v>0.0</v>
      </c>
      <c r="H64" s="188">
        <v>0.0</v>
      </c>
      <c r="I64" s="188">
        <f t="shared" ref="I64:I67" si="112">SUM(F64:H64)</f>
        <v>0</v>
      </c>
      <c r="J64" s="188">
        <v>0.0</v>
      </c>
      <c r="K64" s="186"/>
      <c r="L64" s="186"/>
      <c r="M64" s="188">
        <f t="shared" ref="M64:M67" si="113">SUM(J64:L64)</f>
        <v>0</v>
      </c>
      <c r="N64" s="188">
        <v>68.0</v>
      </c>
      <c r="O64" s="186"/>
      <c r="P64" s="188">
        <v>1.0</v>
      </c>
      <c r="Q64" s="188">
        <f t="shared" ref="Q64:Q67" si="114">SUM(N64:P64)</f>
        <v>69</v>
      </c>
      <c r="R64" s="188">
        <f t="shared" ref="R64:R67" si="115">SUM(E64,I64,M64,Q64)</f>
        <v>69</v>
      </c>
      <c r="S64" s="186"/>
      <c r="T64" s="186"/>
      <c r="U64" s="188">
        <v>1.0</v>
      </c>
      <c r="V64" s="154">
        <f t="shared" ref="V64:V67" si="116">SUM(S64:U64)</f>
        <v>1</v>
      </c>
      <c r="W64" s="186"/>
      <c r="X64" s="186"/>
      <c r="Y64" s="188">
        <v>1.0</v>
      </c>
      <c r="Z64" s="188">
        <v>0.0</v>
      </c>
      <c r="AA64" s="188">
        <v>0.0</v>
      </c>
      <c r="AB64" s="188">
        <v>2.0</v>
      </c>
      <c r="AC64" s="154"/>
      <c r="AD64" s="154"/>
      <c r="AE64" s="154"/>
      <c r="AF64" s="188">
        <v>0.0</v>
      </c>
      <c r="AG64" s="188">
        <v>0.0</v>
      </c>
      <c r="AH64" s="188">
        <v>2.0</v>
      </c>
      <c r="AI64" s="154">
        <f t="shared" ref="AI64:AI67" si="117">SUM(AF64:AH64)</f>
        <v>2</v>
      </c>
      <c r="AJ64" s="154"/>
      <c r="AK64" s="154"/>
      <c r="AL64" s="154"/>
      <c r="AM64" s="154">
        <f t="shared" ref="AM64:AM67" si="118">SUM(AJ64:AL64)</f>
        <v>0</v>
      </c>
      <c r="AN64" s="154"/>
      <c r="AO64" s="154"/>
      <c r="AP64" s="154"/>
      <c r="AQ64" s="154">
        <f t="shared" ref="AQ64:AQ67" si="119">SUM(AN64:AP64)</f>
        <v>0</v>
      </c>
      <c r="AR64" s="154">
        <f t="shared" ref="AR64:AR67" si="120">SUM(V64,AI64,AM64,AQ64)</f>
        <v>3</v>
      </c>
      <c r="AS64" s="154">
        <f t="shared" si="8"/>
        <v>72</v>
      </c>
      <c r="AT64" s="4"/>
      <c r="AU64" s="4"/>
      <c r="AV64" s="4"/>
      <c r="AW64" s="4"/>
      <c r="AX64" s="4"/>
      <c r="AY64" s="4"/>
      <c r="AZ64" s="4"/>
      <c r="BA64" s="4"/>
    </row>
    <row r="65" ht="15.75" customHeight="1">
      <c r="A65" s="169" t="s">
        <v>135</v>
      </c>
      <c r="B65" s="188">
        <v>0.0</v>
      </c>
      <c r="C65" s="188">
        <v>0.0</v>
      </c>
      <c r="D65" s="188">
        <v>0.0</v>
      </c>
      <c r="E65" s="188">
        <f t="shared" si="111"/>
        <v>0</v>
      </c>
      <c r="F65" s="188">
        <v>0.0</v>
      </c>
      <c r="G65" s="188">
        <v>0.0</v>
      </c>
      <c r="H65" s="188">
        <v>1.0</v>
      </c>
      <c r="I65" s="188">
        <f t="shared" si="112"/>
        <v>1</v>
      </c>
      <c r="J65" s="188">
        <v>29.0</v>
      </c>
      <c r="K65" s="188">
        <v>0.0</v>
      </c>
      <c r="L65" s="188">
        <v>0.0</v>
      </c>
      <c r="M65" s="188">
        <f t="shared" si="113"/>
        <v>29</v>
      </c>
      <c r="N65" s="188">
        <v>0.0</v>
      </c>
      <c r="O65" s="188">
        <v>0.0</v>
      </c>
      <c r="P65" s="188">
        <v>0.0</v>
      </c>
      <c r="Q65" s="188">
        <f t="shared" si="114"/>
        <v>0</v>
      </c>
      <c r="R65" s="188">
        <f t="shared" si="115"/>
        <v>30</v>
      </c>
      <c r="S65" s="188">
        <v>0.0</v>
      </c>
      <c r="T65" s="188">
        <v>0.0</v>
      </c>
      <c r="U65" s="188">
        <v>0.0</v>
      </c>
      <c r="V65" s="154">
        <f t="shared" si="116"/>
        <v>0</v>
      </c>
      <c r="W65" s="188">
        <v>0.0</v>
      </c>
      <c r="X65" s="188">
        <v>0.0</v>
      </c>
      <c r="Y65" s="188">
        <v>0.0</v>
      </c>
      <c r="Z65" s="188">
        <v>0.0</v>
      </c>
      <c r="AA65" s="188">
        <v>0.0</v>
      </c>
      <c r="AB65" s="188">
        <v>0.0</v>
      </c>
      <c r="AC65" s="154"/>
      <c r="AD65" s="154"/>
      <c r="AE65" s="154"/>
      <c r="AF65" s="188">
        <v>0.0</v>
      </c>
      <c r="AG65" s="188">
        <v>0.0</v>
      </c>
      <c r="AH65" s="188">
        <v>0.0</v>
      </c>
      <c r="AI65" s="154">
        <f t="shared" si="117"/>
        <v>0</v>
      </c>
      <c r="AJ65" s="154"/>
      <c r="AK65" s="154"/>
      <c r="AL65" s="154"/>
      <c r="AM65" s="154">
        <f t="shared" si="118"/>
        <v>0</v>
      </c>
      <c r="AN65" s="154"/>
      <c r="AO65" s="154"/>
      <c r="AP65" s="154"/>
      <c r="AQ65" s="154">
        <f t="shared" si="119"/>
        <v>0</v>
      </c>
      <c r="AR65" s="154">
        <f t="shared" si="120"/>
        <v>0</v>
      </c>
      <c r="AS65" s="154">
        <f t="shared" si="8"/>
        <v>30</v>
      </c>
      <c r="AT65" s="4"/>
      <c r="AU65" s="4"/>
      <c r="AV65" s="4"/>
      <c r="AW65" s="4"/>
      <c r="AX65" s="4"/>
      <c r="AY65" s="4"/>
      <c r="AZ65" s="4"/>
      <c r="BA65" s="4"/>
    </row>
    <row r="66" ht="15.75" customHeight="1">
      <c r="A66" s="167" t="s">
        <v>136</v>
      </c>
      <c r="B66" s="188">
        <v>0.0</v>
      </c>
      <c r="C66" s="188">
        <v>0.0</v>
      </c>
      <c r="D66" s="188">
        <v>0.0</v>
      </c>
      <c r="E66" s="188">
        <f t="shared" si="111"/>
        <v>0</v>
      </c>
      <c r="F66" s="188">
        <v>0.0</v>
      </c>
      <c r="G66" s="188">
        <v>0.0</v>
      </c>
      <c r="H66" s="188">
        <v>0.0</v>
      </c>
      <c r="I66" s="188">
        <f t="shared" si="112"/>
        <v>0</v>
      </c>
      <c r="J66" s="188">
        <v>105.0</v>
      </c>
      <c r="K66" s="186"/>
      <c r="L66" s="188">
        <v>0.0</v>
      </c>
      <c r="M66" s="188">
        <f t="shared" si="113"/>
        <v>105</v>
      </c>
      <c r="N66" s="188">
        <v>0.0</v>
      </c>
      <c r="O66" s="188">
        <v>0.0</v>
      </c>
      <c r="P66" s="188">
        <v>0.0</v>
      </c>
      <c r="Q66" s="188">
        <f t="shared" si="114"/>
        <v>0</v>
      </c>
      <c r="R66" s="188">
        <f t="shared" si="115"/>
        <v>105</v>
      </c>
      <c r="S66" s="188">
        <v>0.0</v>
      </c>
      <c r="T66" s="186"/>
      <c r="U66" s="186"/>
      <c r="V66" s="154">
        <f t="shared" si="116"/>
        <v>0</v>
      </c>
      <c r="W66" s="188">
        <v>0.0</v>
      </c>
      <c r="X66" s="186"/>
      <c r="Y66" s="186"/>
      <c r="Z66" s="188">
        <v>0.0</v>
      </c>
      <c r="AA66" s="188">
        <v>0.0</v>
      </c>
      <c r="AB66" s="188">
        <v>0.0</v>
      </c>
      <c r="AC66" s="154"/>
      <c r="AD66" s="154"/>
      <c r="AE66" s="154"/>
      <c r="AF66" s="188">
        <v>0.0</v>
      </c>
      <c r="AG66" s="188">
        <v>0.0</v>
      </c>
      <c r="AH66" s="188">
        <v>0.0</v>
      </c>
      <c r="AI66" s="154">
        <f t="shared" si="117"/>
        <v>0</v>
      </c>
      <c r="AJ66" s="154"/>
      <c r="AK66" s="154"/>
      <c r="AL66" s="154"/>
      <c r="AM66" s="154">
        <f t="shared" si="118"/>
        <v>0</v>
      </c>
      <c r="AN66" s="154"/>
      <c r="AO66" s="154"/>
      <c r="AP66" s="154"/>
      <c r="AQ66" s="154">
        <f t="shared" si="119"/>
        <v>0</v>
      </c>
      <c r="AR66" s="154">
        <f t="shared" si="120"/>
        <v>0</v>
      </c>
      <c r="AS66" s="154">
        <f t="shared" si="8"/>
        <v>105</v>
      </c>
      <c r="AT66" s="4"/>
      <c r="AU66" s="4"/>
      <c r="AV66" s="4"/>
      <c r="AW66" s="4"/>
      <c r="AX66" s="4"/>
      <c r="AY66" s="4"/>
      <c r="AZ66" s="4"/>
      <c r="BA66" s="4"/>
    </row>
    <row r="67" ht="15.75" customHeight="1">
      <c r="A67" s="167" t="s">
        <v>137</v>
      </c>
      <c r="B67" s="188">
        <v>0.0</v>
      </c>
      <c r="C67" s="188">
        <v>0.0</v>
      </c>
      <c r="D67" s="188">
        <v>0.0</v>
      </c>
      <c r="E67" s="188">
        <f t="shared" si="111"/>
        <v>0</v>
      </c>
      <c r="F67" s="188">
        <v>0.0</v>
      </c>
      <c r="G67" s="188">
        <v>0.0</v>
      </c>
      <c r="H67" s="188">
        <v>0.0</v>
      </c>
      <c r="I67" s="188">
        <f t="shared" si="112"/>
        <v>0</v>
      </c>
      <c r="J67" s="188">
        <v>9.0</v>
      </c>
      <c r="K67" s="186"/>
      <c r="L67" s="188">
        <v>0.0</v>
      </c>
      <c r="M67" s="188">
        <f t="shared" si="113"/>
        <v>9</v>
      </c>
      <c r="N67" s="188">
        <v>0.0</v>
      </c>
      <c r="O67" s="188">
        <v>0.0</v>
      </c>
      <c r="P67" s="188">
        <v>0.0</v>
      </c>
      <c r="Q67" s="188">
        <f t="shared" si="114"/>
        <v>0</v>
      </c>
      <c r="R67" s="188">
        <f t="shared" si="115"/>
        <v>9</v>
      </c>
      <c r="S67" s="188">
        <v>0.0</v>
      </c>
      <c r="T67" s="186"/>
      <c r="U67" s="186"/>
      <c r="V67" s="154">
        <f t="shared" si="116"/>
        <v>0</v>
      </c>
      <c r="W67" s="188">
        <v>0.0</v>
      </c>
      <c r="X67" s="186"/>
      <c r="Y67" s="186"/>
      <c r="Z67" s="188">
        <v>0.0</v>
      </c>
      <c r="AA67" s="188">
        <v>0.0</v>
      </c>
      <c r="AB67" s="188">
        <v>0.0</v>
      </c>
      <c r="AC67" s="154"/>
      <c r="AD67" s="154"/>
      <c r="AE67" s="154"/>
      <c r="AF67" s="188">
        <v>0.0</v>
      </c>
      <c r="AG67" s="188">
        <v>0.0</v>
      </c>
      <c r="AH67" s="188">
        <v>0.0</v>
      </c>
      <c r="AI67" s="154">
        <f t="shared" si="117"/>
        <v>0</v>
      </c>
      <c r="AJ67" s="154"/>
      <c r="AK67" s="154"/>
      <c r="AL67" s="154"/>
      <c r="AM67" s="154">
        <f t="shared" si="118"/>
        <v>0</v>
      </c>
      <c r="AN67" s="154"/>
      <c r="AO67" s="154"/>
      <c r="AP67" s="154"/>
      <c r="AQ67" s="154">
        <f t="shared" si="119"/>
        <v>0</v>
      </c>
      <c r="AR67" s="154">
        <f t="shared" si="120"/>
        <v>0</v>
      </c>
      <c r="AS67" s="154">
        <f t="shared" si="8"/>
        <v>9</v>
      </c>
      <c r="AT67" s="4"/>
      <c r="AU67" s="4"/>
      <c r="AV67" s="4"/>
      <c r="AW67" s="4"/>
      <c r="AX67" s="4"/>
      <c r="AY67" s="4"/>
      <c r="AZ67" s="4"/>
      <c r="BA67" s="4"/>
    </row>
    <row r="68" ht="15.75" customHeight="1">
      <c r="A68" s="137" t="s">
        <v>138</v>
      </c>
      <c r="B68" s="191">
        <f t="shared" ref="B68:AB68" si="121">SUM(B69:B74)</f>
        <v>0</v>
      </c>
      <c r="C68" s="191">
        <f t="shared" si="121"/>
        <v>0</v>
      </c>
      <c r="D68" s="191">
        <f t="shared" si="121"/>
        <v>1</v>
      </c>
      <c r="E68" s="191">
        <f t="shared" si="121"/>
        <v>1</v>
      </c>
      <c r="F68" s="191">
        <f t="shared" si="121"/>
        <v>2</v>
      </c>
      <c r="G68" s="191">
        <f t="shared" si="121"/>
        <v>1</v>
      </c>
      <c r="H68" s="191">
        <f t="shared" si="121"/>
        <v>779</v>
      </c>
      <c r="I68" s="191">
        <f t="shared" si="121"/>
        <v>782</v>
      </c>
      <c r="J68" s="191">
        <f t="shared" si="121"/>
        <v>16</v>
      </c>
      <c r="K68" s="191">
        <f t="shared" si="121"/>
        <v>1</v>
      </c>
      <c r="L68" s="191">
        <f t="shared" si="121"/>
        <v>0</v>
      </c>
      <c r="M68" s="191">
        <f t="shared" si="121"/>
        <v>17</v>
      </c>
      <c r="N68" s="191">
        <f t="shared" si="121"/>
        <v>1</v>
      </c>
      <c r="O68" s="191">
        <f t="shared" si="121"/>
        <v>0</v>
      </c>
      <c r="P68" s="191">
        <f t="shared" si="121"/>
        <v>0</v>
      </c>
      <c r="Q68" s="191">
        <f t="shared" si="121"/>
        <v>1</v>
      </c>
      <c r="R68" s="191">
        <f t="shared" si="121"/>
        <v>801</v>
      </c>
      <c r="S68" s="187">
        <f t="shared" si="121"/>
        <v>0</v>
      </c>
      <c r="T68" s="187">
        <f t="shared" si="121"/>
        <v>0</v>
      </c>
      <c r="U68" s="187">
        <f t="shared" si="121"/>
        <v>161</v>
      </c>
      <c r="V68" s="141">
        <f t="shared" si="121"/>
        <v>161</v>
      </c>
      <c r="W68" s="187">
        <f t="shared" si="121"/>
        <v>0</v>
      </c>
      <c r="X68" s="187">
        <f t="shared" si="121"/>
        <v>0</v>
      </c>
      <c r="Y68" s="187">
        <f t="shared" si="121"/>
        <v>161</v>
      </c>
      <c r="Z68" s="187">
        <f t="shared" si="121"/>
        <v>2</v>
      </c>
      <c r="AA68" s="187">
        <f t="shared" si="121"/>
        <v>2</v>
      </c>
      <c r="AB68" s="187">
        <f t="shared" si="121"/>
        <v>3</v>
      </c>
      <c r="AC68" s="141"/>
      <c r="AD68" s="141"/>
      <c r="AE68" s="141"/>
      <c r="AF68" s="187">
        <f t="shared" ref="AF68:AR68" si="122">SUM(AF69:AF74)</f>
        <v>2</v>
      </c>
      <c r="AG68" s="187">
        <f t="shared" si="122"/>
        <v>2</v>
      </c>
      <c r="AH68" s="187">
        <f t="shared" si="122"/>
        <v>3</v>
      </c>
      <c r="AI68" s="141">
        <f t="shared" si="122"/>
        <v>7</v>
      </c>
      <c r="AJ68" s="141">
        <f t="shared" si="122"/>
        <v>0</v>
      </c>
      <c r="AK68" s="141">
        <f t="shared" si="122"/>
        <v>0</v>
      </c>
      <c r="AL68" s="141">
        <f t="shared" si="122"/>
        <v>0</v>
      </c>
      <c r="AM68" s="141">
        <f t="shared" si="122"/>
        <v>0</v>
      </c>
      <c r="AN68" s="141">
        <f t="shared" si="122"/>
        <v>0</v>
      </c>
      <c r="AO68" s="141">
        <f t="shared" si="122"/>
        <v>0</v>
      </c>
      <c r="AP68" s="141">
        <f t="shared" si="122"/>
        <v>0</v>
      </c>
      <c r="AQ68" s="141">
        <f t="shared" si="122"/>
        <v>0</v>
      </c>
      <c r="AR68" s="141">
        <f t="shared" si="122"/>
        <v>168</v>
      </c>
      <c r="AS68" s="141">
        <f t="shared" si="8"/>
        <v>969</v>
      </c>
      <c r="AT68" s="4"/>
      <c r="AU68" s="4"/>
      <c r="AV68" s="4"/>
      <c r="AW68" s="4"/>
      <c r="AX68" s="4"/>
      <c r="AY68" s="4"/>
      <c r="AZ68" s="4"/>
      <c r="BA68" s="4"/>
    </row>
    <row r="69" ht="15.75" customHeight="1">
      <c r="A69" s="167" t="s">
        <v>139</v>
      </c>
      <c r="B69" s="188">
        <v>0.0</v>
      </c>
      <c r="C69" s="188">
        <v>0.0</v>
      </c>
      <c r="D69" s="188">
        <v>0.0</v>
      </c>
      <c r="E69" s="188">
        <f t="shared" ref="E69:E74" si="123">SUM(B69:D69)</f>
        <v>0</v>
      </c>
      <c r="F69" s="188">
        <v>0.0</v>
      </c>
      <c r="G69" s="188">
        <v>0.0</v>
      </c>
      <c r="H69" s="186"/>
      <c r="I69" s="188">
        <f t="shared" ref="I69:I74" si="124">SUM(F69:H69)</f>
        <v>0</v>
      </c>
      <c r="J69" s="186"/>
      <c r="K69" s="186"/>
      <c r="L69" s="186"/>
      <c r="M69" s="188">
        <f t="shared" ref="M69:M74" si="125">SUM(J69:L69)</f>
        <v>0</v>
      </c>
      <c r="N69" s="186"/>
      <c r="O69" s="186"/>
      <c r="P69" s="186"/>
      <c r="Q69" s="188">
        <f t="shared" ref="Q69:Q74" si="126">SUM(N69:P69)</f>
        <v>0</v>
      </c>
      <c r="R69" s="188">
        <f t="shared" ref="R69:R74" si="127">SUM(E69,I69,M69,Q69)</f>
        <v>0</v>
      </c>
      <c r="S69" s="186"/>
      <c r="T69" s="186"/>
      <c r="U69" s="188">
        <v>22.0</v>
      </c>
      <c r="V69" s="154">
        <f t="shared" ref="V69:V74" si="128">SUM(S69:U69)</f>
        <v>22</v>
      </c>
      <c r="W69" s="186"/>
      <c r="X69" s="186"/>
      <c r="Y69" s="188">
        <v>22.0</v>
      </c>
      <c r="Z69" s="188">
        <v>0.0</v>
      </c>
      <c r="AA69" s="188">
        <v>0.0</v>
      </c>
      <c r="AB69" s="189">
        <v>0.0</v>
      </c>
      <c r="AC69" s="154"/>
      <c r="AD69" s="154"/>
      <c r="AE69" s="154"/>
      <c r="AF69" s="188">
        <v>0.0</v>
      </c>
      <c r="AG69" s="188">
        <v>0.0</v>
      </c>
      <c r="AH69" s="189">
        <v>0.0</v>
      </c>
      <c r="AI69" s="154">
        <f t="shared" ref="AI69:AI74" si="129">SUM(AF69:AH69)</f>
        <v>0</v>
      </c>
      <c r="AJ69" s="154"/>
      <c r="AK69" s="154"/>
      <c r="AL69" s="155"/>
      <c r="AM69" s="154">
        <f t="shared" ref="AM69:AM74" si="130">SUM(AJ69:AL69)</f>
        <v>0</v>
      </c>
      <c r="AN69" s="154"/>
      <c r="AO69" s="154"/>
      <c r="AP69" s="155"/>
      <c r="AQ69" s="154">
        <f t="shared" ref="AQ69:AQ74" si="131">SUM(AN69:AP69)</f>
        <v>0</v>
      </c>
      <c r="AR69" s="154">
        <f t="shared" ref="AR69:AR74" si="132">SUM(V69,AI69,AM69,AQ69)</f>
        <v>22</v>
      </c>
      <c r="AS69" s="154">
        <f t="shared" si="8"/>
        <v>22</v>
      </c>
      <c r="AT69" s="4"/>
      <c r="AU69" s="4"/>
      <c r="AV69" s="4"/>
      <c r="AW69" s="4"/>
      <c r="AX69" s="4"/>
      <c r="AY69" s="4"/>
      <c r="AZ69" s="4"/>
      <c r="BA69" s="4"/>
    </row>
    <row r="70" ht="15.75" customHeight="1">
      <c r="A70" s="167" t="s">
        <v>140</v>
      </c>
      <c r="B70" s="188">
        <v>0.0</v>
      </c>
      <c r="C70" s="188">
        <v>0.0</v>
      </c>
      <c r="D70" s="188">
        <v>0.0</v>
      </c>
      <c r="E70" s="188">
        <f t="shared" si="123"/>
        <v>0</v>
      </c>
      <c r="F70" s="188">
        <v>0.0</v>
      </c>
      <c r="G70" s="188">
        <v>0.0</v>
      </c>
      <c r="H70" s="186"/>
      <c r="I70" s="188">
        <f t="shared" si="124"/>
        <v>0</v>
      </c>
      <c r="J70" s="186"/>
      <c r="K70" s="186"/>
      <c r="L70" s="186"/>
      <c r="M70" s="188">
        <f t="shared" si="125"/>
        <v>0</v>
      </c>
      <c r="N70" s="186"/>
      <c r="O70" s="186"/>
      <c r="P70" s="186"/>
      <c r="Q70" s="188">
        <f t="shared" si="126"/>
        <v>0</v>
      </c>
      <c r="R70" s="188">
        <f t="shared" si="127"/>
        <v>0</v>
      </c>
      <c r="S70" s="186"/>
      <c r="T70" s="186"/>
      <c r="U70" s="188">
        <v>6.0</v>
      </c>
      <c r="V70" s="154">
        <f t="shared" si="128"/>
        <v>6</v>
      </c>
      <c r="W70" s="186"/>
      <c r="X70" s="186"/>
      <c r="Y70" s="188">
        <v>6.0</v>
      </c>
      <c r="Z70" s="188">
        <v>0.0</v>
      </c>
      <c r="AA70" s="188">
        <v>0.0</v>
      </c>
      <c r="AB70" s="189">
        <v>0.0</v>
      </c>
      <c r="AC70" s="154"/>
      <c r="AD70" s="154"/>
      <c r="AE70" s="154"/>
      <c r="AF70" s="188">
        <v>0.0</v>
      </c>
      <c r="AG70" s="188">
        <v>0.0</v>
      </c>
      <c r="AH70" s="189">
        <v>0.0</v>
      </c>
      <c r="AI70" s="154">
        <f t="shared" si="129"/>
        <v>0</v>
      </c>
      <c r="AJ70" s="154"/>
      <c r="AK70" s="154"/>
      <c r="AL70" s="155"/>
      <c r="AM70" s="154">
        <f t="shared" si="130"/>
        <v>0</v>
      </c>
      <c r="AN70" s="154"/>
      <c r="AO70" s="154"/>
      <c r="AP70" s="155"/>
      <c r="AQ70" s="154">
        <f t="shared" si="131"/>
        <v>0</v>
      </c>
      <c r="AR70" s="154">
        <f t="shared" si="132"/>
        <v>6</v>
      </c>
      <c r="AS70" s="154">
        <f t="shared" si="8"/>
        <v>6</v>
      </c>
      <c r="AT70" s="4"/>
      <c r="AU70" s="4"/>
      <c r="AV70" s="4"/>
      <c r="AW70" s="4"/>
      <c r="AX70" s="4"/>
      <c r="AY70" s="4"/>
      <c r="AZ70" s="4"/>
      <c r="BA70" s="4"/>
    </row>
    <row r="71" ht="15.75" customHeight="1">
      <c r="A71" s="169" t="s">
        <v>141</v>
      </c>
      <c r="B71" s="188">
        <v>0.0</v>
      </c>
      <c r="C71" s="188">
        <v>0.0</v>
      </c>
      <c r="D71" s="188">
        <v>1.0</v>
      </c>
      <c r="E71" s="188">
        <f t="shared" si="123"/>
        <v>1</v>
      </c>
      <c r="F71" s="188">
        <v>0.0</v>
      </c>
      <c r="G71" s="188">
        <v>1.0</v>
      </c>
      <c r="H71" s="188">
        <v>711.0</v>
      </c>
      <c r="I71" s="188">
        <f t="shared" si="124"/>
        <v>712</v>
      </c>
      <c r="J71" s="188">
        <v>16.0</v>
      </c>
      <c r="K71" s="188">
        <v>1.0</v>
      </c>
      <c r="L71" s="188">
        <v>0.0</v>
      </c>
      <c r="M71" s="188">
        <f t="shared" si="125"/>
        <v>17</v>
      </c>
      <c r="N71" s="188">
        <v>1.0</v>
      </c>
      <c r="O71" s="188">
        <v>0.0</v>
      </c>
      <c r="P71" s="188">
        <v>0.0</v>
      </c>
      <c r="Q71" s="188">
        <f t="shared" si="126"/>
        <v>1</v>
      </c>
      <c r="R71" s="188">
        <f t="shared" si="127"/>
        <v>731</v>
      </c>
      <c r="S71" s="188">
        <v>0.0</v>
      </c>
      <c r="T71" s="188">
        <v>0.0</v>
      </c>
      <c r="U71" s="188">
        <v>13.0</v>
      </c>
      <c r="V71" s="154">
        <f t="shared" si="128"/>
        <v>13</v>
      </c>
      <c r="W71" s="188">
        <v>0.0</v>
      </c>
      <c r="X71" s="188">
        <v>0.0</v>
      </c>
      <c r="Y71" s="188">
        <v>13.0</v>
      </c>
      <c r="Z71" s="188">
        <v>1.0</v>
      </c>
      <c r="AA71" s="188">
        <v>2.0</v>
      </c>
      <c r="AB71" s="189">
        <v>3.0</v>
      </c>
      <c r="AC71" s="154"/>
      <c r="AD71" s="154"/>
      <c r="AE71" s="154"/>
      <c r="AF71" s="188">
        <v>1.0</v>
      </c>
      <c r="AG71" s="188">
        <v>2.0</v>
      </c>
      <c r="AH71" s="189">
        <v>3.0</v>
      </c>
      <c r="AI71" s="154">
        <f t="shared" si="129"/>
        <v>6</v>
      </c>
      <c r="AJ71" s="154"/>
      <c r="AK71" s="154"/>
      <c r="AL71" s="155"/>
      <c r="AM71" s="154">
        <f t="shared" si="130"/>
        <v>0</v>
      </c>
      <c r="AN71" s="154"/>
      <c r="AO71" s="154"/>
      <c r="AP71" s="155"/>
      <c r="AQ71" s="154">
        <f t="shared" si="131"/>
        <v>0</v>
      </c>
      <c r="AR71" s="154">
        <f t="shared" si="132"/>
        <v>19</v>
      </c>
      <c r="AS71" s="154">
        <f t="shared" si="8"/>
        <v>750</v>
      </c>
      <c r="AT71" s="4"/>
      <c r="AU71" s="4"/>
      <c r="AV71" s="4"/>
      <c r="AW71" s="4"/>
      <c r="AX71" s="4"/>
      <c r="AY71" s="4"/>
      <c r="AZ71" s="4"/>
      <c r="BA71" s="4"/>
    </row>
    <row r="72" ht="15.75" customHeight="1">
      <c r="A72" s="167" t="s">
        <v>142</v>
      </c>
      <c r="B72" s="188">
        <v>0.0</v>
      </c>
      <c r="C72" s="188">
        <v>0.0</v>
      </c>
      <c r="D72" s="188">
        <v>0.0</v>
      </c>
      <c r="E72" s="188">
        <f t="shared" si="123"/>
        <v>0</v>
      </c>
      <c r="F72" s="188">
        <v>0.0</v>
      </c>
      <c r="G72" s="188">
        <v>0.0</v>
      </c>
      <c r="H72" s="186"/>
      <c r="I72" s="188">
        <f t="shared" si="124"/>
        <v>0</v>
      </c>
      <c r="J72" s="186"/>
      <c r="K72" s="186"/>
      <c r="L72" s="186"/>
      <c r="M72" s="188">
        <f t="shared" si="125"/>
        <v>0</v>
      </c>
      <c r="N72" s="186"/>
      <c r="O72" s="186"/>
      <c r="P72" s="186"/>
      <c r="Q72" s="188">
        <f t="shared" si="126"/>
        <v>0</v>
      </c>
      <c r="R72" s="188">
        <f t="shared" si="127"/>
        <v>0</v>
      </c>
      <c r="S72" s="186"/>
      <c r="T72" s="186"/>
      <c r="U72" s="188">
        <v>7.0</v>
      </c>
      <c r="V72" s="154">
        <f t="shared" si="128"/>
        <v>7</v>
      </c>
      <c r="W72" s="186"/>
      <c r="X72" s="186"/>
      <c r="Y72" s="188">
        <v>7.0</v>
      </c>
      <c r="Z72" s="188">
        <v>0.0</v>
      </c>
      <c r="AA72" s="188">
        <v>0.0</v>
      </c>
      <c r="AB72" s="188">
        <v>0.0</v>
      </c>
      <c r="AC72" s="154"/>
      <c r="AD72" s="154"/>
      <c r="AE72" s="154"/>
      <c r="AF72" s="188">
        <v>0.0</v>
      </c>
      <c r="AG72" s="188">
        <v>0.0</v>
      </c>
      <c r="AH72" s="188">
        <v>0.0</v>
      </c>
      <c r="AI72" s="154">
        <f t="shared" si="129"/>
        <v>0</v>
      </c>
      <c r="AJ72" s="154"/>
      <c r="AK72" s="154"/>
      <c r="AL72" s="154"/>
      <c r="AM72" s="154">
        <f t="shared" si="130"/>
        <v>0</v>
      </c>
      <c r="AN72" s="154"/>
      <c r="AO72" s="154"/>
      <c r="AP72" s="154"/>
      <c r="AQ72" s="154">
        <f t="shared" si="131"/>
        <v>0</v>
      </c>
      <c r="AR72" s="154">
        <f t="shared" si="132"/>
        <v>7</v>
      </c>
      <c r="AS72" s="154">
        <f t="shared" si="8"/>
        <v>7</v>
      </c>
      <c r="AT72" s="4"/>
      <c r="AU72" s="4"/>
      <c r="AV72" s="4"/>
      <c r="AW72" s="4"/>
      <c r="AX72" s="4"/>
      <c r="AY72" s="4"/>
      <c r="AZ72" s="4"/>
      <c r="BA72" s="4"/>
    </row>
    <row r="73" ht="15.75" customHeight="1">
      <c r="A73" s="167" t="s">
        <v>143</v>
      </c>
      <c r="B73" s="188">
        <v>0.0</v>
      </c>
      <c r="C73" s="188">
        <v>0.0</v>
      </c>
      <c r="D73" s="188">
        <v>0.0</v>
      </c>
      <c r="E73" s="188">
        <f t="shared" si="123"/>
        <v>0</v>
      </c>
      <c r="F73" s="188">
        <v>2.0</v>
      </c>
      <c r="G73" s="188">
        <v>0.0</v>
      </c>
      <c r="H73" s="188">
        <v>68.0</v>
      </c>
      <c r="I73" s="188">
        <f t="shared" si="124"/>
        <v>70</v>
      </c>
      <c r="J73" s="188">
        <v>0.0</v>
      </c>
      <c r="K73" s="186"/>
      <c r="L73" s="188">
        <v>0.0</v>
      </c>
      <c r="M73" s="188">
        <f t="shared" si="125"/>
        <v>0</v>
      </c>
      <c r="N73" s="188">
        <v>0.0</v>
      </c>
      <c r="O73" s="188">
        <v>0.0</v>
      </c>
      <c r="P73" s="188">
        <v>0.0</v>
      </c>
      <c r="Q73" s="188">
        <f t="shared" si="126"/>
        <v>0</v>
      </c>
      <c r="R73" s="188">
        <f t="shared" si="127"/>
        <v>70</v>
      </c>
      <c r="S73" s="186"/>
      <c r="T73" s="186"/>
      <c r="U73" s="188">
        <v>106.0</v>
      </c>
      <c r="V73" s="154">
        <f t="shared" si="128"/>
        <v>106</v>
      </c>
      <c r="W73" s="186"/>
      <c r="X73" s="186"/>
      <c r="Y73" s="188">
        <v>106.0</v>
      </c>
      <c r="Z73" s="188">
        <v>1.0</v>
      </c>
      <c r="AA73" s="188">
        <v>0.0</v>
      </c>
      <c r="AB73" s="188">
        <v>0.0</v>
      </c>
      <c r="AC73" s="154"/>
      <c r="AD73" s="154"/>
      <c r="AE73" s="154"/>
      <c r="AF73" s="188">
        <v>1.0</v>
      </c>
      <c r="AG73" s="188">
        <v>0.0</v>
      </c>
      <c r="AH73" s="188">
        <v>0.0</v>
      </c>
      <c r="AI73" s="154">
        <f t="shared" si="129"/>
        <v>1</v>
      </c>
      <c r="AJ73" s="154"/>
      <c r="AK73" s="154"/>
      <c r="AL73" s="154"/>
      <c r="AM73" s="154">
        <f t="shared" si="130"/>
        <v>0</v>
      </c>
      <c r="AN73" s="154"/>
      <c r="AO73" s="154"/>
      <c r="AP73" s="154"/>
      <c r="AQ73" s="154">
        <f t="shared" si="131"/>
        <v>0</v>
      </c>
      <c r="AR73" s="154">
        <f t="shared" si="132"/>
        <v>107</v>
      </c>
      <c r="AS73" s="154">
        <f t="shared" si="8"/>
        <v>177</v>
      </c>
      <c r="AT73" s="4"/>
      <c r="AU73" s="4"/>
      <c r="AV73" s="4"/>
      <c r="AW73" s="4"/>
      <c r="AX73" s="4"/>
      <c r="AY73" s="4"/>
      <c r="AZ73" s="4"/>
      <c r="BA73" s="4"/>
    </row>
    <row r="74" ht="15.75" customHeight="1">
      <c r="A74" s="167" t="s">
        <v>144</v>
      </c>
      <c r="B74" s="188">
        <v>0.0</v>
      </c>
      <c r="C74" s="188">
        <v>0.0</v>
      </c>
      <c r="D74" s="188">
        <v>0.0</v>
      </c>
      <c r="E74" s="188">
        <f t="shared" si="123"/>
        <v>0</v>
      </c>
      <c r="F74" s="188">
        <v>0.0</v>
      </c>
      <c r="G74" s="188">
        <v>0.0</v>
      </c>
      <c r="H74" s="186"/>
      <c r="I74" s="188">
        <f t="shared" si="124"/>
        <v>0</v>
      </c>
      <c r="J74" s="186"/>
      <c r="K74" s="186"/>
      <c r="L74" s="186"/>
      <c r="M74" s="188">
        <f t="shared" si="125"/>
        <v>0</v>
      </c>
      <c r="N74" s="186"/>
      <c r="O74" s="186"/>
      <c r="P74" s="186"/>
      <c r="Q74" s="188">
        <f t="shared" si="126"/>
        <v>0</v>
      </c>
      <c r="R74" s="188">
        <f t="shared" si="127"/>
        <v>0</v>
      </c>
      <c r="S74" s="186"/>
      <c r="T74" s="186"/>
      <c r="U74" s="188">
        <v>7.0</v>
      </c>
      <c r="V74" s="154">
        <f t="shared" si="128"/>
        <v>7</v>
      </c>
      <c r="W74" s="186"/>
      <c r="X74" s="186"/>
      <c r="Y74" s="188">
        <v>7.0</v>
      </c>
      <c r="Z74" s="188">
        <v>0.0</v>
      </c>
      <c r="AA74" s="188">
        <v>0.0</v>
      </c>
      <c r="AB74" s="188">
        <v>0.0</v>
      </c>
      <c r="AC74" s="154"/>
      <c r="AD74" s="154"/>
      <c r="AE74" s="154"/>
      <c r="AF74" s="188">
        <v>0.0</v>
      </c>
      <c r="AG74" s="188">
        <v>0.0</v>
      </c>
      <c r="AH74" s="188">
        <v>0.0</v>
      </c>
      <c r="AI74" s="154">
        <f t="shared" si="129"/>
        <v>0</v>
      </c>
      <c r="AJ74" s="154"/>
      <c r="AK74" s="154"/>
      <c r="AL74" s="154"/>
      <c r="AM74" s="154">
        <f t="shared" si="130"/>
        <v>0</v>
      </c>
      <c r="AN74" s="154"/>
      <c r="AO74" s="154"/>
      <c r="AP74" s="154"/>
      <c r="AQ74" s="154">
        <f t="shared" si="131"/>
        <v>0</v>
      </c>
      <c r="AR74" s="154">
        <f t="shared" si="132"/>
        <v>7</v>
      </c>
      <c r="AS74" s="154">
        <f t="shared" si="8"/>
        <v>7</v>
      </c>
      <c r="AT74" s="4"/>
      <c r="AU74" s="4"/>
      <c r="AV74" s="4"/>
      <c r="AW74" s="4"/>
      <c r="AX74" s="4"/>
      <c r="AY74" s="4"/>
      <c r="AZ74" s="4"/>
      <c r="BA74" s="4"/>
    </row>
    <row r="75" ht="15.75" customHeight="1">
      <c r="A75" s="137" t="s">
        <v>145</v>
      </c>
      <c r="B75" s="141">
        <f t="shared" ref="B75:AB75" si="133">SUM(B76:B80)</f>
        <v>0</v>
      </c>
      <c r="C75" s="141">
        <f t="shared" si="133"/>
        <v>194</v>
      </c>
      <c r="D75" s="141">
        <f t="shared" si="133"/>
        <v>57</v>
      </c>
      <c r="E75" s="141">
        <f t="shared" si="133"/>
        <v>251</v>
      </c>
      <c r="F75" s="141">
        <f t="shared" si="133"/>
        <v>2</v>
      </c>
      <c r="G75" s="141">
        <f t="shared" si="133"/>
        <v>56</v>
      </c>
      <c r="H75" s="141">
        <f t="shared" si="133"/>
        <v>129</v>
      </c>
      <c r="I75" s="141">
        <f t="shared" si="133"/>
        <v>187</v>
      </c>
      <c r="J75" s="141">
        <f t="shared" si="133"/>
        <v>0</v>
      </c>
      <c r="K75" s="141">
        <f t="shared" si="133"/>
        <v>0</v>
      </c>
      <c r="L75" s="141">
        <f t="shared" si="133"/>
        <v>0</v>
      </c>
      <c r="M75" s="141">
        <f t="shared" si="133"/>
        <v>0</v>
      </c>
      <c r="N75" s="141">
        <f t="shared" si="133"/>
        <v>0</v>
      </c>
      <c r="O75" s="141">
        <f t="shared" si="133"/>
        <v>0</v>
      </c>
      <c r="P75" s="141">
        <f t="shared" si="133"/>
        <v>0</v>
      </c>
      <c r="Q75" s="141">
        <f t="shared" si="133"/>
        <v>0</v>
      </c>
      <c r="R75" s="141">
        <f t="shared" si="133"/>
        <v>438</v>
      </c>
      <c r="S75" s="141">
        <f t="shared" si="133"/>
        <v>0</v>
      </c>
      <c r="T75" s="141">
        <f t="shared" si="133"/>
        <v>0</v>
      </c>
      <c r="U75" s="141">
        <f t="shared" si="133"/>
        <v>381</v>
      </c>
      <c r="V75" s="141">
        <f t="shared" si="133"/>
        <v>381</v>
      </c>
      <c r="W75" s="141">
        <f t="shared" si="133"/>
        <v>0</v>
      </c>
      <c r="X75" s="141">
        <f t="shared" si="133"/>
        <v>0</v>
      </c>
      <c r="Y75" s="141">
        <f t="shared" si="133"/>
        <v>381</v>
      </c>
      <c r="Z75" s="187">
        <f t="shared" si="133"/>
        <v>23</v>
      </c>
      <c r="AA75" s="187">
        <f t="shared" si="133"/>
        <v>3</v>
      </c>
      <c r="AB75" s="187">
        <f t="shared" si="133"/>
        <v>1</v>
      </c>
      <c r="AC75" s="141"/>
      <c r="AD75" s="141"/>
      <c r="AE75" s="141"/>
      <c r="AF75" s="187">
        <f t="shared" ref="AF75:AR75" si="134">SUM(AF76:AF80)</f>
        <v>23</v>
      </c>
      <c r="AG75" s="187">
        <f t="shared" si="134"/>
        <v>3</v>
      </c>
      <c r="AH75" s="187">
        <f t="shared" si="134"/>
        <v>1</v>
      </c>
      <c r="AI75" s="141">
        <f t="shared" si="134"/>
        <v>27</v>
      </c>
      <c r="AJ75" s="141">
        <f t="shared" si="134"/>
        <v>0</v>
      </c>
      <c r="AK75" s="141">
        <f t="shared" si="134"/>
        <v>0</v>
      </c>
      <c r="AL75" s="141">
        <f t="shared" si="134"/>
        <v>0</v>
      </c>
      <c r="AM75" s="141">
        <f t="shared" si="134"/>
        <v>0</v>
      </c>
      <c r="AN75" s="141">
        <f t="shared" si="134"/>
        <v>0</v>
      </c>
      <c r="AO75" s="141">
        <f t="shared" si="134"/>
        <v>0</v>
      </c>
      <c r="AP75" s="141">
        <f t="shared" si="134"/>
        <v>0</v>
      </c>
      <c r="AQ75" s="141">
        <f t="shared" si="134"/>
        <v>0</v>
      </c>
      <c r="AR75" s="141">
        <f t="shared" si="134"/>
        <v>408</v>
      </c>
      <c r="AS75" s="141">
        <f t="shared" si="8"/>
        <v>846</v>
      </c>
      <c r="AT75" s="4"/>
      <c r="AU75" s="4"/>
      <c r="AV75" s="4"/>
      <c r="AW75" s="4"/>
      <c r="AX75" s="4"/>
      <c r="AY75" s="4"/>
      <c r="AZ75" s="4"/>
      <c r="BA75" s="4"/>
    </row>
    <row r="76" ht="15.75" customHeight="1">
      <c r="A76" s="167" t="s">
        <v>146</v>
      </c>
      <c r="B76" s="186"/>
      <c r="C76" s="186"/>
      <c r="D76" s="186"/>
      <c r="E76" s="188">
        <f t="shared" ref="E76:E80" si="135">SUM(B76:D76)</f>
        <v>0</v>
      </c>
      <c r="F76" s="186"/>
      <c r="G76" s="186"/>
      <c r="H76" s="186"/>
      <c r="I76" s="188">
        <f t="shared" ref="I76:I80" si="136">SUM(F76:H76)</f>
        <v>0</v>
      </c>
      <c r="J76" s="186"/>
      <c r="K76" s="186"/>
      <c r="L76" s="186"/>
      <c r="M76" s="188">
        <f t="shared" ref="M76:M80" si="137">SUM(J76:L76)</f>
        <v>0</v>
      </c>
      <c r="N76" s="186"/>
      <c r="O76" s="186"/>
      <c r="P76" s="186"/>
      <c r="Q76" s="188">
        <f t="shared" ref="Q76:Q80" si="138">SUM(N76:P76)</f>
        <v>0</v>
      </c>
      <c r="R76" s="188">
        <f t="shared" ref="R76:R80" si="139">SUM(E76,I76,M76,Q76)</f>
        <v>0</v>
      </c>
      <c r="S76" s="186"/>
      <c r="T76" s="186"/>
      <c r="U76" s="186"/>
      <c r="V76" s="154">
        <f t="shared" ref="V76:V80" si="140">SUM(S76:U76)</f>
        <v>0</v>
      </c>
      <c r="W76" s="186"/>
      <c r="X76" s="186"/>
      <c r="Y76" s="186"/>
      <c r="Z76" s="188">
        <v>0.0</v>
      </c>
      <c r="AA76" s="188">
        <v>0.0</v>
      </c>
      <c r="AB76" s="188">
        <v>0.0</v>
      </c>
      <c r="AC76" s="125"/>
      <c r="AD76" s="125"/>
      <c r="AE76" s="125"/>
      <c r="AF76" s="188">
        <v>0.0</v>
      </c>
      <c r="AG76" s="188">
        <v>0.0</v>
      </c>
      <c r="AH76" s="188">
        <v>0.0</v>
      </c>
      <c r="AI76" s="154">
        <f t="shared" ref="AI76:AI80" si="141">SUM(AF76:AH76)</f>
        <v>0</v>
      </c>
      <c r="AJ76" s="125"/>
      <c r="AK76" s="125"/>
      <c r="AL76" s="125"/>
      <c r="AM76" s="154">
        <f t="shared" ref="AM76:AM80" si="142">SUM(AJ76:AL76)</f>
        <v>0</v>
      </c>
      <c r="AN76" s="125"/>
      <c r="AO76" s="125"/>
      <c r="AP76" s="125"/>
      <c r="AQ76" s="154">
        <f t="shared" ref="AQ76:AQ80" si="143">SUM(AN76:AP76)</f>
        <v>0</v>
      </c>
      <c r="AR76" s="154">
        <f t="shared" ref="AR76:AR80" si="144">SUM(V76,AI76,AM76,AQ76)</f>
        <v>0</v>
      </c>
      <c r="AS76" s="154">
        <f t="shared" si="8"/>
        <v>0</v>
      </c>
      <c r="AT76" s="4"/>
      <c r="AU76" s="4"/>
      <c r="AV76" s="4"/>
      <c r="AW76" s="4"/>
      <c r="AX76" s="4"/>
      <c r="AY76" s="4"/>
      <c r="AZ76" s="4"/>
      <c r="BA76" s="4"/>
    </row>
    <row r="77" ht="15.75" customHeight="1">
      <c r="A77" s="167" t="s">
        <v>147</v>
      </c>
      <c r="B77" s="188">
        <v>0.0</v>
      </c>
      <c r="C77" s="188">
        <v>63.0</v>
      </c>
      <c r="D77" s="188">
        <v>31.0</v>
      </c>
      <c r="E77" s="188">
        <f t="shared" si="135"/>
        <v>94</v>
      </c>
      <c r="F77" s="188">
        <v>0.0</v>
      </c>
      <c r="G77" s="188">
        <v>31.0</v>
      </c>
      <c r="H77" s="188">
        <v>40.0</v>
      </c>
      <c r="I77" s="188">
        <f t="shared" si="136"/>
        <v>71</v>
      </c>
      <c r="J77" s="188">
        <v>0.0</v>
      </c>
      <c r="K77" s="186"/>
      <c r="L77" s="188">
        <v>0.0</v>
      </c>
      <c r="M77" s="188">
        <f t="shared" si="137"/>
        <v>0</v>
      </c>
      <c r="N77" s="188">
        <v>0.0</v>
      </c>
      <c r="O77" s="186"/>
      <c r="P77" s="186"/>
      <c r="Q77" s="188">
        <f t="shared" si="138"/>
        <v>0</v>
      </c>
      <c r="R77" s="188">
        <f t="shared" si="139"/>
        <v>165</v>
      </c>
      <c r="S77" s="186"/>
      <c r="T77" s="186"/>
      <c r="U77" s="188">
        <v>114.0</v>
      </c>
      <c r="V77" s="154">
        <f t="shared" si="140"/>
        <v>114</v>
      </c>
      <c r="W77" s="186"/>
      <c r="X77" s="186"/>
      <c r="Y77" s="188">
        <v>114.0</v>
      </c>
      <c r="Z77" s="188">
        <v>11.0</v>
      </c>
      <c r="AA77" s="188">
        <v>3.0</v>
      </c>
      <c r="AB77" s="188">
        <v>0.0</v>
      </c>
      <c r="AC77" s="154"/>
      <c r="AD77" s="154"/>
      <c r="AE77" s="154"/>
      <c r="AF77" s="188">
        <v>11.0</v>
      </c>
      <c r="AG77" s="188">
        <v>3.0</v>
      </c>
      <c r="AH77" s="188">
        <v>0.0</v>
      </c>
      <c r="AI77" s="154">
        <f t="shared" si="141"/>
        <v>14</v>
      </c>
      <c r="AJ77" s="154"/>
      <c r="AK77" s="154"/>
      <c r="AL77" s="154"/>
      <c r="AM77" s="154">
        <f t="shared" si="142"/>
        <v>0</v>
      </c>
      <c r="AN77" s="154"/>
      <c r="AO77" s="154"/>
      <c r="AP77" s="154"/>
      <c r="AQ77" s="154">
        <f t="shared" si="143"/>
        <v>0</v>
      </c>
      <c r="AR77" s="154">
        <f t="shared" si="144"/>
        <v>128</v>
      </c>
      <c r="AS77" s="154">
        <f t="shared" si="8"/>
        <v>293</v>
      </c>
      <c r="AT77" s="4"/>
      <c r="AU77" s="4"/>
      <c r="AV77" s="4"/>
      <c r="AW77" s="4"/>
      <c r="AX77" s="4"/>
      <c r="AY77" s="4"/>
      <c r="AZ77" s="4"/>
      <c r="BA77" s="4"/>
    </row>
    <row r="78" ht="15.75" customHeight="1">
      <c r="A78" s="169" t="s">
        <v>148</v>
      </c>
      <c r="B78" s="188">
        <v>0.0</v>
      </c>
      <c r="C78" s="188">
        <v>17.0</v>
      </c>
      <c r="D78" s="188">
        <v>6.0</v>
      </c>
      <c r="E78" s="188">
        <f t="shared" si="135"/>
        <v>23</v>
      </c>
      <c r="F78" s="188">
        <v>0.0</v>
      </c>
      <c r="G78" s="188">
        <v>6.0</v>
      </c>
      <c r="H78" s="188">
        <v>21.0</v>
      </c>
      <c r="I78" s="188">
        <f t="shared" si="136"/>
        <v>27</v>
      </c>
      <c r="J78" s="188">
        <v>0.0</v>
      </c>
      <c r="K78" s="188">
        <v>0.0</v>
      </c>
      <c r="L78" s="188">
        <v>0.0</v>
      </c>
      <c r="M78" s="188">
        <f t="shared" si="137"/>
        <v>0</v>
      </c>
      <c r="N78" s="188">
        <v>0.0</v>
      </c>
      <c r="O78" s="188">
        <v>0.0</v>
      </c>
      <c r="P78" s="188">
        <v>0.0</v>
      </c>
      <c r="Q78" s="188">
        <f t="shared" si="138"/>
        <v>0</v>
      </c>
      <c r="R78" s="188">
        <f t="shared" si="139"/>
        <v>50</v>
      </c>
      <c r="S78" s="188">
        <v>0.0</v>
      </c>
      <c r="T78" s="188">
        <v>0.0</v>
      </c>
      <c r="U78" s="188">
        <v>67.0</v>
      </c>
      <c r="V78" s="154">
        <f t="shared" si="140"/>
        <v>67</v>
      </c>
      <c r="W78" s="188">
        <v>0.0</v>
      </c>
      <c r="X78" s="188">
        <v>0.0</v>
      </c>
      <c r="Y78" s="188">
        <v>67.0</v>
      </c>
      <c r="Z78" s="188">
        <v>3.0</v>
      </c>
      <c r="AA78" s="188">
        <v>0.0</v>
      </c>
      <c r="AB78" s="188">
        <v>0.0</v>
      </c>
      <c r="AC78" s="154"/>
      <c r="AD78" s="154"/>
      <c r="AE78" s="154"/>
      <c r="AF78" s="188">
        <v>3.0</v>
      </c>
      <c r="AG78" s="188">
        <v>0.0</v>
      </c>
      <c r="AH78" s="188">
        <v>0.0</v>
      </c>
      <c r="AI78" s="154">
        <f t="shared" si="141"/>
        <v>3</v>
      </c>
      <c r="AJ78" s="154"/>
      <c r="AK78" s="154"/>
      <c r="AL78" s="154"/>
      <c r="AM78" s="154">
        <f t="shared" si="142"/>
        <v>0</v>
      </c>
      <c r="AN78" s="154"/>
      <c r="AO78" s="154"/>
      <c r="AP78" s="154"/>
      <c r="AQ78" s="154">
        <f t="shared" si="143"/>
        <v>0</v>
      </c>
      <c r="AR78" s="154">
        <f t="shared" si="144"/>
        <v>70</v>
      </c>
      <c r="AS78" s="154">
        <f t="shared" si="8"/>
        <v>120</v>
      </c>
      <c r="AT78" s="4"/>
      <c r="AU78" s="4"/>
      <c r="AV78" s="4"/>
      <c r="AW78" s="4"/>
      <c r="AX78" s="4"/>
      <c r="AY78" s="4"/>
      <c r="AZ78" s="4"/>
      <c r="BA78" s="4"/>
    </row>
    <row r="79" ht="15.75" customHeight="1">
      <c r="A79" s="167" t="s">
        <v>149</v>
      </c>
      <c r="B79" s="188">
        <v>0.0</v>
      </c>
      <c r="C79" s="188">
        <v>114.0</v>
      </c>
      <c r="D79" s="188">
        <v>20.0</v>
      </c>
      <c r="E79" s="188">
        <f t="shared" si="135"/>
        <v>134</v>
      </c>
      <c r="F79" s="188">
        <v>2.0</v>
      </c>
      <c r="G79" s="188">
        <v>19.0</v>
      </c>
      <c r="H79" s="188">
        <v>68.0</v>
      </c>
      <c r="I79" s="188">
        <f t="shared" si="136"/>
        <v>89</v>
      </c>
      <c r="J79" s="186"/>
      <c r="K79" s="186"/>
      <c r="L79" s="188">
        <v>0.0</v>
      </c>
      <c r="M79" s="188">
        <f t="shared" si="137"/>
        <v>0</v>
      </c>
      <c r="N79" s="188">
        <v>0.0</v>
      </c>
      <c r="O79" s="186"/>
      <c r="P79" s="186"/>
      <c r="Q79" s="188">
        <f t="shared" si="138"/>
        <v>0</v>
      </c>
      <c r="R79" s="188">
        <f t="shared" si="139"/>
        <v>223</v>
      </c>
      <c r="S79" s="186"/>
      <c r="T79" s="186"/>
      <c r="U79" s="188">
        <v>200.0</v>
      </c>
      <c r="V79" s="154">
        <f t="shared" si="140"/>
        <v>200</v>
      </c>
      <c r="W79" s="186"/>
      <c r="X79" s="186"/>
      <c r="Y79" s="188">
        <v>200.0</v>
      </c>
      <c r="Z79" s="188">
        <v>9.0</v>
      </c>
      <c r="AA79" s="188">
        <v>0.0</v>
      </c>
      <c r="AB79" s="188">
        <v>1.0</v>
      </c>
      <c r="AC79" s="154"/>
      <c r="AD79" s="154"/>
      <c r="AE79" s="154"/>
      <c r="AF79" s="188">
        <v>9.0</v>
      </c>
      <c r="AG79" s="188">
        <v>0.0</v>
      </c>
      <c r="AH79" s="188">
        <v>1.0</v>
      </c>
      <c r="AI79" s="154">
        <f t="shared" si="141"/>
        <v>10</v>
      </c>
      <c r="AJ79" s="154"/>
      <c r="AK79" s="154"/>
      <c r="AL79" s="154"/>
      <c r="AM79" s="154">
        <f t="shared" si="142"/>
        <v>0</v>
      </c>
      <c r="AN79" s="154"/>
      <c r="AO79" s="154"/>
      <c r="AP79" s="154"/>
      <c r="AQ79" s="154">
        <f t="shared" si="143"/>
        <v>0</v>
      </c>
      <c r="AR79" s="154">
        <f t="shared" si="144"/>
        <v>210</v>
      </c>
      <c r="AS79" s="154">
        <f t="shared" si="8"/>
        <v>433</v>
      </c>
      <c r="AT79" s="4"/>
      <c r="AU79" s="4"/>
      <c r="AV79" s="4"/>
      <c r="AW79" s="4"/>
      <c r="AX79" s="4"/>
      <c r="AY79" s="4"/>
      <c r="AZ79" s="4"/>
      <c r="BA79" s="4"/>
    </row>
    <row r="80" ht="15.75" customHeight="1">
      <c r="A80" s="167" t="s">
        <v>150</v>
      </c>
      <c r="B80" s="188">
        <v>0.0</v>
      </c>
      <c r="C80" s="188">
        <v>0.0</v>
      </c>
      <c r="D80" s="188">
        <v>0.0</v>
      </c>
      <c r="E80" s="188">
        <f t="shared" si="135"/>
        <v>0</v>
      </c>
      <c r="F80" s="188">
        <v>0.0</v>
      </c>
      <c r="G80" s="188">
        <v>0.0</v>
      </c>
      <c r="H80" s="186"/>
      <c r="I80" s="188">
        <f t="shared" si="136"/>
        <v>0</v>
      </c>
      <c r="J80" s="186"/>
      <c r="K80" s="186"/>
      <c r="L80" s="186"/>
      <c r="M80" s="188">
        <f t="shared" si="137"/>
        <v>0</v>
      </c>
      <c r="N80" s="186"/>
      <c r="O80" s="186"/>
      <c r="P80" s="186"/>
      <c r="Q80" s="188">
        <f t="shared" si="138"/>
        <v>0</v>
      </c>
      <c r="R80" s="188">
        <f t="shared" si="139"/>
        <v>0</v>
      </c>
      <c r="S80" s="186"/>
      <c r="T80" s="186"/>
      <c r="U80" s="188">
        <v>0.0</v>
      </c>
      <c r="V80" s="154">
        <f t="shared" si="140"/>
        <v>0</v>
      </c>
      <c r="W80" s="186"/>
      <c r="X80" s="186"/>
      <c r="Y80" s="188">
        <v>0.0</v>
      </c>
      <c r="Z80" s="188">
        <v>0.0</v>
      </c>
      <c r="AA80" s="188">
        <v>0.0</v>
      </c>
      <c r="AB80" s="188">
        <v>0.0</v>
      </c>
      <c r="AC80" s="154"/>
      <c r="AD80" s="154"/>
      <c r="AE80" s="154"/>
      <c r="AF80" s="188">
        <v>0.0</v>
      </c>
      <c r="AG80" s="188">
        <v>0.0</v>
      </c>
      <c r="AH80" s="188">
        <v>0.0</v>
      </c>
      <c r="AI80" s="154">
        <f t="shared" si="141"/>
        <v>0</v>
      </c>
      <c r="AJ80" s="154"/>
      <c r="AK80" s="154"/>
      <c r="AL80" s="154"/>
      <c r="AM80" s="154">
        <f t="shared" si="142"/>
        <v>0</v>
      </c>
      <c r="AN80" s="154"/>
      <c r="AO80" s="154"/>
      <c r="AP80" s="154"/>
      <c r="AQ80" s="154">
        <f t="shared" si="143"/>
        <v>0</v>
      </c>
      <c r="AR80" s="154">
        <f t="shared" si="144"/>
        <v>0</v>
      </c>
      <c r="AS80" s="154">
        <f t="shared" si="8"/>
        <v>0</v>
      </c>
      <c r="AT80" s="4"/>
      <c r="AU80" s="4"/>
      <c r="AV80" s="4"/>
      <c r="AW80" s="4"/>
      <c r="AX80" s="4"/>
      <c r="AY80" s="4"/>
      <c r="AZ80" s="4"/>
      <c r="BA80" s="4"/>
    </row>
    <row r="81" ht="15.75" customHeight="1">
      <c r="A81" s="137" t="s">
        <v>151</v>
      </c>
      <c r="B81" s="191">
        <f t="shared" ref="B81:AB81" si="145">SUM(B82:B86)</f>
        <v>0</v>
      </c>
      <c r="C81" s="191">
        <f t="shared" si="145"/>
        <v>1028</v>
      </c>
      <c r="D81" s="191">
        <f t="shared" si="145"/>
        <v>0</v>
      </c>
      <c r="E81" s="191">
        <f t="shared" si="145"/>
        <v>1028</v>
      </c>
      <c r="F81" s="191">
        <f t="shared" si="145"/>
        <v>40</v>
      </c>
      <c r="G81" s="191">
        <f t="shared" si="145"/>
        <v>0</v>
      </c>
      <c r="H81" s="191">
        <f t="shared" si="145"/>
        <v>1</v>
      </c>
      <c r="I81" s="191">
        <f t="shared" si="145"/>
        <v>41</v>
      </c>
      <c r="J81" s="191">
        <f t="shared" si="145"/>
        <v>2</v>
      </c>
      <c r="K81" s="191">
        <f t="shared" si="145"/>
        <v>0</v>
      </c>
      <c r="L81" s="191">
        <f t="shared" si="145"/>
        <v>0</v>
      </c>
      <c r="M81" s="191">
        <f t="shared" si="145"/>
        <v>2</v>
      </c>
      <c r="N81" s="191">
        <f t="shared" si="145"/>
        <v>0</v>
      </c>
      <c r="O81" s="191">
        <f t="shared" si="145"/>
        <v>0</v>
      </c>
      <c r="P81" s="191">
        <f t="shared" si="145"/>
        <v>0</v>
      </c>
      <c r="Q81" s="191">
        <f t="shared" si="145"/>
        <v>0</v>
      </c>
      <c r="R81" s="191">
        <f t="shared" si="145"/>
        <v>1071</v>
      </c>
      <c r="S81" s="187">
        <f t="shared" si="145"/>
        <v>0</v>
      </c>
      <c r="T81" s="187">
        <f t="shared" si="145"/>
        <v>0</v>
      </c>
      <c r="U81" s="187">
        <f t="shared" si="145"/>
        <v>347</v>
      </c>
      <c r="V81" s="141">
        <f t="shared" si="145"/>
        <v>347</v>
      </c>
      <c r="W81" s="187">
        <f t="shared" si="145"/>
        <v>0</v>
      </c>
      <c r="X81" s="187">
        <f t="shared" si="145"/>
        <v>0</v>
      </c>
      <c r="Y81" s="187">
        <f t="shared" si="145"/>
        <v>347</v>
      </c>
      <c r="Z81" s="187">
        <f t="shared" si="145"/>
        <v>1</v>
      </c>
      <c r="AA81" s="187">
        <f t="shared" si="145"/>
        <v>93</v>
      </c>
      <c r="AB81" s="187">
        <f t="shared" si="145"/>
        <v>1250</v>
      </c>
      <c r="AC81" s="141"/>
      <c r="AD81" s="141"/>
      <c r="AE81" s="141"/>
      <c r="AF81" s="187">
        <f t="shared" ref="AF81:AR81" si="146">SUM(AF82:AF86)</f>
        <v>1</v>
      </c>
      <c r="AG81" s="187">
        <f t="shared" si="146"/>
        <v>93</v>
      </c>
      <c r="AH81" s="187">
        <f t="shared" si="146"/>
        <v>1250</v>
      </c>
      <c r="AI81" s="141">
        <f t="shared" si="146"/>
        <v>1344</v>
      </c>
      <c r="AJ81" s="141">
        <f t="shared" si="146"/>
        <v>0</v>
      </c>
      <c r="AK81" s="141">
        <f t="shared" si="146"/>
        <v>0</v>
      </c>
      <c r="AL81" s="141">
        <f t="shared" si="146"/>
        <v>0</v>
      </c>
      <c r="AM81" s="141">
        <f t="shared" si="146"/>
        <v>0</v>
      </c>
      <c r="AN81" s="141">
        <f t="shared" si="146"/>
        <v>0</v>
      </c>
      <c r="AO81" s="141">
        <f t="shared" si="146"/>
        <v>0</v>
      </c>
      <c r="AP81" s="141">
        <f t="shared" si="146"/>
        <v>0</v>
      </c>
      <c r="AQ81" s="141">
        <f t="shared" si="146"/>
        <v>0</v>
      </c>
      <c r="AR81" s="141">
        <f t="shared" si="146"/>
        <v>1691</v>
      </c>
      <c r="AS81" s="141">
        <f t="shared" si="8"/>
        <v>2762</v>
      </c>
      <c r="AT81" s="4"/>
      <c r="AU81" s="4"/>
      <c r="AV81" s="4"/>
      <c r="AW81" s="4"/>
      <c r="AX81" s="4"/>
      <c r="AY81" s="4"/>
      <c r="AZ81" s="4"/>
      <c r="BA81" s="4"/>
    </row>
    <row r="82" ht="15.75" customHeight="1">
      <c r="A82" s="167" t="s">
        <v>152</v>
      </c>
      <c r="B82" s="188">
        <v>0.0</v>
      </c>
      <c r="C82" s="188">
        <v>211.0</v>
      </c>
      <c r="D82" s="188">
        <v>0.0</v>
      </c>
      <c r="E82" s="188">
        <f t="shared" ref="E82:E86" si="147">SUM(B82:D82)</f>
        <v>211</v>
      </c>
      <c r="F82" s="188">
        <v>7.0</v>
      </c>
      <c r="G82" s="188">
        <v>0.0</v>
      </c>
      <c r="H82" s="188">
        <v>0.0</v>
      </c>
      <c r="I82" s="188">
        <f t="shared" ref="I82:I86" si="148">SUM(F82:H82)</f>
        <v>7</v>
      </c>
      <c r="J82" s="188">
        <v>2.0</v>
      </c>
      <c r="K82" s="186"/>
      <c r="L82" s="188">
        <v>0.0</v>
      </c>
      <c r="M82" s="188">
        <f t="shared" ref="M82:M86" si="149">SUM(J82:L82)</f>
        <v>2</v>
      </c>
      <c r="N82" s="188">
        <v>0.0</v>
      </c>
      <c r="O82" s="188">
        <v>0.0</v>
      </c>
      <c r="P82" s="188">
        <v>0.0</v>
      </c>
      <c r="Q82" s="188">
        <f t="shared" ref="Q82:Q86" si="150">SUM(N82:P82)</f>
        <v>0</v>
      </c>
      <c r="R82" s="188">
        <f t="shared" ref="R82:R86" si="151">SUM(E82,I82,M82,Q82)</f>
        <v>220</v>
      </c>
      <c r="S82" s="188">
        <v>0.0</v>
      </c>
      <c r="T82" s="186"/>
      <c r="U82" s="188">
        <v>38.0</v>
      </c>
      <c r="V82" s="154">
        <f t="shared" ref="V82:V86" si="152">SUM(S82:U82)</f>
        <v>38</v>
      </c>
      <c r="W82" s="188">
        <v>0.0</v>
      </c>
      <c r="X82" s="186"/>
      <c r="Y82" s="188">
        <v>38.0</v>
      </c>
      <c r="Z82" s="188">
        <v>0.0</v>
      </c>
      <c r="AA82" s="188">
        <v>76.0</v>
      </c>
      <c r="AB82" s="188">
        <v>1236.0</v>
      </c>
      <c r="AC82" s="154"/>
      <c r="AD82" s="154"/>
      <c r="AE82" s="154"/>
      <c r="AF82" s="188">
        <v>0.0</v>
      </c>
      <c r="AG82" s="188">
        <v>76.0</v>
      </c>
      <c r="AH82" s="188">
        <v>1236.0</v>
      </c>
      <c r="AI82" s="154">
        <f t="shared" ref="AI82:AI86" si="153">SUM(AF82:AH82)</f>
        <v>1312</v>
      </c>
      <c r="AJ82" s="154"/>
      <c r="AK82" s="154"/>
      <c r="AL82" s="154"/>
      <c r="AM82" s="154">
        <f t="shared" ref="AM82:AM86" si="154">SUM(AJ82:AL82)</f>
        <v>0</v>
      </c>
      <c r="AN82" s="154"/>
      <c r="AO82" s="154"/>
      <c r="AP82" s="154"/>
      <c r="AQ82" s="154">
        <f t="shared" ref="AQ82:AQ86" si="155">SUM(AN82:AP82)</f>
        <v>0</v>
      </c>
      <c r="AR82" s="154">
        <f t="shared" ref="AR82:AR86" si="156">SUM(V82,AI82,AM82,AQ82)</f>
        <v>1350</v>
      </c>
      <c r="AS82" s="154">
        <f t="shared" si="8"/>
        <v>1570</v>
      </c>
      <c r="AT82" s="4"/>
      <c r="AU82" s="4"/>
      <c r="AV82" s="4"/>
      <c r="AW82" s="4"/>
      <c r="AX82" s="4"/>
      <c r="AY82" s="4"/>
      <c r="AZ82" s="4"/>
      <c r="BA82" s="4"/>
    </row>
    <row r="83" ht="15.75" customHeight="1">
      <c r="A83" s="167" t="s">
        <v>153</v>
      </c>
      <c r="B83" s="188">
        <v>0.0</v>
      </c>
      <c r="C83" s="188">
        <v>0.0</v>
      </c>
      <c r="D83" s="188">
        <v>0.0</v>
      </c>
      <c r="E83" s="188">
        <f t="shared" si="147"/>
        <v>0</v>
      </c>
      <c r="F83" s="188">
        <v>1.0</v>
      </c>
      <c r="G83" s="188">
        <v>0.0</v>
      </c>
      <c r="H83" s="188">
        <v>0.0</v>
      </c>
      <c r="I83" s="188">
        <f t="shared" si="148"/>
        <v>1</v>
      </c>
      <c r="J83" s="188">
        <v>0.0</v>
      </c>
      <c r="K83" s="186"/>
      <c r="L83" s="188">
        <v>0.0</v>
      </c>
      <c r="M83" s="188">
        <f t="shared" si="149"/>
        <v>0</v>
      </c>
      <c r="N83" s="188">
        <v>0.0</v>
      </c>
      <c r="O83" s="188">
        <v>0.0</v>
      </c>
      <c r="P83" s="188">
        <v>0.0</v>
      </c>
      <c r="Q83" s="188">
        <f t="shared" si="150"/>
        <v>0</v>
      </c>
      <c r="R83" s="188">
        <f t="shared" si="151"/>
        <v>1</v>
      </c>
      <c r="S83" s="188">
        <v>0.0</v>
      </c>
      <c r="T83" s="186"/>
      <c r="U83" s="188">
        <v>0.0</v>
      </c>
      <c r="V83" s="154">
        <f t="shared" si="152"/>
        <v>0</v>
      </c>
      <c r="W83" s="188">
        <v>0.0</v>
      </c>
      <c r="X83" s="186"/>
      <c r="Y83" s="188">
        <v>0.0</v>
      </c>
      <c r="Z83" s="188">
        <v>0.0</v>
      </c>
      <c r="AA83" s="188">
        <v>0.0</v>
      </c>
      <c r="AB83" s="188">
        <v>0.0</v>
      </c>
      <c r="AC83" s="154"/>
      <c r="AD83" s="154"/>
      <c r="AE83" s="154"/>
      <c r="AF83" s="188">
        <v>0.0</v>
      </c>
      <c r="AG83" s="188">
        <v>0.0</v>
      </c>
      <c r="AH83" s="188">
        <v>0.0</v>
      </c>
      <c r="AI83" s="154">
        <f t="shared" si="153"/>
        <v>0</v>
      </c>
      <c r="AJ83" s="154"/>
      <c r="AK83" s="154"/>
      <c r="AL83" s="154"/>
      <c r="AM83" s="154">
        <f t="shared" si="154"/>
        <v>0</v>
      </c>
      <c r="AN83" s="154"/>
      <c r="AO83" s="154"/>
      <c r="AP83" s="154"/>
      <c r="AQ83" s="154">
        <f t="shared" si="155"/>
        <v>0</v>
      </c>
      <c r="AR83" s="154">
        <f t="shared" si="156"/>
        <v>0</v>
      </c>
      <c r="AS83" s="154">
        <f t="shared" si="8"/>
        <v>1</v>
      </c>
      <c r="AT83" s="4"/>
      <c r="AU83" s="4"/>
      <c r="AV83" s="4"/>
      <c r="AW83" s="4"/>
      <c r="AX83" s="4"/>
      <c r="AY83" s="4"/>
      <c r="AZ83" s="4"/>
      <c r="BA83" s="4"/>
    </row>
    <row r="84" ht="15.75" customHeight="1">
      <c r="A84" s="169" t="s">
        <v>154</v>
      </c>
      <c r="B84" s="188">
        <v>0.0</v>
      </c>
      <c r="C84" s="188">
        <v>652.0</v>
      </c>
      <c r="D84" s="188">
        <v>0.0</v>
      </c>
      <c r="E84" s="188">
        <f t="shared" si="147"/>
        <v>652</v>
      </c>
      <c r="F84" s="188">
        <v>25.0</v>
      </c>
      <c r="G84" s="188">
        <v>0.0</v>
      </c>
      <c r="H84" s="188">
        <v>1.0</v>
      </c>
      <c r="I84" s="188">
        <f t="shared" si="148"/>
        <v>26</v>
      </c>
      <c r="J84" s="188">
        <v>0.0</v>
      </c>
      <c r="K84" s="188">
        <v>0.0</v>
      </c>
      <c r="L84" s="188">
        <v>0.0</v>
      </c>
      <c r="M84" s="188">
        <f t="shared" si="149"/>
        <v>0</v>
      </c>
      <c r="N84" s="188">
        <v>0.0</v>
      </c>
      <c r="O84" s="188">
        <v>0.0</v>
      </c>
      <c r="P84" s="188">
        <v>0.0</v>
      </c>
      <c r="Q84" s="188">
        <f t="shared" si="150"/>
        <v>0</v>
      </c>
      <c r="R84" s="188">
        <f t="shared" si="151"/>
        <v>678</v>
      </c>
      <c r="S84" s="188">
        <v>0.0</v>
      </c>
      <c r="T84" s="188">
        <v>0.0</v>
      </c>
      <c r="U84" s="188">
        <v>41.0</v>
      </c>
      <c r="V84" s="154">
        <f t="shared" si="152"/>
        <v>41</v>
      </c>
      <c r="W84" s="188">
        <v>0.0</v>
      </c>
      <c r="X84" s="188">
        <v>0.0</v>
      </c>
      <c r="Y84" s="188">
        <v>41.0</v>
      </c>
      <c r="Z84" s="188">
        <v>1.0</v>
      </c>
      <c r="AA84" s="188">
        <v>3.0</v>
      </c>
      <c r="AB84" s="188">
        <v>0.0</v>
      </c>
      <c r="AC84" s="154"/>
      <c r="AD84" s="154"/>
      <c r="AE84" s="154"/>
      <c r="AF84" s="188">
        <v>1.0</v>
      </c>
      <c r="AG84" s="188">
        <v>3.0</v>
      </c>
      <c r="AH84" s="188">
        <v>0.0</v>
      </c>
      <c r="AI84" s="154">
        <f t="shared" si="153"/>
        <v>4</v>
      </c>
      <c r="AJ84" s="154"/>
      <c r="AK84" s="154"/>
      <c r="AL84" s="154"/>
      <c r="AM84" s="154">
        <f t="shared" si="154"/>
        <v>0</v>
      </c>
      <c r="AN84" s="154"/>
      <c r="AO84" s="154"/>
      <c r="AP84" s="154"/>
      <c r="AQ84" s="154">
        <f t="shared" si="155"/>
        <v>0</v>
      </c>
      <c r="AR84" s="154">
        <f t="shared" si="156"/>
        <v>45</v>
      </c>
      <c r="AS84" s="154">
        <f t="shared" si="8"/>
        <v>723</v>
      </c>
      <c r="AT84" s="4"/>
      <c r="AU84" s="4"/>
      <c r="AV84" s="4"/>
      <c r="AW84" s="4"/>
      <c r="AX84" s="4"/>
      <c r="AY84" s="4"/>
      <c r="AZ84" s="4"/>
      <c r="BA84" s="4"/>
    </row>
    <row r="85" ht="15.75" customHeight="1">
      <c r="A85" s="167" t="s">
        <v>155</v>
      </c>
      <c r="B85" s="188">
        <v>0.0</v>
      </c>
      <c r="C85" s="188">
        <v>143.0</v>
      </c>
      <c r="D85" s="188">
        <v>0.0</v>
      </c>
      <c r="E85" s="188">
        <f t="shared" si="147"/>
        <v>143</v>
      </c>
      <c r="F85" s="188">
        <v>6.0</v>
      </c>
      <c r="G85" s="188">
        <v>0.0</v>
      </c>
      <c r="H85" s="188">
        <v>0.0</v>
      </c>
      <c r="I85" s="188">
        <f t="shared" si="148"/>
        <v>6</v>
      </c>
      <c r="J85" s="188">
        <v>0.0</v>
      </c>
      <c r="K85" s="186"/>
      <c r="L85" s="188">
        <v>0.0</v>
      </c>
      <c r="M85" s="188">
        <f t="shared" si="149"/>
        <v>0</v>
      </c>
      <c r="N85" s="188">
        <v>0.0</v>
      </c>
      <c r="O85" s="186"/>
      <c r="P85" s="186"/>
      <c r="Q85" s="188">
        <f t="shared" si="150"/>
        <v>0</v>
      </c>
      <c r="R85" s="188">
        <f t="shared" si="151"/>
        <v>149</v>
      </c>
      <c r="S85" s="186"/>
      <c r="T85" s="186"/>
      <c r="U85" s="188">
        <v>209.0</v>
      </c>
      <c r="V85" s="154">
        <f t="shared" si="152"/>
        <v>209</v>
      </c>
      <c r="W85" s="186"/>
      <c r="X85" s="186"/>
      <c r="Y85" s="188">
        <v>209.0</v>
      </c>
      <c r="Z85" s="188">
        <v>0.0</v>
      </c>
      <c r="AA85" s="188">
        <v>14.0</v>
      </c>
      <c r="AB85" s="188">
        <v>14.0</v>
      </c>
      <c r="AC85" s="154"/>
      <c r="AD85" s="154"/>
      <c r="AE85" s="154"/>
      <c r="AF85" s="188">
        <v>0.0</v>
      </c>
      <c r="AG85" s="188">
        <v>14.0</v>
      </c>
      <c r="AH85" s="188">
        <v>14.0</v>
      </c>
      <c r="AI85" s="154">
        <f t="shared" si="153"/>
        <v>28</v>
      </c>
      <c r="AJ85" s="154"/>
      <c r="AK85" s="154"/>
      <c r="AL85" s="154"/>
      <c r="AM85" s="154">
        <f t="shared" si="154"/>
        <v>0</v>
      </c>
      <c r="AN85" s="154"/>
      <c r="AO85" s="154"/>
      <c r="AP85" s="154"/>
      <c r="AQ85" s="154">
        <f t="shared" si="155"/>
        <v>0</v>
      </c>
      <c r="AR85" s="154">
        <f t="shared" si="156"/>
        <v>237</v>
      </c>
      <c r="AS85" s="154">
        <f t="shared" si="8"/>
        <v>386</v>
      </c>
      <c r="AT85" s="4"/>
      <c r="AU85" s="4"/>
      <c r="AV85" s="4"/>
      <c r="AW85" s="4"/>
      <c r="AX85" s="4"/>
      <c r="AY85" s="4"/>
      <c r="AZ85" s="4"/>
      <c r="BA85" s="4"/>
    </row>
    <row r="86" ht="15.75" customHeight="1">
      <c r="A86" s="169" t="s">
        <v>158</v>
      </c>
      <c r="B86" s="188">
        <v>0.0</v>
      </c>
      <c r="C86" s="188">
        <v>22.0</v>
      </c>
      <c r="D86" s="188">
        <v>0.0</v>
      </c>
      <c r="E86" s="188">
        <f t="shared" si="147"/>
        <v>22</v>
      </c>
      <c r="F86" s="188">
        <v>1.0</v>
      </c>
      <c r="G86" s="188">
        <v>0.0</v>
      </c>
      <c r="H86" s="188">
        <v>0.0</v>
      </c>
      <c r="I86" s="188">
        <f t="shared" si="148"/>
        <v>1</v>
      </c>
      <c r="J86" s="188">
        <v>0.0</v>
      </c>
      <c r="K86" s="188">
        <v>0.0</v>
      </c>
      <c r="L86" s="188">
        <v>0.0</v>
      </c>
      <c r="M86" s="188">
        <f t="shared" si="149"/>
        <v>0</v>
      </c>
      <c r="N86" s="188">
        <v>0.0</v>
      </c>
      <c r="O86" s="188">
        <v>0.0</v>
      </c>
      <c r="P86" s="188">
        <v>0.0</v>
      </c>
      <c r="Q86" s="188">
        <f t="shared" si="150"/>
        <v>0</v>
      </c>
      <c r="R86" s="188">
        <f t="shared" si="151"/>
        <v>23</v>
      </c>
      <c r="S86" s="188">
        <v>0.0</v>
      </c>
      <c r="T86" s="188">
        <v>0.0</v>
      </c>
      <c r="U86" s="188">
        <v>59.0</v>
      </c>
      <c r="V86" s="154">
        <f t="shared" si="152"/>
        <v>59</v>
      </c>
      <c r="W86" s="188">
        <v>0.0</v>
      </c>
      <c r="X86" s="188">
        <v>0.0</v>
      </c>
      <c r="Y86" s="188">
        <v>59.0</v>
      </c>
      <c r="Z86" s="188">
        <v>0.0</v>
      </c>
      <c r="AA86" s="188">
        <v>0.0</v>
      </c>
      <c r="AB86" s="188">
        <v>0.0</v>
      </c>
      <c r="AC86" s="154"/>
      <c r="AD86" s="154"/>
      <c r="AE86" s="154"/>
      <c r="AF86" s="188">
        <v>0.0</v>
      </c>
      <c r="AG86" s="188">
        <v>0.0</v>
      </c>
      <c r="AH86" s="188">
        <v>0.0</v>
      </c>
      <c r="AI86" s="154">
        <f t="shared" si="153"/>
        <v>0</v>
      </c>
      <c r="AJ86" s="154"/>
      <c r="AK86" s="154"/>
      <c r="AL86" s="154"/>
      <c r="AM86" s="154">
        <f t="shared" si="154"/>
        <v>0</v>
      </c>
      <c r="AN86" s="154"/>
      <c r="AO86" s="154"/>
      <c r="AP86" s="154"/>
      <c r="AQ86" s="154">
        <f t="shared" si="155"/>
        <v>0</v>
      </c>
      <c r="AR86" s="154">
        <f t="shared" si="156"/>
        <v>59</v>
      </c>
      <c r="AS86" s="154">
        <f t="shared" si="8"/>
        <v>82</v>
      </c>
      <c r="AT86" s="4"/>
      <c r="AU86" s="4"/>
      <c r="AV86" s="4"/>
      <c r="AW86" s="4"/>
      <c r="AX86" s="4"/>
      <c r="AY86" s="4"/>
      <c r="AZ86" s="4"/>
      <c r="BA86" s="4"/>
    </row>
    <row r="87" ht="15.75" customHeight="1">
      <c r="A87" s="137" t="s">
        <v>159</v>
      </c>
      <c r="B87" s="191">
        <f t="shared" ref="B87:AB87" si="157">SUM(B88:B92)</f>
        <v>4</v>
      </c>
      <c r="C87" s="191">
        <f t="shared" si="157"/>
        <v>0</v>
      </c>
      <c r="D87" s="191">
        <f t="shared" si="157"/>
        <v>0</v>
      </c>
      <c r="E87" s="191">
        <f t="shared" si="157"/>
        <v>4</v>
      </c>
      <c r="F87" s="191">
        <f t="shared" si="157"/>
        <v>1220</v>
      </c>
      <c r="G87" s="191">
        <f t="shared" si="157"/>
        <v>0</v>
      </c>
      <c r="H87" s="191">
        <f t="shared" si="157"/>
        <v>9</v>
      </c>
      <c r="I87" s="191">
        <f t="shared" si="157"/>
        <v>1229</v>
      </c>
      <c r="J87" s="191">
        <f t="shared" si="157"/>
        <v>9</v>
      </c>
      <c r="K87" s="191">
        <f t="shared" si="157"/>
        <v>0</v>
      </c>
      <c r="L87" s="191">
        <f t="shared" si="157"/>
        <v>0</v>
      </c>
      <c r="M87" s="191">
        <f t="shared" si="157"/>
        <v>9</v>
      </c>
      <c r="N87" s="191">
        <f t="shared" si="157"/>
        <v>5</v>
      </c>
      <c r="O87" s="191">
        <f t="shared" si="157"/>
        <v>0</v>
      </c>
      <c r="P87" s="191">
        <f t="shared" si="157"/>
        <v>0</v>
      </c>
      <c r="Q87" s="191">
        <f t="shared" si="157"/>
        <v>5</v>
      </c>
      <c r="R87" s="191">
        <f t="shared" si="157"/>
        <v>1247</v>
      </c>
      <c r="S87" s="187">
        <f t="shared" si="157"/>
        <v>0</v>
      </c>
      <c r="T87" s="187">
        <f t="shared" si="157"/>
        <v>0</v>
      </c>
      <c r="U87" s="187">
        <f t="shared" si="157"/>
        <v>132</v>
      </c>
      <c r="V87" s="141">
        <f t="shared" si="157"/>
        <v>132</v>
      </c>
      <c r="W87" s="187">
        <f t="shared" si="157"/>
        <v>0</v>
      </c>
      <c r="X87" s="187">
        <f t="shared" si="157"/>
        <v>0</v>
      </c>
      <c r="Y87" s="187">
        <f t="shared" si="157"/>
        <v>132</v>
      </c>
      <c r="Z87" s="187">
        <f t="shared" si="157"/>
        <v>4</v>
      </c>
      <c r="AA87" s="187">
        <f t="shared" si="157"/>
        <v>0</v>
      </c>
      <c r="AB87" s="187">
        <f t="shared" si="157"/>
        <v>1</v>
      </c>
      <c r="AC87" s="141"/>
      <c r="AD87" s="141"/>
      <c r="AE87" s="141"/>
      <c r="AF87" s="187">
        <f t="shared" ref="AF87:AR87" si="158">SUM(AF88:AF92)</f>
        <v>4</v>
      </c>
      <c r="AG87" s="187">
        <f t="shared" si="158"/>
        <v>0</v>
      </c>
      <c r="AH87" s="187">
        <f t="shared" si="158"/>
        <v>1</v>
      </c>
      <c r="AI87" s="141">
        <f t="shared" si="158"/>
        <v>5</v>
      </c>
      <c r="AJ87" s="141">
        <f t="shared" si="158"/>
        <v>0</v>
      </c>
      <c r="AK87" s="141">
        <f t="shared" si="158"/>
        <v>0</v>
      </c>
      <c r="AL87" s="141">
        <f t="shared" si="158"/>
        <v>0</v>
      </c>
      <c r="AM87" s="141">
        <f t="shared" si="158"/>
        <v>0</v>
      </c>
      <c r="AN87" s="141">
        <f t="shared" si="158"/>
        <v>0</v>
      </c>
      <c r="AO87" s="141">
        <f t="shared" si="158"/>
        <v>0</v>
      </c>
      <c r="AP87" s="141">
        <f t="shared" si="158"/>
        <v>0</v>
      </c>
      <c r="AQ87" s="141">
        <f t="shared" si="158"/>
        <v>0</v>
      </c>
      <c r="AR87" s="141">
        <f t="shared" si="158"/>
        <v>137</v>
      </c>
      <c r="AS87" s="141">
        <f t="shared" si="8"/>
        <v>1384</v>
      </c>
      <c r="AT87" s="4"/>
      <c r="AU87" s="4"/>
      <c r="AV87" s="4"/>
      <c r="AW87" s="4"/>
      <c r="AX87" s="4"/>
      <c r="AY87" s="4"/>
      <c r="AZ87" s="4"/>
      <c r="BA87" s="4"/>
    </row>
    <row r="88" ht="15.75" customHeight="1">
      <c r="A88" s="167" t="s">
        <v>160</v>
      </c>
      <c r="B88" s="188">
        <v>3.0</v>
      </c>
      <c r="C88" s="188">
        <v>0.0</v>
      </c>
      <c r="D88" s="188">
        <v>0.0</v>
      </c>
      <c r="E88" s="188">
        <f t="shared" ref="E88:E92" si="159">SUM(B88:D88)</f>
        <v>3</v>
      </c>
      <c r="F88" s="188">
        <v>199.0</v>
      </c>
      <c r="G88" s="188">
        <v>0.0</v>
      </c>
      <c r="H88" s="188">
        <v>1.0</v>
      </c>
      <c r="I88" s="188">
        <f t="shared" ref="I88:I92" si="160">SUM(F88:H88)</f>
        <v>200</v>
      </c>
      <c r="J88" s="188">
        <v>3.0</v>
      </c>
      <c r="K88" s="186"/>
      <c r="L88" s="188">
        <v>0.0</v>
      </c>
      <c r="M88" s="188">
        <f t="shared" ref="M88:M92" si="161">SUM(J88:L88)</f>
        <v>3</v>
      </c>
      <c r="N88" s="188">
        <v>5.0</v>
      </c>
      <c r="O88" s="186"/>
      <c r="P88" s="186"/>
      <c r="Q88" s="188">
        <f t="shared" ref="Q88:Q92" si="162">SUM(N88:P88)</f>
        <v>5</v>
      </c>
      <c r="R88" s="188">
        <f t="shared" ref="R88:R92" si="163">SUM(E88,I88,M88,Q88)</f>
        <v>211</v>
      </c>
      <c r="S88" s="188">
        <v>0.0</v>
      </c>
      <c r="T88" s="186"/>
      <c r="U88" s="188">
        <v>41.0</v>
      </c>
      <c r="V88" s="154">
        <f t="shared" ref="V88:V92" si="164">SUM(S88:U88)</f>
        <v>41</v>
      </c>
      <c r="W88" s="188">
        <v>0.0</v>
      </c>
      <c r="X88" s="186"/>
      <c r="Y88" s="188">
        <v>41.0</v>
      </c>
      <c r="Z88" s="188">
        <v>0.0</v>
      </c>
      <c r="AA88" s="188">
        <v>0.0</v>
      </c>
      <c r="AB88" s="188">
        <v>1.0</v>
      </c>
      <c r="AC88" s="154"/>
      <c r="AD88" s="154"/>
      <c r="AE88" s="154"/>
      <c r="AF88" s="188">
        <v>0.0</v>
      </c>
      <c r="AG88" s="188">
        <v>0.0</v>
      </c>
      <c r="AH88" s="188">
        <v>1.0</v>
      </c>
      <c r="AI88" s="154">
        <f t="shared" ref="AI88:AI92" si="165">SUM(AF88:AH88)</f>
        <v>1</v>
      </c>
      <c r="AJ88" s="154"/>
      <c r="AK88" s="154"/>
      <c r="AL88" s="154"/>
      <c r="AM88" s="154">
        <f t="shared" ref="AM88:AM92" si="166">SUM(AJ88:AL88)</f>
        <v>0</v>
      </c>
      <c r="AN88" s="154"/>
      <c r="AO88" s="154"/>
      <c r="AP88" s="154"/>
      <c r="AQ88" s="154">
        <f t="shared" ref="AQ88:AQ92" si="167">SUM(AN88:AP88)</f>
        <v>0</v>
      </c>
      <c r="AR88" s="154">
        <f t="shared" ref="AR88:AR92" si="168">SUM(V88,AI88,AM88,AQ88)</f>
        <v>42</v>
      </c>
      <c r="AS88" s="154">
        <f t="shared" si="8"/>
        <v>253</v>
      </c>
      <c r="AT88" s="4"/>
      <c r="AU88" s="4"/>
      <c r="AV88" s="4"/>
      <c r="AW88" s="4"/>
      <c r="AX88" s="4"/>
      <c r="AY88" s="4"/>
      <c r="AZ88" s="4"/>
      <c r="BA88" s="4"/>
    </row>
    <row r="89" ht="15.75" customHeight="1">
      <c r="A89" s="167" t="s">
        <v>161</v>
      </c>
      <c r="B89" s="188">
        <v>0.0</v>
      </c>
      <c r="C89" s="188">
        <v>0.0</v>
      </c>
      <c r="D89" s="188">
        <v>0.0</v>
      </c>
      <c r="E89" s="188">
        <f t="shared" si="159"/>
        <v>0</v>
      </c>
      <c r="F89" s="188">
        <v>84.0</v>
      </c>
      <c r="G89" s="188">
        <v>0.0</v>
      </c>
      <c r="H89" s="188">
        <v>1.0</v>
      </c>
      <c r="I89" s="188">
        <f t="shared" si="160"/>
        <v>85</v>
      </c>
      <c r="J89" s="186"/>
      <c r="K89" s="186"/>
      <c r="L89" s="188">
        <v>0.0</v>
      </c>
      <c r="M89" s="188">
        <f t="shared" si="161"/>
        <v>0</v>
      </c>
      <c r="N89" s="188">
        <v>0.0</v>
      </c>
      <c r="O89" s="186"/>
      <c r="P89" s="186"/>
      <c r="Q89" s="188">
        <f t="shared" si="162"/>
        <v>0</v>
      </c>
      <c r="R89" s="188">
        <f t="shared" si="163"/>
        <v>85</v>
      </c>
      <c r="S89" s="186"/>
      <c r="T89" s="186"/>
      <c r="U89" s="188">
        <v>58.0</v>
      </c>
      <c r="V89" s="154">
        <f t="shared" si="164"/>
        <v>58</v>
      </c>
      <c r="W89" s="186"/>
      <c r="X89" s="186"/>
      <c r="Y89" s="188">
        <v>58.0</v>
      </c>
      <c r="Z89" s="188">
        <v>3.0</v>
      </c>
      <c r="AA89" s="188">
        <v>0.0</v>
      </c>
      <c r="AB89" s="188">
        <v>0.0</v>
      </c>
      <c r="AC89" s="154"/>
      <c r="AD89" s="154"/>
      <c r="AE89" s="154"/>
      <c r="AF89" s="188">
        <v>3.0</v>
      </c>
      <c r="AG89" s="188">
        <v>0.0</v>
      </c>
      <c r="AH89" s="188">
        <v>0.0</v>
      </c>
      <c r="AI89" s="154">
        <f t="shared" si="165"/>
        <v>3</v>
      </c>
      <c r="AJ89" s="154"/>
      <c r="AK89" s="154"/>
      <c r="AL89" s="154"/>
      <c r="AM89" s="154">
        <f t="shared" si="166"/>
        <v>0</v>
      </c>
      <c r="AN89" s="154"/>
      <c r="AO89" s="154"/>
      <c r="AP89" s="154"/>
      <c r="AQ89" s="154">
        <f t="shared" si="167"/>
        <v>0</v>
      </c>
      <c r="AR89" s="154">
        <f t="shared" si="168"/>
        <v>61</v>
      </c>
      <c r="AS89" s="154">
        <f t="shared" si="8"/>
        <v>146</v>
      </c>
      <c r="AT89" s="4"/>
      <c r="AU89" s="4"/>
      <c r="AV89" s="4"/>
      <c r="AW89" s="4"/>
      <c r="AX89" s="4"/>
      <c r="AY89" s="4"/>
      <c r="AZ89" s="4"/>
      <c r="BA89" s="4"/>
    </row>
    <row r="90" ht="15.75" customHeight="1">
      <c r="A90" s="169" t="s">
        <v>162</v>
      </c>
      <c r="B90" s="188">
        <v>0.0</v>
      </c>
      <c r="C90" s="188">
        <v>0.0</v>
      </c>
      <c r="D90" s="188">
        <v>0.0</v>
      </c>
      <c r="E90" s="188">
        <f t="shared" si="159"/>
        <v>0</v>
      </c>
      <c r="F90" s="188">
        <v>817.0</v>
      </c>
      <c r="G90" s="188">
        <v>0.0</v>
      </c>
      <c r="H90" s="188">
        <v>0.0</v>
      </c>
      <c r="I90" s="188">
        <f t="shared" si="160"/>
        <v>817</v>
      </c>
      <c r="J90" s="188">
        <v>0.0</v>
      </c>
      <c r="K90" s="188">
        <v>0.0</v>
      </c>
      <c r="L90" s="188">
        <v>0.0</v>
      </c>
      <c r="M90" s="188">
        <f t="shared" si="161"/>
        <v>0</v>
      </c>
      <c r="N90" s="188">
        <v>0.0</v>
      </c>
      <c r="O90" s="188">
        <v>0.0</v>
      </c>
      <c r="P90" s="188">
        <v>0.0</v>
      </c>
      <c r="Q90" s="188">
        <f t="shared" si="162"/>
        <v>0</v>
      </c>
      <c r="R90" s="188">
        <f t="shared" si="163"/>
        <v>817</v>
      </c>
      <c r="S90" s="188">
        <v>0.0</v>
      </c>
      <c r="T90" s="188">
        <v>0.0</v>
      </c>
      <c r="U90" s="188">
        <v>11.0</v>
      </c>
      <c r="V90" s="154">
        <f t="shared" si="164"/>
        <v>11</v>
      </c>
      <c r="W90" s="188">
        <v>0.0</v>
      </c>
      <c r="X90" s="188">
        <v>0.0</v>
      </c>
      <c r="Y90" s="188">
        <v>11.0</v>
      </c>
      <c r="Z90" s="188">
        <v>0.0</v>
      </c>
      <c r="AA90" s="188">
        <v>0.0</v>
      </c>
      <c r="AB90" s="188">
        <v>0.0</v>
      </c>
      <c r="AC90" s="154"/>
      <c r="AD90" s="154"/>
      <c r="AE90" s="154"/>
      <c r="AF90" s="188">
        <v>0.0</v>
      </c>
      <c r="AG90" s="188">
        <v>0.0</v>
      </c>
      <c r="AH90" s="188">
        <v>0.0</v>
      </c>
      <c r="AI90" s="154">
        <f t="shared" si="165"/>
        <v>0</v>
      </c>
      <c r="AJ90" s="154"/>
      <c r="AK90" s="154"/>
      <c r="AL90" s="154"/>
      <c r="AM90" s="154">
        <f t="shared" si="166"/>
        <v>0</v>
      </c>
      <c r="AN90" s="154"/>
      <c r="AO90" s="154"/>
      <c r="AP90" s="154"/>
      <c r="AQ90" s="154">
        <f t="shared" si="167"/>
        <v>0</v>
      </c>
      <c r="AR90" s="154">
        <f t="shared" si="168"/>
        <v>11</v>
      </c>
      <c r="AS90" s="154">
        <f t="shared" si="8"/>
        <v>828</v>
      </c>
      <c r="AT90" s="4"/>
      <c r="AU90" s="4"/>
      <c r="AV90" s="4"/>
      <c r="AW90" s="4"/>
      <c r="AX90" s="4"/>
      <c r="AY90" s="4"/>
      <c r="AZ90" s="4"/>
      <c r="BA90" s="4"/>
    </row>
    <row r="91" ht="15.75" customHeight="1">
      <c r="A91" s="167" t="s">
        <v>189</v>
      </c>
      <c r="B91" s="188">
        <v>0.0</v>
      </c>
      <c r="C91" s="188">
        <v>0.0</v>
      </c>
      <c r="D91" s="188">
        <v>0.0</v>
      </c>
      <c r="E91" s="188">
        <f t="shared" si="159"/>
        <v>0</v>
      </c>
      <c r="F91" s="188">
        <v>0.0</v>
      </c>
      <c r="G91" s="188">
        <v>0.0</v>
      </c>
      <c r="H91" s="188">
        <v>0.0</v>
      </c>
      <c r="I91" s="188">
        <f t="shared" si="160"/>
        <v>0</v>
      </c>
      <c r="J91" s="188">
        <v>6.0</v>
      </c>
      <c r="K91" s="186"/>
      <c r="L91" s="188">
        <v>0.0</v>
      </c>
      <c r="M91" s="188">
        <f t="shared" si="161"/>
        <v>6</v>
      </c>
      <c r="N91" s="188">
        <v>0.0</v>
      </c>
      <c r="O91" s="188">
        <v>0.0</v>
      </c>
      <c r="P91" s="188">
        <v>0.0</v>
      </c>
      <c r="Q91" s="188">
        <f t="shared" si="162"/>
        <v>0</v>
      </c>
      <c r="R91" s="188">
        <f t="shared" si="163"/>
        <v>6</v>
      </c>
      <c r="S91" s="188">
        <v>0.0</v>
      </c>
      <c r="T91" s="186"/>
      <c r="U91" s="188">
        <v>0.0</v>
      </c>
      <c r="V91" s="154">
        <f t="shared" si="164"/>
        <v>0</v>
      </c>
      <c r="W91" s="188">
        <v>0.0</v>
      </c>
      <c r="X91" s="186"/>
      <c r="Y91" s="188">
        <v>0.0</v>
      </c>
      <c r="Z91" s="188">
        <v>0.0</v>
      </c>
      <c r="AA91" s="188">
        <v>0.0</v>
      </c>
      <c r="AB91" s="189">
        <v>0.0</v>
      </c>
      <c r="AC91" s="154"/>
      <c r="AD91" s="154"/>
      <c r="AE91" s="154"/>
      <c r="AF91" s="188">
        <v>0.0</v>
      </c>
      <c r="AG91" s="188">
        <v>0.0</v>
      </c>
      <c r="AH91" s="189">
        <v>0.0</v>
      </c>
      <c r="AI91" s="154">
        <f t="shared" si="165"/>
        <v>0</v>
      </c>
      <c r="AJ91" s="154"/>
      <c r="AK91" s="154"/>
      <c r="AL91" s="155"/>
      <c r="AM91" s="154">
        <f t="shared" si="166"/>
        <v>0</v>
      </c>
      <c r="AN91" s="154"/>
      <c r="AO91" s="154"/>
      <c r="AP91" s="155"/>
      <c r="AQ91" s="154">
        <f t="shared" si="167"/>
        <v>0</v>
      </c>
      <c r="AR91" s="154">
        <f t="shared" si="168"/>
        <v>0</v>
      </c>
      <c r="AS91" s="154">
        <f t="shared" si="8"/>
        <v>6</v>
      </c>
      <c r="AT91" s="4"/>
      <c r="AU91" s="4"/>
      <c r="AV91" s="4"/>
      <c r="AW91" s="4"/>
      <c r="AX91" s="4"/>
      <c r="AY91" s="4"/>
      <c r="AZ91" s="4"/>
      <c r="BA91" s="4"/>
    </row>
    <row r="92" ht="15.75" customHeight="1">
      <c r="A92" s="167" t="s">
        <v>190</v>
      </c>
      <c r="B92" s="188">
        <v>1.0</v>
      </c>
      <c r="C92" s="188">
        <v>0.0</v>
      </c>
      <c r="D92" s="188">
        <v>0.0</v>
      </c>
      <c r="E92" s="188">
        <f t="shared" si="159"/>
        <v>1</v>
      </c>
      <c r="F92" s="188">
        <v>120.0</v>
      </c>
      <c r="G92" s="188">
        <v>0.0</v>
      </c>
      <c r="H92" s="188">
        <v>7.0</v>
      </c>
      <c r="I92" s="188">
        <f t="shared" si="160"/>
        <v>127</v>
      </c>
      <c r="J92" s="186"/>
      <c r="K92" s="186"/>
      <c r="L92" s="188">
        <v>0.0</v>
      </c>
      <c r="M92" s="188">
        <f t="shared" si="161"/>
        <v>0</v>
      </c>
      <c r="N92" s="188">
        <v>0.0</v>
      </c>
      <c r="O92" s="186"/>
      <c r="P92" s="186"/>
      <c r="Q92" s="188">
        <f t="shared" si="162"/>
        <v>0</v>
      </c>
      <c r="R92" s="188">
        <f t="shared" si="163"/>
        <v>128</v>
      </c>
      <c r="S92" s="186"/>
      <c r="T92" s="186"/>
      <c r="U92" s="188">
        <v>22.0</v>
      </c>
      <c r="V92" s="154">
        <f t="shared" si="164"/>
        <v>22</v>
      </c>
      <c r="W92" s="186"/>
      <c r="X92" s="186"/>
      <c r="Y92" s="188">
        <v>22.0</v>
      </c>
      <c r="Z92" s="188">
        <v>1.0</v>
      </c>
      <c r="AA92" s="188">
        <v>0.0</v>
      </c>
      <c r="AB92" s="189">
        <v>0.0</v>
      </c>
      <c r="AC92" s="154"/>
      <c r="AD92" s="154"/>
      <c r="AE92" s="154"/>
      <c r="AF92" s="188">
        <v>1.0</v>
      </c>
      <c r="AG92" s="188">
        <v>0.0</v>
      </c>
      <c r="AH92" s="189">
        <v>0.0</v>
      </c>
      <c r="AI92" s="154">
        <f t="shared" si="165"/>
        <v>1</v>
      </c>
      <c r="AJ92" s="154"/>
      <c r="AK92" s="154"/>
      <c r="AL92" s="155"/>
      <c r="AM92" s="154">
        <f t="shared" si="166"/>
        <v>0</v>
      </c>
      <c r="AN92" s="154"/>
      <c r="AO92" s="154"/>
      <c r="AP92" s="155"/>
      <c r="AQ92" s="154">
        <f t="shared" si="167"/>
        <v>0</v>
      </c>
      <c r="AR92" s="154">
        <f t="shared" si="168"/>
        <v>23</v>
      </c>
      <c r="AS92" s="154">
        <f t="shared" si="8"/>
        <v>151</v>
      </c>
      <c r="AT92" s="4"/>
      <c r="AU92" s="4"/>
      <c r="AV92" s="4"/>
      <c r="AW92" s="4"/>
      <c r="AX92" s="4"/>
      <c r="AY92" s="4"/>
      <c r="AZ92" s="4"/>
      <c r="BA92" s="4"/>
    </row>
    <row r="93" ht="15.75" customHeight="1">
      <c r="A93" s="137" t="s">
        <v>165</v>
      </c>
      <c r="B93" s="191">
        <f t="shared" ref="B93:AB93" si="169">SUM(B94:B98)</f>
        <v>0</v>
      </c>
      <c r="C93" s="191">
        <f t="shared" si="169"/>
        <v>0</v>
      </c>
      <c r="D93" s="191">
        <f t="shared" si="169"/>
        <v>0</v>
      </c>
      <c r="E93" s="191">
        <f t="shared" si="169"/>
        <v>0</v>
      </c>
      <c r="F93" s="191">
        <f t="shared" si="169"/>
        <v>0</v>
      </c>
      <c r="G93" s="191">
        <f t="shared" si="169"/>
        <v>0</v>
      </c>
      <c r="H93" s="191">
        <f t="shared" si="169"/>
        <v>288</v>
      </c>
      <c r="I93" s="191">
        <f t="shared" si="169"/>
        <v>288</v>
      </c>
      <c r="J93" s="191">
        <f t="shared" si="169"/>
        <v>4</v>
      </c>
      <c r="K93" s="191">
        <f t="shared" si="169"/>
        <v>0</v>
      </c>
      <c r="L93" s="191">
        <f t="shared" si="169"/>
        <v>99</v>
      </c>
      <c r="M93" s="191">
        <f t="shared" si="169"/>
        <v>103</v>
      </c>
      <c r="N93" s="191">
        <f t="shared" si="169"/>
        <v>0</v>
      </c>
      <c r="O93" s="191">
        <f t="shared" si="169"/>
        <v>0</v>
      </c>
      <c r="P93" s="191">
        <f t="shared" si="169"/>
        <v>0</v>
      </c>
      <c r="Q93" s="191">
        <f t="shared" si="169"/>
        <v>0</v>
      </c>
      <c r="R93" s="191">
        <f t="shared" si="169"/>
        <v>391</v>
      </c>
      <c r="S93" s="187">
        <f t="shared" si="169"/>
        <v>1436</v>
      </c>
      <c r="T93" s="187">
        <f t="shared" si="169"/>
        <v>1003</v>
      </c>
      <c r="U93" s="187">
        <f t="shared" si="169"/>
        <v>1354</v>
      </c>
      <c r="V93" s="141">
        <f t="shared" si="169"/>
        <v>3793</v>
      </c>
      <c r="W93" s="187">
        <f t="shared" si="169"/>
        <v>1436</v>
      </c>
      <c r="X93" s="187">
        <f t="shared" si="169"/>
        <v>1003</v>
      </c>
      <c r="Y93" s="187">
        <f t="shared" si="169"/>
        <v>1354</v>
      </c>
      <c r="Z93" s="187">
        <f t="shared" si="169"/>
        <v>15</v>
      </c>
      <c r="AA93" s="187">
        <f t="shared" si="169"/>
        <v>545</v>
      </c>
      <c r="AB93" s="187">
        <f t="shared" si="169"/>
        <v>3</v>
      </c>
      <c r="AC93" s="141"/>
      <c r="AD93" s="141"/>
      <c r="AE93" s="141"/>
      <c r="AF93" s="187">
        <f t="shared" ref="AF93:AR93" si="170">SUM(AF94:AF98)</f>
        <v>15</v>
      </c>
      <c r="AG93" s="187">
        <f t="shared" si="170"/>
        <v>545</v>
      </c>
      <c r="AH93" s="187">
        <f t="shared" si="170"/>
        <v>3</v>
      </c>
      <c r="AI93" s="141">
        <f t="shared" si="170"/>
        <v>563</v>
      </c>
      <c r="AJ93" s="141">
        <f t="shared" si="170"/>
        <v>0</v>
      </c>
      <c r="AK93" s="141">
        <f t="shared" si="170"/>
        <v>0</v>
      </c>
      <c r="AL93" s="141">
        <f t="shared" si="170"/>
        <v>0</v>
      </c>
      <c r="AM93" s="141">
        <f t="shared" si="170"/>
        <v>0</v>
      </c>
      <c r="AN93" s="141">
        <f t="shared" si="170"/>
        <v>0</v>
      </c>
      <c r="AO93" s="141">
        <f t="shared" si="170"/>
        <v>0</v>
      </c>
      <c r="AP93" s="141">
        <f t="shared" si="170"/>
        <v>0</v>
      </c>
      <c r="AQ93" s="141">
        <f t="shared" si="170"/>
        <v>0</v>
      </c>
      <c r="AR93" s="141">
        <f t="shared" si="170"/>
        <v>4356</v>
      </c>
      <c r="AS93" s="141">
        <f t="shared" si="8"/>
        <v>4747</v>
      </c>
      <c r="AT93" s="4"/>
      <c r="AU93" s="4"/>
      <c r="AV93" s="4"/>
      <c r="AW93" s="4"/>
      <c r="AX93" s="4"/>
      <c r="AY93" s="4"/>
      <c r="AZ93" s="4"/>
      <c r="BA93" s="4"/>
    </row>
    <row r="94" ht="15.75" customHeight="1">
      <c r="A94" s="167" t="s">
        <v>166</v>
      </c>
      <c r="B94" s="188">
        <v>0.0</v>
      </c>
      <c r="C94" s="188">
        <v>0.0</v>
      </c>
      <c r="D94" s="188">
        <v>0.0</v>
      </c>
      <c r="E94" s="188">
        <f t="shared" ref="E94:E98" si="171">SUM(B94:D94)</f>
        <v>0</v>
      </c>
      <c r="F94" s="188">
        <v>0.0</v>
      </c>
      <c r="G94" s="188">
        <v>0.0</v>
      </c>
      <c r="H94" s="188">
        <v>5.0</v>
      </c>
      <c r="I94" s="188">
        <f t="shared" ref="I94:I98" si="172">SUM(F94:H94)</f>
        <v>5</v>
      </c>
      <c r="J94" s="188">
        <v>0.0</v>
      </c>
      <c r="K94" s="186"/>
      <c r="L94" s="188">
        <v>0.0</v>
      </c>
      <c r="M94" s="188">
        <f t="shared" ref="M94:M98" si="173">SUM(J94:L94)</f>
        <v>0</v>
      </c>
      <c r="N94" s="188">
        <v>0.0</v>
      </c>
      <c r="O94" s="186"/>
      <c r="P94" s="188">
        <v>0.0</v>
      </c>
      <c r="Q94" s="188">
        <f t="shared" ref="Q94:Q98" si="174">SUM(N94:P94)</f>
        <v>0</v>
      </c>
      <c r="R94" s="188">
        <f t="shared" ref="R94:R98" si="175">SUM(E94,I94,M94,Q94)</f>
        <v>5</v>
      </c>
      <c r="S94" s="188">
        <v>419.0</v>
      </c>
      <c r="T94" s="188">
        <v>704.0</v>
      </c>
      <c r="U94" s="188">
        <v>308.0</v>
      </c>
      <c r="V94" s="154">
        <f t="shared" ref="V94:V98" si="176">SUM(S94:U94)</f>
        <v>1431</v>
      </c>
      <c r="W94" s="188">
        <v>419.0</v>
      </c>
      <c r="X94" s="188">
        <v>704.0</v>
      </c>
      <c r="Y94" s="188">
        <v>308.0</v>
      </c>
      <c r="Z94" s="188">
        <v>1.0</v>
      </c>
      <c r="AA94" s="188">
        <v>117.0</v>
      </c>
      <c r="AB94" s="189">
        <v>1.0</v>
      </c>
      <c r="AC94" s="154"/>
      <c r="AD94" s="154"/>
      <c r="AE94" s="154"/>
      <c r="AF94" s="188">
        <v>1.0</v>
      </c>
      <c r="AG94" s="188">
        <v>117.0</v>
      </c>
      <c r="AH94" s="189">
        <v>1.0</v>
      </c>
      <c r="AI94" s="154">
        <f t="shared" ref="AI94:AI98" si="177">SUM(AF94:AH94)</f>
        <v>119</v>
      </c>
      <c r="AJ94" s="154"/>
      <c r="AK94" s="154"/>
      <c r="AL94" s="155"/>
      <c r="AM94" s="154">
        <f t="shared" ref="AM94:AM98" si="178">SUM(AJ94:AL94)</f>
        <v>0</v>
      </c>
      <c r="AN94" s="154"/>
      <c r="AO94" s="154"/>
      <c r="AP94" s="155"/>
      <c r="AQ94" s="154">
        <f t="shared" ref="AQ94:AQ98" si="179">SUM(AN94:AP94)</f>
        <v>0</v>
      </c>
      <c r="AR94" s="154">
        <f t="shared" ref="AR94:AR98" si="180">SUM(V94,AI94,AM94,AQ94)</f>
        <v>1550</v>
      </c>
      <c r="AS94" s="154">
        <f t="shared" si="8"/>
        <v>1555</v>
      </c>
      <c r="AT94" s="4"/>
      <c r="AU94" s="4"/>
      <c r="AV94" s="4"/>
      <c r="AW94" s="4"/>
      <c r="AX94" s="4"/>
      <c r="AY94" s="4"/>
      <c r="AZ94" s="4"/>
      <c r="BA94" s="4"/>
    </row>
    <row r="95" ht="15.75" customHeight="1">
      <c r="A95" s="167" t="s">
        <v>167</v>
      </c>
      <c r="B95" s="188">
        <v>0.0</v>
      </c>
      <c r="C95" s="188">
        <v>0.0</v>
      </c>
      <c r="D95" s="188">
        <v>0.0</v>
      </c>
      <c r="E95" s="188">
        <f t="shared" si="171"/>
        <v>0</v>
      </c>
      <c r="F95" s="188">
        <v>0.0</v>
      </c>
      <c r="G95" s="188">
        <v>0.0</v>
      </c>
      <c r="H95" s="188">
        <v>4.0</v>
      </c>
      <c r="I95" s="188">
        <f t="shared" si="172"/>
        <v>4</v>
      </c>
      <c r="J95" s="188">
        <v>0.0</v>
      </c>
      <c r="K95" s="188">
        <v>0.0</v>
      </c>
      <c r="L95" s="188">
        <v>0.0</v>
      </c>
      <c r="M95" s="188">
        <f t="shared" si="173"/>
        <v>0</v>
      </c>
      <c r="N95" s="188">
        <v>0.0</v>
      </c>
      <c r="O95" s="188">
        <v>0.0</v>
      </c>
      <c r="P95" s="188">
        <v>0.0</v>
      </c>
      <c r="Q95" s="188">
        <f t="shared" si="174"/>
        <v>0</v>
      </c>
      <c r="R95" s="188">
        <f t="shared" si="175"/>
        <v>4</v>
      </c>
      <c r="S95" s="188">
        <v>93.0</v>
      </c>
      <c r="T95" s="188">
        <v>147.0</v>
      </c>
      <c r="U95" s="188">
        <v>54.0</v>
      </c>
      <c r="V95" s="154">
        <f t="shared" si="176"/>
        <v>294</v>
      </c>
      <c r="W95" s="188">
        <v>93.0</v>
      </c>
      <c r="X95" s="188">
        <v>147.0</v>
      </c>
      <c r="Y95" s="188">
        <v>54.0</v>
      </c>
      <c r="Z95" s="188">
        <v>1.0</v>
      </c>
      <c r="AA95" s="188">
        <v>139.0</v>
      </c>
      <c r="AB95" s="188">
        <v>0.0</v>
      </c>
      <c r="AC95" s="154"/>
      <c r="AD95" s="154"/>
      <c r="AE95" s="154"/>
      <c r="AF95" s="188">
        <v>1.0</v>
      </c>
      <c r="AG95" s="188">
        <v>139.0</v>
      </c>
      <c r="AH95" s="188">
        <v>0.0</v>
      </c>
      <c r="AI95" s="154">
        <f t="shared" si="177"/>
        <v>140</v>
      </c>
      <c r="AJ95" s="154"/>
      <c r="AK95" s="154"/>
      <c r="AL95" s="154"/>
      <c r="AM95" s="154">
        <f t="shared" si="178"/>
        <v>0</v>
      </c>
      <c r="AN95" s="154"/>
      <c r="AO95" s="154"/>
      <c r="AP95" s="154"/>
      <c r="AQ95" s="154">
        <f t="shared" si="179"/>
        <v>0</v>
      </c>
      <c r="AR95" s="154">
        <f t="shared" si="180"/>
        <v>434</v>
      </c>
      <c r="AS95" s="154">
        <f t="shared" si="8"/>
        <v>438</v>
      </c>
      <c r="AT95" s="4"/>
      <c r="AU95" s="4"/>
      <c r="AV95" s="4"/>
      <c r="AW95" s="4"/>
      <c r="AX95" s="4"/>
      <c r="AY95" s="4"/>
      <c r="AZ95" s="4"/>
      <c r="BA95" s="4"/>
    </row>
    <row r="96" ht="15.75" customHeight="1">
      <c r="A96" s="169" t="s">
        <v>168</v>
      </c>
      <c r="B96" s="188">
        <v>0.0</v>
      </c>
      <c r="C96" s="188">
        <v>0.0</v>
      </c>
      <c r="D96" s="188">
        <v>0.0</v>
      </c>
      <c r="E96" s="188">
        <f t="shared" si="171"/>
        <v>0</v>
      </c>
      <c r="F96" s="188">
        <v>0.0</v>
      </c>
      <c r="G96" s="188">
        <v>0.0</v>
      </c>
      <c r="H96" s="188">
        <v>211.0</v>
      </c>
      <c r="I96" s="188">
        <f t="shared" si="172"/>
        <v>211</v>
      </c>
      <c r="J96" s="188">
        <v>3.0</v>
      </c>
      <c r="K96" s="188">
        <v>0.0</v>
      </c>
      <c r="L96" s="188">
        <v>99.0</v>
      </c>
      <c r="M96" s="188">
        <f t="shared" si="173"/>
        <v>102</v>
      </c>
      <c r="N96" s="188">
        <v>0.0</v>
      </c>
      <c r="O96" s="188">
        <v>0.0</v>
      </c>
      <c r="P96" s="188">
        <v>0.0</v>
      </c>
      <c r="Q96" s="188">
        <f t="shared" si="174"/>
        <v>0</v>
      </c>
      <c r="R96" s="188">
        <f t="shared" si="175"/>
        <v>313</v>
      </c>
      <c r="S96" s="188">
        <v>90.0</v>
      </c>
      <c r="T96" s="188">
        <v>152.0</v>
      </c>
      <c r="U96" s="188">
        <v>294.0</v>
      </c>
      <c r="V96" s="154">
        <f t="shared" si="176"/>
        <v>536</v>
      </c>
      <c r="W96" s="188">
        <v>90.0</v>
      </c>
      <c r="X96" s="188">
        <v>152.0</v>
      </c>
      <c r="Y96" s="188">
        <v>294.0</v>
      </c>
      <c r="Z96" s="188">
        <v>1.0</v>
      </c>
      <c r="AA96" s="188">
        <f>134+33</f>
        <v>167</v>
      </c>
      <c r="AB96" s="188">
        <v>1.0</v>
      </c>
      <c r="AC96" s="154"/>
      <c r="AD96" s="154"/>
      <c r="AE96" s="154"/>
      <c r="AF96" s="188">
        <v>1.0</v>
      </c>
      <c r="AG96" s="188">
        <f>134+33</f>
        <v>167</v>
      </c>
      <c r="AH96" s="188">
        <v>1.0</v>
      </c>
      <c r="AI96" s="154">
        <f t="shared" si="177"/>
        <v>169</v>
      </c>
      <c r="AJ96" s="154"/>
      <c r="AK96" s="154"/>
      <c r="AL96" s="154"/>
      <c r="AM96" s="154">
        <f t="shared" si="178"/>
        <v>0</v>
      </c>
      <c r="AN96" s="154"/>
      <c r="AO96" s="154"/>
      <c r="AP96" s="154"/>
      <c r="AQ96" s="154">
        <f t="shared" si="179"/>
        <v>0</v>
      </c>
      <c r="AR96" s="154">
        <f t="shared" si="180"/>
        <v>705</v>
      </c>
      <c r="AS96" s="154">
        <f t="shared" si="8"/>
        <v>1018</v>
      </c>
      <c r="AT96" s="4"/>
      <c r="AU96" s="4"/>
      <c r="AV96" s="4"/>
      <c r="AW96" s="4"/>
      <c r="AX96" s="4"/>
      <c r="AY96" s="4"/>
      <c r="AZ96" s="4"/>
      <c r="BA96" s="4"/>
    </row>
    <row r="97" ht="15.75" customHeight="1">
      <c r="A97" s="167" t="s">
        <v>169</v>
      </c>
      <c r="B97" s="188">
        <v>0.0</v>
      </c>
      <c r="C97" s="188">
        <v>0.0</v>
      </c>
      <c r="D97" s="188">
        <v>0.0</v>
      </c>
      <c r="E97" s="188">
        <f t="shared" si="171"/>
        <v>0</v>
      </c>
      <c r="F97" s="188">
        <v>0.0</v>
      </c>
      <c r="G97" s="188">
        <v>0.0</v>
      </c>
      <c r="H97" s="188">
        <v>68.0</v>
      </c>
      <c r="I97" s="188">
        <f t="shared" si="172"/>
        <v>68</v>
      </c>
      <c r="J97" s="188">
        <v>0.0</v>
      </c>
      <c r="K97" s="188">
        <v>0.0</v>
      </c>
      <c r="L97" s="188">
        <v>0.0</v>
      </c>
      <c r="M97" s="188">
        <f t="shared" si="173"/>
        <v>0</v>
      </c>
      <c r="N97" s="188">
        <v>0.0</v>
      </c>
      <c r="O97" s="188">
        <v>0.0</v>
      </c>
      <c r="P97" s="188">
        <v>0.0</v>
      </c>
      <c r="Q97" s="188">
        <f t="shared" si="174"/>
        <v>0</v>
      </c>
      <c r="R97" s="188">
        <f t="shared" si="175"/>
        <v>68</v>
      </c>
      <c r="S97" s="188">
        <v>834.0</v>
      </c>
      <c r="T97" s="186"/>
      <c r="U97" s="188">
        <v>698.0</v>
      </c>
      <c r="V97" s="154">
        <f t="shared" si="176"/>
        <v>1532</v>
      </c>
      <c r="W97" s="188">
        <v>834.0</v>
      </c>
      <c r="X97" s="186"/>
      <c r="Y97" s="188">
        <v>698.0</v>
      </c>
      <c r="Z97" s="188">
        <v>12.0</v>
      </c>
      <c r="AA97" s="188">
        <v>122.0</v>
      </c>
      <c r="AB97" s="188">
        <v>1.0</v>
      </c>
      <c r="AC97" s="154"/>
      <c r="AD97" s="154"/>
      <c r="AE97" s="154"/>
      <c r="AF97" s="188">
        <v>12.0</v>
      </c>
      <c r="AG97" s="188">
        <v>122.0</v>
      </c>
      <c r="AH97" s="188">
        <v>1.0</v>
      </c>
      <c r="AI97" s="154">
        <f t="shared" si="177"/>
        <v>135</v>
      </c>
      <c r="AJ97" s="154"/>
      <c r="AK97" s="154"/>
      <c r="AL97" s="154"/>
      <c r="AM97" s="154">
        <f t="shared" si="178"/>
        <v>0</v>
      </c>
      <c r="AN97" s="154"/>
      <c r="AO97" s="154"/>
      <c r="AP97" s="154"/>
      <c r="AQ97" s="154">
        <f t="shared" si="179"/>
        <v>0</v>
      </c>
      <c r="AR97" s="154">
        <f t="shared" si="180"/>
        <v>1667</v>
      </c>
      <c r="AS97" s="154">
        <f t="shared" si="8"/>
        <v>1735</v>
      </c>
      <c r="AT97" s="4"/>
      <c r="AU97" s="4"/>
      <c r="AV97" s="4"/>
      <c r="AW97" s="4"/>
      <c r="AX97" s="4"/>
      <c r="AY97" s="4"/>
      <c r="AZ97" s="4"/>
      <c r="BA97" s="4"/>
    </row>
    <row r="98" ht="15.75" customHeight="1">
      <c r="A98" s="167" t="s">
        <v>170</v>
      </c>
      <c r="B98" s="188">
        <v>0.0</v>
      </c>
      <c r="C98" s="188">
        <v>0.0</v>
      </c>
      <c r="D98" s="188">
        <v>0.0</v>
      </c>
      <c r="E98" s="188">
        <f t="shared" si="171"/>
        <v>0</v>
      </c>
      <c r="F98" s="188">
        <v>0.0</v>
      </c>
      <c r="G98" s="188">
        <v>0.0</v>
      </c>
      <c r="H98" s="186"/>
      <c r="I98" s="188">
        <f t="shared" si="172"/>
        <v>0</v>
      </c>
      <c r="J98" s="188">
        <v>1.0</v>
      </c>
      <c r="K98" s="186"/>
      <c r="L98" s="188">
        <v>0.0</v>
      </c>
      <c r="M98" s="188">
        <f t="shared" si="173"/>
        <v>1</v>
      </c>
      <c r="N98" s="188">
        <v>0.0</v>
      </c>
      <c r="O98" s="188">
        <v>0.0</v>
      </c>
      <c r="P98" s="188">
        <v>0.0</v>
      </c>
      <c r="Q98" s="188">
        <f t="shared" si="174"/>
        <v>0</v>
      </c>
      <c r="R98" s="188">
        <f t="shared" si="175"/>
        <v>1</v>
      </c>
      <c r="S98" s="188">
        <v>0.0</v>
      </c>
      <c r="T98" s="186"/>
      <c r="U98" s="186"/>
      <c r="V98" s="154">
        <f t="shared" si="176"/>
        <v>0</v>
      </c>
      <c r="W98" s="188">
        <v>0.0</v>
      </c>
      <c r="X98" s="186"/>
      <c r="Y98" s="186"/>
      <c r="Z98" s="188">
        <v>0.0</v>
      </c>
      <c r="AA98" s="188">
        <v>0.0</v>
      </c>
      <c r="AB98" s="188">
        <v>0.0</v>
      </c>
      <c r="AC98" s="154"/>
      <c r="AD98" s="154"/>
      <c r="AE98" s="154"/>
      <c r="AF98" s="188">
        <v>0.0</v>
      </c>
      <c r="AG98" s="188">
        <v>0.0</v>
      </c>
      <c r="AH98" s="188">
        <v>0.0</v>
      </c>
      <c r="AI98" s="154">
        <f t="shared" si="177"/>
        <v>0</v>
      </c>
      <c r="AJ98" s="154"/>
      <c r="AK98" s="154"/>
      <c r="AL98" s="154"/>
      <c r="AM98" s="154">
        <f t="shared" si="178"/>
        <v>0</v>
      </c>
      <c r="AN98" s="154"/>
      <c r="AO98" s="154"/>
      <c r="AP98" s="154"/>
      <c r="AQ98" s="154">
        <f t="shared" si="179"/>
        <v>0</v>
      </c>
      <c r="AR98" s="154">
        <f t="shared" si="180"/>
        <v>0</v>
      </c>
      <c r="AS98" s="154">
        <f t="shared" si="8"/>
        <v>1</v>
      </c>
      <c r="AT98" s="4"/>
      <c r="AU98" s="4"/>
      <c r="AV98" s="4"/>
      <c r="AW98" s="4"/>
      <c r="AX98" s="4"/>
      <c r="AY98" s="4"/>
      <c r="AZ98" s="4"/>
      <c r="BA98" s="4"/>
    </row>
    <row r="99" ht="15.75" customHeight="1">
      <c r="A99" s="137" t="s">
        <v>171</v>
      </c>
      <c r="B99" s="191">
        <f t="shared" ref="B99:AB99" si="181">SUM(B100:B104)</f>
        <v>0</v>
      </c>
      <c r="C99" s="191">
        <f t="shared" si="181"/>
        <v>2</v>
      </c>
      <c r="D99" s="191">
        <f t="shared" si="181"/>
        <v>35</v>
      </c>
      <c r="E99" s="191">
        <f t="shared" si="181"/>
        <v>37</v>
      </c>
      <c r="F99" s="191">
        <f t="shared" si="181"/>
        <v>0</v>
      </c>
      <c r="G99" s="191">
        <f t="shared" si="181"/>
        <v>35</v>
      </c>
      <c r="H99" s="191">
        <f t="shared" si="181"/>
        <v>0</v>
      </c>
      <c r="I99" s="191">
        <f t="shared" si="181"/>
        <v>35</v>
      </c>
      <c r="J99" s="191">
        <f t="shared" si="181"/>
        <v>29</v>
      </c>
      <c r="K99" s="191">
        <f t="shared" si="181"/>
        <v>0</v>
      </c>
      <c r="L99" s="191">
        <f t="shared" si="181"/>
        <v>0</v>
      </c>
      <c r="M99" s="191">
        <f t="shared" si="181"/>
        <v>29</v>
      </c>
      <c r="N99" s="191">
        <f t="shared" si="181"/>
        <v>0</v>
      </c>
      <c r="O99" s="191">
        <f t="shared" si="181"/>
        <v>1</v>
      </c>
      <c r="P99" s="191">
        <f t="shared" si="181"/>
        <v>0</v>
      </c>
      <c r="Q99" s="191">
        <f t="shared" si="181"/>
        <v>1</v>
      </c>
      <c r="R99" s="191">
        <f t="shared" si="181"/>
        <v>102</v>
      </c>
      <c r="S99" s="187">
        <f t="shared" si="181"/>
        <v>0</v>
      </c>
      <c r="T99" s="187">
        <f t="shared" si="181"/>
        <v>0</v>
      </c>
      <c r="U99" s="187">
        <f t="shared" si="181"/>
        <v>194</v>
      </c>
      <c r="V99" s="141">
        <f t="shared" si="181"/>
        <v>194</v>
      </c>
      <c r="W99" s="187">
        <f t="shared" si="181"/>
        <v>0</v>
      </c>
      <c r="X99" s="187">
        <f t="shared" si="181"/>
        <v>0</v>
      </c>
      <c r="Y99" s="187">
        <f t="shared" si="181"/>
        <v>194</v>
      </c>
      <c r="Z99" s="187">
        <f t="shared" si="181"/>
        <v>0</v>
      </c>
      <c r="AA99" s="187">
        <f t="shared" si="181"/>
        <v>1</v>
      </c>
      <c r="AB99" s="187">
        <f t="shared" si="181"/>
        <v>0</v>
      </c>
      <c r="AC99" s="141"/>
      <c r="AD99" s="141"/>
      <c r="AE99" s="141"/>
      <c r="AF99" s="187">
        <f t="shared" ref="AF99:AR99" si="182">SUM(AF100:AF104)</f>
        <v>0</v>
      </c>
      <c r="AG99" s="187">
        <f t="shared" si="182"/>
        <v>1</v>
      </c>
      <c r="AH99" s="187">
        <f t="shared" si="182"/>
        <v>0</v>
      </c>
      <c r="AI99" s="141">
        <f t="shared" si="182"/>
        <v>1</v>
      </c>
      <c r="AJ99" s="141">
        <f t="shared" si="182"/>
        <v>0</v>
      </c>
      <c r="AK99" s="141">
        <f t="shared" si="182"/>
        <v>0</v>
      </c>
      <c r="AL99" s="141">
        <f t="shared" si="182"/>
        <v>0</v>
      </c>
      <c r="AM99" s="141">
        <f t="shared" si="182"/>
        <v>0</v>
      </c>
      <c r="AN99" s="141">
        <f t="shared" si="182"/>
        <v>0</v>
      </c>
      <c r="AO99" s="141">
        <f t="shared" si="182"/>
        <v>0</v>
      </c>
      <c r="AP99" s="141">
        <f t="shared" si="182"/>
        <v>0</v>
      </c>
      <c r="AQ99" s="141">
        <f t="shared" si="182"/>
        <v>0</v>
      </c>
      <c r="AR99" s="141">
        <f t="shared" si="182"/>
        <v>195</v>
      </c>
      <c r="AS99" s="141">
        <f t="shared" si="8"/>
        <v>297</v>
      </c>
      <c r="AT99" s="4"/>
      <c r="AU99" s="4"/>
      <c r="AV99" s="4"/>
      <c r="AW99" s="4"/>
      <c r="AX99" s="4"/>
      <c r="AY99" s="4"/>
      <c r="AZ99" s="4"/>
      <c r="BA99" s="4"/>
    </row>
    <row r="100" ht="15.75" customHeight="1">
      <c r="A100" s="169" t="s">
        <v>172</v>
      </c>
      <c r="B100" s="188">
        <v>0.0</v>
      </c>
      <c r="C100" s="188">
        <v>0.0</v>
      </c>
      <c r="D100" s="188">
        <v>0.0</v>
      </c>
      <c r="E100" s="188">
        <f t="shared" ref="E100:E104" si="183">SUM(B100:D100)</f>
        <v>0</v>
      </c>
      <c r="F100" s="188">
        <v>0.0</v>
      </c>
      <c r="G100" s="188">
        <v>0.0</v>
      </c>
      <c r="H100" s="188">
        <v>0.0</v>
      </c>
      <c r="I100" s="188">
        <f t="shared" ref="I100:I104" si="184">SUM(F100:H100)</f>
        <v>0</v>
      </c>
      <c r="J100" s="188">
        <v>29.0</v>
      </c>
      <c r="K100" s="188">
        <v>0.0</v>
      </c>
      <c r="L100" s="188">
        <v>0.0</v>
      </c>
      <c r="M100" s="188">
        <f t="shared" ref="M100:M104" si="185">SUM(J100:L100)</f>
        <v>29</v>
      </c>
      <c r="N100" s="188">
        <v>0.0</v>
      </c>
      <c r="O100" s="188">
        <v>1.0</v>
      </c>
      <c r="P100" s="188">
        <v>0.0</v>
      </c>
      <c r="Q100" s="188">
        <f t="shared" ref="Q100:Q104" si="186">SUM(N100:P100)</f>
        <v>1</v>
      </c>
      <c r="R100" s="188">
        <f t="shared" ref="R100:R104" si="187">SUM(E100,I100,M100,Q100)</f>
        <v>30</v>
      </c>
      <c r="S100" s="188">
        <v>0.0</v>
      </c>
      <c r="T100" s="188">
        <v>0.0</v>
      </c>
      <c r="U100" s="188">
        <v>3.0</v>
      </c>
      <c r="V100" s="154">
        <f t="shared" ref="V100:V104" si="188">SUM(S100:U100)</f>
        <v>3</v>
      </c>
      <c r="W100" s="188">
        <v>0.0</v>
      </c>
      <c r="X100" s="188">
        <v>0.0</v>
      </c>
      <c r="Y100" s="188">
        <v>3.0</v>
      </c>
      <c r="Z100" s="188">
        <v>0.0</v>
      </c>
      <c r="AA100" s="188">
        <v>0.0</v>
      </c>
      <c r="AB100" s="188">
        <v>0.0</v>
      </c>
      <c r="AC100" s="154"/>
      <c r="AD100" s="154"/>
      <c r="AE100" s="154"/>
      <c r="AF100" s="188">
        <v>0.0</v>
      </c>
      <c r="AG100" s="188">
        <v>0.0</v>
      </c>
      <c r="AH100" s="188">
        <v>0.0</v>
      </c>
      <c r="AI100" s="154">
        <f t="shared" ref="AI100:AI104" si="189">SUM(AF100:AH100)</f>
        <v>0</v>
      </c>
      <c r="AJ100" s="154"/>
      <c r="AK100" s="154"/>
      <c r="AL100" s="154"/>
      <c r="AM100" s="154">
        <f t="shared" ref="AM100:AM104" si="190">SUM(AJ100:AL100)</f>
        <v>0</v>
      </c>
      <c r="AN100" s="154"/>
      <c r="AO100" s="154"/>
      <c r="AP100" s="154"/>
      <c r="AQ100" s="154">
        <f t="shared" ref="AQ100:AQ104" si="191">SUM(AN100:AP100)</f>
        <v>0</v>
      </c>
      <c r="AR100" s="154">
        <f t="shared" ref="AR100:AR104" si="192">SUM(V100,AI100,AM100,AQ100)</f>
        <v>3</v>
      </c>
      <c r="AS100" s="154">
        <f t="shared" si="8"/>
        <v>33</v>
      </c>
      <c r="AT100" s="4"/>
      <c r="AU100" s="4"/>
      <c r="AV100" s="4"/>
      <c r="AW100" s="4"/>
      <c r="AX100" s="4"/>
      <c r="AY100" s="4"/>
      <c r="AZ100" s="4"/>
      <c r="BA100" s="4"/>
    </row>
    <row r="101" ht="15.75" customHeight="1">
      <c r="A101" s="167" t="s">
        <v>173</v>
      </c>
      <c r="B101" s="188">
        <v>0.0</v>
      </c>
      <c r="C101" s="188">
        <v>0.0</v>
      </c>
      <c r="D101" s="188">
        <v>0.0</v>
      </c>
      <c r="E101" s="188">
        <f t="shared" si="183"/>
        <v>0</v>
      </c>
      <c r="F101" s="188">
        <v>0.0</v>
      </c>
      <c r="G101" s="188">
        <v>0.0</v>
      </c>
      <c r="H101" s="186"/>
      <c r="I101" s="188">
        <f t="shared" si="184"/>
        <v>0</v>
      </c>
      <c r="J101" s="186"/>
      <c r="K101" s="186"/>
      <c r="L101" s="186"/>
      <c r="M101" s="188">
        <f t="shared" si="185"/>
        <v>0</v>
      </c>
      <c r="N101" s="186"/>
      <c r="O101" s="186"/>
      <c r="P101" s="186"/>
      <c r="Q101" s="188">
        <f t="shared" si="186"/>
        <v>0</v>
      </c>
      <c r="R101" s="188">
        <f t="shared" si="187"/>
        <v>0</v>
      </c>
      <c r="S101" s="186"/>
      <c r="T101" s="186"/>
      <c r="U101" s="188">
        <v>125.0</v>
      </c>
      <c r="V101" s="154">
        <f t="shared" si="188"/>
        <v>125</v>
      </c>
      <c r="W101" s="186"/>
      <c r="X101" s="186"/>
      <c r="Y101" s="188">
        <v>125.0</v>
      </c>
      <c r="Z101" s="188">
        <v>0.0</v>
      </c>
      <c r="AA101" s="188">
        <v>0.0</v>
      </c>
      <c r="AB101" s="188">
        <v>0.0</v>
      </c>
      <c r="AC101" s="154"/>
      <c r="AD101" s="154"/>
      <c r="AE101" s="154"/>
      <c r="AF101" s="188">
        <v>0.0</v>
      </c>
      <c r="AG101" s="188">
        <v>0.0</v>
      </c>
      <c r="AH101" s="188">
        <v>0.0</v>
      </c>
      <c r="AI101" s="154">
        <f t="shared" si="189"/>
        <v>0</v>
      </c>
      <c r="AJ101" s="154"/>
      <c r="AK101" s="154"/>
      <c r="AL101" s="154"/>
      <c r="AM101" s="154">
        <f t="shared" si="190"/>
        <v>0</v>
      </c>
      <c r="AN101" s="154"/>
      <c r="AO101" s="154"/>
      <c r="AP101" s="154"/>
      <c r="AQ101" s="154">
        <f t="shared" si="191"/>
        <v>0</v>
      </c>
      <c r="AR101" s="154">
        <f t="shared" si="192"/>
        <v>125</v>
      </c>
      <c r="AS101" s="154">
        <f t="shared" si="8"/>
        <v>125</v>
      </c>
      <c r="AT101" s="4"/>
      <c r="AU101" s="4"/>
      <c r="AV101" s="4"/>
      <c r="AW101" s="4"/>
      <c r="AX101" s="4"/>
      <c r="AY101" s="4"/>
      <c r="AZ101" s="4"/>
      <c r="BA101" s="4"/>
    </row>
    <row r="102" ht="15.75" customHeight="1">
      <c r="A102" s="167" t="s">
        <v>174</v>
      </c>
      <c r="B102" s="188">
        <v>0.0</v>
      </c>
      <c r="C102" s="188">
        <v>0.0</v>
      </c>
      <c r="D102" s="188">
        <v>0.0</v>
      </c>
      <c r="E102" s="188">
        <f t="shared" si="183"/>
        <v>0</v>
      </c>
      <c r="F102" s="188">
        <v>0.0</v>
      </c>
      <c r="G102" s="188">
        <v>0.0</v>
      </c>
      <c r="H102" s="186"/>
      <c r="I102" s="188">
        <f t="shared" si="184"/>
        <v>0</v>
      </c>
      <c r="J102" s="186"/>
      <c r="K102" s="186"/>
      <c r="L102" s="186"/>
      <c r="M102" s="188">
        <f t="shared" si="185"/>
        <v>0</v>
      </c>
      <c r="N102" s="186"/>
      <c r="O102" s="186"/>
      <c r="P102" s="186"/>
      <c r="Q102" s="188">
        <f t="shared" si="186"/>
        <v>0</v>
      </c>
      <c r="R102" s="188">
        <f t="shared" si="187"/>
        <v>0</v>
      </c>
      <c r="S102" s="186"/>
      <c r="T102" s="186"/>
      <c r="U102" s="188">
        <v>25.0</v>
      </c>
      <c r="V102" s="154">
        <f t="shared" si="188"/>
        <v>25</v>
      </c>
      <c r="W102" s="186"/>
      <c r="X102" s="186"/>
      <c r="Y102" s="188">
        <v>25.0</v>
      </c>
      <c r="Z102" s="188">
        <v>0.0</v>
      </c>
      <c r="AA102" s="188">
        <v>0.0</v>
      </c>
      <c r="AB102" s="189">
        <v>0.0</v>
      </c>
      <c r="AC102" s="154"/>
      <c r="AD102" s="154"/>
      <c r="AE102" s="154"/>
      <c r="AF102" s="188">
        <v>0.0</v>
      </c>
      <c r="AG102" s="188">
        <v>0.0</v>
      </c>
      <c r="AH102" s="189">
        <v>0.0</v>
      </c>
      <c r="AI102" s="154">
        <f t="shared" si="189"/>
        <v>0</v>
      </c>
      <c r="AJ102" s="154"/>
      <c r="AK102" s="154"/>
      <c r="AL102" s="155"/>
      <c r="AM102" s="154">
        <f t="shared" si="190"/>
        <v>0</v>
      </c>
      <c r="AN102" s="154"/>
      <c r="AO102" s="154"/>
      <c r="AP102" s="155"/>
      <c r="AQ102" s="154">
        <f t="shared" si="191"/>
        <v>0</v>
      </c>
      <c r="AR102" s="154">
        <f t="shared" si="192"/>
        <v>25</v>
      </c>
      <c r="AS102" s="154">
        <f t="shared" si="8"/>
        <v>25</v>
      </c>
      <c r="AT102" s="4"/>
      <c r="AU102" s="4"/>
      <c r="AV102" s="4"/>
      <c r="AW102" s="4"/>
      <c r="AX102" s="4"/>
      <c r="AY102" s="4"/>
      <c r="AZ102" s="4"/>
      <c r="BA102" s="4"/>
    </row>
    <row r="103" ht="15.75" customHeight="1">
      <c r="A103" s="167" t="s">
        <v>175</v>
      </c>
      <c r="B103" s="188">
        <v>0.0</v>
      </c>
      <c r="C103" s="188">
        <v>2.0</v>
      </c>
      <c r="D103" s="188">
        <v>30.0</v>
      </c>
      <c r="E103" s="188">
        <f t="shared" si="183"/>
        <v>32</v>
      </c>
      <c r="F103" s="188">
        <v>0.0</v>
      </c>
      <c r="G103" s="188">
        <v>30.0</v>
      </c>
      <c r="H103" s="188">
        <v>0.0</v>
      </c>
      <c r="I103" s="188">
        <f t="shared" si="184"/>
        <v>30</v>
      </c>
      <c r="J103" s="186"/>
      <c r="K103" s="186"/>
      <c r="L103" s="188">
        <v>0.0</v>
      </c>
      <c r="M103" s="188">
        <f t="shared" si="185"/>
        <v>0</v>
      </c>
      <c r="N103" s="188">
        <v>0.0</v>
      </c>
      <c r="O103" s="186"/>
      <c r="P103" s="186"/>
      <c r="Q103" s="188">
        <f t="shared" si="186"/>
        <v>0</v>
      </c>
      <c r="R103" s="188">
        <f t="shared" si="187"/>
        <v>62</v>
      </c>
      <c r="S103" s="186"/>
      <c r="T103" s="186"/>
      <c r="U103" s="188">
        <v>3.0</v>
      </c>
      <c r="V103" s="154">
        <f t="shared" si="188"/>
        <v>3</v>
      </c>
      <c r="W103" s="186"/>
      <c r="X103" s="186"/>
      <c r="Y103" s="188">
        <v>3.0</v>
      </c>
      <c r="Z103" s="188">
        <v>0.0</v>
      </c>
      <c r="AA103" s="188">
        <v>1.0</v>
      </c>
      <c r="AB103" s="188">
        <v>0.0</v>
      </c>
      <c r="AC103" s="154"/>
      <c r="AD103" s="154"/>
      <c r="AE103" s="154"/>
      <c r="AF103" s="188">
        <v>0.0</v>
      </c>
      <c r="AG103" s="188">
        <v>1.0</v>
      </c>
      <c r="AH103" s="188">
        <v>0.0</v>
      </c>
      <c r="AI103" s="154">
        <f t="shared" si="189"/>
        <v>1</v>
      </c>
      <c r="AJ103" s="154"/>
      <c r="AK103" s="154"/>
      <c r="AL103" s="154"/>
      <c r="AM103" s="154">
        <f t="shared" si="190"/>
        <v>0</v>
      </c>
      <c r="AN103" s="154"/>
      <c r="AO103" s="154"/>
      <c r="AP103" s="154"/>
      <c r="AQ103" s="154">
        <f t="shared" si="191"/>
        <v>0</v>
      </c>
      <c r="AR103" s="154">
        <f t="shared" si="192"/>
        <v>4</v>
      </c>
      <c r="AS103" s="154">
        <f t="shared" si="8"/>
        <v>66</v>
      </c>
      <c r="AT103" s="4"/>
      <c r="AU103" s="4"/>
      <c r="AV103" s="4"/>
      <c r="AW103" s="4"/>
      <c r="AX103" s="4"/>
      <c r="AY103" s="4"/>
      <c r="AZ103" s="4"/>
      <c r="BA103" s="4"/>
    </row>
    <row r="104" ht="15.75" customHeight="1">
      <c r="A104" s="167" t="s">
        <v>176</v>
      </c>
      <c r="B104" s="188">
        <v>0.0</v>
      </c>
      <c r="C104" s="188">
        <v>0.0</v>
      </c>
      <c r="D104" s="188">
        <v>5.0</v>
      </c>
      <c r="E104" s="188">
        <f t="shared" si="183"/>
        <v>5</v>
      </c>
      <c r="F104" s="188">
        <v>0.0</v>
      </c>
      <c r="G104" s="188">
        <v>5.0</v>
      </c>
      <c r="H104" s="188">
        <v>0.0</v>
      </c>
      <c r="I104" s="188">
        <f t="shared" si="184"/>
        <v>5</v>
      </c>
      <c r="J104" s="186"/>
      <c r="K104" s="186"/>
      <c r="L104" s="188">
        <v>0.0</v>
      </c>
      <c r="M104" s="188">
        <f t="shared" si="185"/>
        <v>0</v>
      </c>
      <c r="N104" s="188">
        <v>0.0</v>
      </c>
      <c r="O104" s="186"/>
      <c r="P104" s="186"/>
      <c r="Q104" s="188">
        <f t="shared" si="186"/>
        <v>0</v>
      </c>
      <c r="R104" s="188">
        <f t="shared" si="187"/>
        <v>10</v>
      </c>
      <c r="S104" s="186"/>
      <c r="T104" s="186"/>
      <c r="U104" s="188">
        <v>38.0</v>
      </c>
      <c r="V104" s="154">
        <f t="shared" si="188"/>
        <v>38</v>
      </c>
      <c r="W104" s="186"/>
      <c r="X104" s="186"/>
      <c r="Y104" s="188">
        <v>38.0</v>
      </c>
      <c r="Z104" s="188">
        <v>0.0</v>
      </c>
      <c r="AA104" s="188">
        <v>0.0</v>
      </c>
      <c r="AB104" s="188">
        <v>0.0</v>
      </c>
      <c r="AC104" s="154"/>
      <c r="AD104" s="154"/>
      <c r="AE104" s="154"/>
      <c r="AF104" s="188">
        <v>0.0</v>
      </c>
      <c r="AG104" s="188">
        <v>0.0</v>
      </c>
      <c r="AH104" s="188">
        <v>0.0</v>
      </c>
      <c r="AI104" s="154">
        <f t="shared" si="189"/>
        <v>0</v>
      </c>
      <c r="AJ104" s="154"/>
      <c r="AK104" s="154"/>
      <c r="AL104" s="154"/>
      <c r="AM104" s="154">
        <f t="shared" si="190"/>
        <v>0</v>
      </c>
      <c r="AN104" s="154"/>
      <c r="AO104" s="154"/>
      <c r="AP104" s="154"/>
      <c r="AQ104" s="154">
        <f t="shared" si="191"/>
        <v>0</v>
      </c>
      <c r="AR104" s="154">
        <f t="shared" si="192"/>
        <v>38</v>
      </c>
      <c r="AS104" s="154">
        <f t="shared" si="8"/>
        <v>48</v>
      </c>
      <c r="AT104" s="4"/>
      <c r="AU104" s="4"/>
      <c r="AV104" s="4"/>
      <c r="AW104" s="4"/>
      <c r="AX104" s="4"/>
      <c r="AY104" s="4"/>
      <c r="AZ104" s="4"/>
      <c r="BA104" s="4"/>
    </row>
    <row r="105" ht="15.75" hidden="1" customHeight="1">
      <c r="A105" s="137" t="s">
        <v>177</v>
      </c>
      <c r="B105" s="187">
        <f t="shared" ref="B105:AB105" si="193">SUM(B106:B111)</f>
        <v>0</v>
      </c>
      <c r="C105" s="187">
        <f t="shared" si="193"/>
        <v>0</v>
      </c>
      <c r="D105" s="187">
        <f t="shared" si="193"/>
        <v>0</v>
      </c>
      <c r="E105" s="187">
        <f t="shared" si="193"/>
        <v>0</v>
      </c>
      <c r="F105" s="187">
        <f t="shared" si="193"/>
        <v>0</v>
      </c>
      <c r="G105" s="187">
        <f t="shared" si="193"/>
        <v>0</v>
      </c>
      <c r="H105" s="187">
        <f t="shared" si="193"/>
        <v>13</v>
      </c>
      <c r="I105" s="187">
        <f t="shared" si="193"/>
        <v>13</v>
      </c>
      <c r="J105" s="187">
        <f t="shared" si="193"/>
        <v>227</v>
      </c>
      <c r="K105" s="187">
        <f t="shared" si="193"/>
        <v>23</v>
      </c>
      <c r="L105" s="187">
        <f t="shared" si="193"/>
        <v>0</v>
      </c>
      <c r="M105" s="187">
        <f t="shared" si="193"/>
        <v>250</v>
      </c>
      <c r="N105" s="187">
        <f t="shared" si="193"/>
        <v>0</v>
      </c>
      <c r="O105" s="187">
        <f t="shared" si="193"/>
        <v>0</v>
      </c>
      <c r="P105" s="187">
        <f t="shared" si="193"/>
        <v>0</v>
      </c>
      <c r="Q105" s="187">
        <f t="shared" si="193"/>
        <v>0</v>
      </c>
      <c r="R105" s="187">
        <f t="shared" si="193"/>
        <v>263</v>
      </c>
      <c r="S105" s="187">
        <f t="shared" si="193"/>
        <v>12</v>
      </c>
      <c r="T105" s="187">
        <f t="shared" si="193"/>
        <v>31</v>
      </c>
      <c r="U105" s="187">
        <f t="shared" si="193"/>
        <v>8</v>
      </c>
      <c r="V105" s="141">
        <f t="shared" si="193"/>
        <v>51</v>
      </c>
      <c r="W105" s="187">
        <f t="shared" si="193"/>
        <v>12</v>
      </c>
      <c r="X105" s="187">
        <f t="shared" si="193"/>
        <v>31</v>
      </c>
      <c r="Y105" s="187">
        <f t="shared" si="193"/>
        <v>8</v>
      </c>
      <c r="Z105" s="187">
        <f t="shared" si="193"/>
        <v>0</v>
      </c>
      <c r="AA105" s="187">
        <f t="shared" si="193"/>
        <v>0</v>
      </c>
      <c r="AB105" s="187">
        <f t="shared" si="193"/>
        <v>0</v>
      </c>
      <c r="AC105" s="141"/>
      <c r="AD105" s="141"/>
      <c r="AE105" s="141"/>
      <c r="AF105" s="187">
        <f t="shared" ref="AF105:AR105" si="194">SUM(AF106:AF111)</f>
        <v>0</v>
      </c>
      <c r="AG105" s="187">
        <f t="shared" si="194"/>
        <v>0</v>
      </c>
      <c r="AH105" s="187">
        <f t="shared" si="194"/>
        <v>0</v>
      </c>
      <c r="AI105" s="141">
        <f t="shared" si="194"/>
        <v>0</v>
      </c>
      <c r="AJ105" s="141">
        <f t="shared" si="194"/>
        <v>0</v>
      </c>
      <c r="AK105" s="141">
        <f t="shared" si="194"/>
        <v>0</v>
      </c>
      <c r="AL105" s="141">
        <f t="shared" si="194"/>
        <v>0</v>
      </c>
      <c r="AM105" s="141">
        <f t="shared" si="194"/>
        <v>0</v>
      </c>
      <c r="AN105" s="141">
        <f t="shared" si="194"/>
        <v>0</v>
      </c>
      <c r="AO105" s="141">
        <f t="shared" si="194"/>
        <v>0</v>
      </c>
      <c r="AP105" s="141">
        <f t="shared" si="194"/>
        <v>0</v>
      </c>
      <c r="AQ105" s="141">
        <f t="shared" si="194"/>
        <v>0</v>
      </c>
      <c r="AR105" s="141">
        <f t="shared" si="194"/>
        <v>51</v>
      </c>
      <c r="AS105" s="141">
        <f t="shared" si="8"/>
        <v>314</v>
      </c>
      <c r="AT105" s="4"/>
      <c r="AU105" s="4"/>
      <c r="AV105" s="4"/>
      <c r="AW105" s="4"/>
      <c r="AX105" s="4"/>
      <c r="AY105" s="4"/>
      <c r="AZ105" s="4"/>
      <c r="BA105" s="4"/>
    </row>
    <row r="106" ht="15.75" hidden="1" customHeight="1">
      <c r="A106" s="167" t="s">
        <v>178</v>
      </c>
      <c r="B106" s="188">
        <v>0.0</v>
      </c>
      <c r="C106" s="188">
        <v>0.0</v>
      </c>
      <c r="D106" s="188">
        <v>0.0</v>
      </c>
      <c r="E106" s="188">
        <f t="shared" ref="E106:E112" si="195">SUM(B106:D106)</f>
        <v>0</v>
      </c>
      <c r="F106" s="188">
        <v>0.0</v>
      </c>
      <c r="G106" s="188">
        <v>0.0</v>
      </c>
      <c r="H106" s="188">
        <v>0.0</v>
      </c>
      <c r="I106" s="188">
        <f t="shared" ref="I106:I112" si="196">SUM(F106:H106)</f>
        <v>0</v>
      </c>
      <c r="J106" s="188">
        <v>66.0</v>
      </c>
      <c r="K106" s="188">
        <v>0.0</v>
      </c>
      <c r="L106" s="188">
        <v>0.0</v>
      </c>
      <c r="M106" s="188">
        <f t="shared" ref="M106:M112" si="197">SUM(J106:L106)</f>
        <v>66</v>
      </c>
      <c r="N106" s="188">
        <v>0.0</v>
      </c>
      <c r="O106" s="188">
        <v>0.0</v>
      </c>
      <c r="P106" s="188">
        <v>0.0</v>
      </c>
      <c r="Q106" s="188">
        <f t="shared" ref="Q106:Q112" si="198">SUM(N106:P106)</f>
        <v>0</v>
      </c>
      <c r="R106" s="188">
        <f t="shared" ref="R106:R111" si="199">SUM(E106,I106,M106,Q106)</f>
        <v>66</v>
      </c>
      <c r="S106" s="188">
        <v>0.0</v>
      </c>
      <c r="T106" s="186"/>
      <c r="U106" s="186"/>
      <c r="V106" s="154">
        <f t="shared" ref="V106:V112" si="200">SUM(S106:U106)</f>
        <v>0</v>
      </c>
      <c r="W106" s="188">
        <v>0.0</v>
      </c>
      <c r="X106" s="186"/>
      <c r="Y106" s="186"/>
      <c r="Z106" s="190"/>
      <c r="AA106" s="190"/>
      <c r="AB106" s="190"/>
      <c r="AC106" s="154"/>
      <c r="AD106" s="154"/>
      <c r="AE106" s="154"/>
      <c r="AF106" s="190"/>
      <c r="AG106" s="190"/>
      <c r="AH106" s="190"/>
      <c r="AI106" s="154">
        <f t="shared" ref="AI106:AI112" si="201">SUM(AF106:AH106)</f>
        <v>0</v>
      </c>
      <c r="AJ106" s="154"/>
      <c r="AK106" s="154"/>
      <c r="AL106" s="154"/>
      <c r="AM106" s="154">
        <f t="shared" ref="AM106:AM112" si="202">SUM(AJ106:AL106)</f>
        <v>0</v>
      </c>
      <c r="AN106" s="154"/>
      <c r="AO106" s="154"/>
      <c r="AP106" s="154"/>
      <c r="AQ106" s="154">
        <f t="shared" ref="AQ106:AQ112" si="203">SUM(AN106:AP106)</f>
        <v>0</v>
      </c>
      <c r="AR106" s="154">
        <f t="shared" ref="AR106:AR112" si="204">SUM(V106,AI106,AM106,AQ106)</f>
        <v>0</v>
      </c>
      <c r="AS106" s="154">
        <f t="shared" si="8"/>
        <v>66</v>
      </c>
      <c r="AT106" s="4"/>
      <c r="AU106" s="4"/>
      <c r="AV106" s="4"/>
      <c r="AW106" s="4"/>
      <c r="AX106" s="4"/>
      <c r="AY106" s="4"/>
      <c r="AZ106" s="4"/>
      <c r="BA106" s="4"/>
    </row>
    <row r="107" ht="15.75" hidden="1" customHeight="1">
      <c r="A107" s="167" t="s">
        <v>179</v>
      </c>
      <c r="B107" s="188">
        <v>0.0</v>
      </c>
      <c r="C107" s="188">
        <v>0.0</v>
      </c>
      <c r="D107" s="188">
        <v>0.0</v>
      </c>
      <c r="E107" s="188">
        <f t="shared" si="195"/>
        <v>0</v>
      </c>
      <c r="F107" s="188">
        <v>0.0</v>
      </c>
      <c r="G107" s="188">
        <v>0.0</v>
      </c>
      <c r="H107" s="188">
        <v>13.0</v>
      </c>
      <c r="I107" s="188">
        <f t="shared" si="196"/>
        <v>13</v>
      </c>
      <c r="J107" s="188">
        <v>112.0</v>
      </c>
      <c r="K107" s="188">
        <v>0.0</v>
      </c>
      <c r="L107" s="188">
        <v>0.0</v>
      </c>
      <c r="M107" s="188">
        <f t="shared" si="197"/>
        <v>112</v>
      </c>
      <c r="N107" s="188">
        <v>0.0</v>
      </c>
      <c r="O107" s="188">
        <v>0.0</v>
      </c>
      <c r="P107" s="188">
        <v>0.0</v>
      </c>
      <c r="Q107" s="188">
        <f t="shared" si="198"/>
        <v>0</v>
      </c>
      <c r="R107" s="188">
        <f t="shared" si="199"/>
        <v>125</v>
      </c>
      <c r="S107" s="188">
        <v>0.0</v>
      </c>
      <c r="T107" s="186"/>
      <c r="U107" s="186"/>
      <c r="V107" s="154">
        <f t="shared" si="200"/>
        <v>0</v>
      </c>
      <c r="W107" s="188">
        <v>0.0</v>
      </c>
      <c r="X107" s="186"/>
      <c r="Y107" s="186"/>
      <c r="Z107" s="190"/>
      <c r="AA107" s="190"/>
      <c r="AB107" s="190"/>
      <c r="AC107" s="154"/>
      <c r="AD107" s="154"/>
      <c r="AE107" s="154"/>
      <c r="AF107" s="190"/>
      <c r="AG107" s="190"/>
      <c r="AH107" s="190"/>
      <c r="AI107" s="154">
        <f t="shared" si="201"/>
        <v>0</v>
      </c>
      <c r="AJ107" s="154"/>
      <c r="AK107" s="154"/>
      <c r="AL107" s="154"/>
      <c r="AM107" s="154">
        <f t="shared" si="202"/>
        <v>0</v>
      </c>
      <c r="AN107" s="154"/>
      <c r="AO107" s="154"/>
      <c r="AP107" s="154"/>
      <c r="AQ107" s="154">
        <f t="shared" si="203"/>
        <v>0</v>
      </c>
      <c r="AR107" s="154">
        <f t="shared" si="204"/>
        <v>0</v>
      </c>
      <c r="AS107" s="154">
        <f t="shared" si="8"/>
        <v>125</v>
      </c>
      <c r="AT107" s="4"/>
      <c r="AU107" s="4"/>
      <c r="AV107" s="4"/>
      <c r="AW107" s="4"/>
      <c r="AX107" s="4"/>
      <c r="AY107" s="4"/>
      <c r="AZ107" s="4"/>
      <c r="BA107" s="4"/>
    </row>
    <row r="108" ht="15.75" hidden="1" customHeight="1">
      <c r="A108" s="167" t="s">
        <v>180</v>
      </c>
      <c r="B108" s="188">
        <v>0.0</v>
      </c>
      <c r="C108" s="188">
        <v>0.0</v>
      </c>
      <c r="D108" s="188">
        <v>0.0</v>
      </c>
      <c r="E108" s="188">
        <f t="shared" si="195"/>
        <v>0</v>
      </c>
      <c r="F108" s="188">
        <v>0.0</v>
      </c>
      <c r="G108" s="188">
        <v>0.0</v>
      </c>
      <c r="H108" s="188">
        <v>0.0</v>
      </c>
      <c r="I108" s="188">
        <f t="shared" si="196"/>
        <v>0</v>
      </c>
      <c r="J108" s="186"/>
      <c r="K108" s="186"/>
      <c r="L108" s="186"/>
      <c r="M108" s="188">
        <f t="shared" si="197"/>
        <v>0</v>
      </c>
      <c r="N108" s="186"/>
      <c r="O108" s="186"/>
      <c r="P108" s="186"/>
      <c r="Q108" s="188">
        <f t="shared" si="198"/>
        <v>0</v>
      </c>
      <c r="R108" s="188">
        <f t="shared" si="199"/>
        <v>0</v>
      </c>
      <c r="S108" s="186"/>
      <c r="T108" s="186"/>
      <c r="U108" s="186"/>
      <c r="V108" s="154">
        <f t="shared" si="200"/>
        <v>0</v>
      </c>
      <c r="W108" s="186"/>
      <c r="X108" s="186"/>
      <c r="Y108" s="186"/>
      <c r="Z108" s="190"/>
      <c r="AA108" s="190"/>
      <c r="AB108" s="190"/>
      <c r="AC108" s="154"/>
      <c r="AD108" s="154"/>
      <c r="AE108" s="154"/>
      <c r="AF108" s="190"/>
      <c r="AG108" s="190"/>
      <c r="AH108" s="190"/>
      <c r="AI108" s="154">
        <f t="shared" si="201"/>
        <v>0</v>
      </c>
      <c r="AJ108" s="154"/>
      <c r="AK108" s="154"/>
      <c r="AL108" s="154"/>
      <c r="AM108" s="154">
        <f t="shared" si="202"/>
        <v>0</v>
      </c>
      <c r="AN108" s="154"/>
      <c r="AO108" s="154"/>
      <c r="AP108" s="154"/>
      <c r="AQ108" s="154">
        <f t="shared" si="203"/>
        <v>0</v>
      </c>
      <c r="AR108" s="154">
        <f t="shared" si="204"/>
        <v>0</v>
      </c>
      <c r="AS108" s="154">
        <f t="shared" si="8"/>
        <v>0</v>
      </c>
      <c r="AT108" s="4"/>
      <c r="AU108" s="4"/>
      <c r="AV108" s="4"/>
      <c r="AW108" s="4"/>
      <c r="AX108" s="4"/>
      <c r="AY108" s="4"/>
      <c r="AZ108" s="4"/>
      <c r="BA108" s="4"/>
    </row>
    <row r="109" ht="15.75" hidden="1" customHeight="1">
      <c r="A109" s="167" t="s">
        <v>181</v>
      </c>
      <c r="B109" s="188">
        <v>0.0</v>
      </c>
      <c r="C109" s="188">
        <v>0.0</v>
      </c>
      <c r="D109" s="188">
        <v>0.0</v>
      </c>
      <c r="E109" s="188">
        <f t="shared" si="195"/>
        <v>0</v>
      </c>
      <c r="F109" s="188">
        <v>0.0</v>
      </c>
      <c r="G109" s="188">
        <v>0.0</v>
      </c>
      <c r="H109" s="186"/>
      <c r="I109" s="188">
        <f t="shared" si="196"/>
        <v>0</v>
      </c>
      <c r="J109" s="186"/>
      <c r="K109" s="186"/>
      <c r="L109" s="186"/>
      <c r="M109" s="188">
        <f t="shared" si="197"/>
        <v>0</v>
      </c>
      <c r="N109" s="186"/>
      <c r="O109" s="186"/>
      <c r="P109" s="186"/>
      <c r="Q109" s="188">
        <f t="shared" si="198"/>
        <v>0</v>
      </c>
      <c r="R109" s="188">
        <f t="shared" si="199"/>
        <v>0</v>
      </c>
      <c r="S109" s="186"/>
      <c r="T109" s="186"/>
      <c r="U109" s="186"/>
      <c r="V109" s="154">
        <f t="shared" si="200"/>
        <v>0</v>
      </c>
      <c r="W109" s="186"/>
      <c r="X109" s="186"/>
      <c r="Y109" s="186"/>
      <c r="Z109" s="190"/>
      <c r="AA109" s="190"/>
      <c r="AB109" s="190"/>
      <c r="AC109" s="125"/>
      <c r="AD109" s="125"/>
      <c r="AE109" s="125"/>
      <c r="AF109" s="190"/>
      <c r="AG109" s="190"/>
      <c r="AH109" s="190"/>
      <c r="AI109" s="154">
        <f t="shared" si="201"/>
        <v>0</v>
      </c>
      <c r="AJ109" s="125"/>
      <c r="AK109" s="125"/>
      <c r="AL109" s="125"/>
      <c r="AM109" s="154">
        <f t="shared" si="202"/>
        <v>0</v>
      </c>
      <c r="AN109" s="125"/>
      <c r="AO109" s="125"/>
      <c r="AP109" s="125"/>
      <c r="AQ109" s="154">
        <f t="shared" si="203"/>
        <v>0</v>
      </c>
      <c r="AR109" s="154">
        <f t="shared" si="204"/>
        <v>0</v>
      </c>
      <c r="AS109" s="154">
        <f t="shared" si="8"/>
        <v>0</v>
      </c>
      <c r="AT109" s="4"/>
      <c r="AU109" s="4"/>
      <c r="AV109" s="4"/>
      <c r="AW109" s="4"/>
      <c r="AX109" s="4"/>
      <c r="AY109" s="4"/>
      <c r="AZ109" s="4"/>
      <c r="BA109" s="4"/>
    </row>
    <row r="110" ht="15.75" hidden="1" customHeight="1">
      <c r="A110" s="167" t="s">
        <v>182</v>
      </c>
      <c r="B110" s="188">
        <v>0.0</v>
      </c>
      <c r="C110" s="188">
        <v>0.0</v>
      </c>
      <c r="D110" s="188">
        <v>0.0</v>
      </c>
      <c r="E110" s="188">
        <f t="shared" si="195"/>
        <v>0</v>
      </c>
      <c r="F110" s="188">
        <v>0.0</v>
      </c>
      <c r="G110" s="188">
        <v>0.0</v>
      </c>
      <c r="H110" s="188">
        <v>0.0</v>
      </c>
      <c r="I110" s="188">
        <f t="shared" si="196"/>
        <v>0</v>
      </c>
      <c r="J110" s="188">
        <v>2.0</v>
      </c>
      <c r="K110" s="188">
        <v>23.0</v>
      </c>
      <c r="L110" s="188">
        <v>0.0</v>
      </c>
      <c r="M110" s="188">
        <f t="shared" si="197"/>
        <v>25</v>
      </c>
      <c r="N110" s="188">
        <v>0.0</v>
      </c>
      <c r="O110" s="188">
        <v>0.0</v>
      </c>
      <c r="P110" s="188">
        <v>0.0</v>
      </c>
      <c r="Q110" s="188">
        <f t="shared" si="198"/>
        <v>0</v>
      </c>
      <c r="R110" s="188">
        <f t="shared" si="199"/>
        <v>25</v>
      </c>
      <c r="S110" s="188">
        <v>0.0</v>
      </c>
      <c r="T110" s="186"/>
      <c r="U110" s="186"/>
      <c r="V110" s="154">
        <f t="shared" si="200"/>
        <v>0</v>
      </c>
      <c r="W110" s="188">
        <v>0.0</v>
      </c>
      <c r="X110" s="186"/>
      <c r="Y110" s="186"/>
      <c r="Z110" s="190"/>
      <c r="AA110" s="190"/>
      <c r="AB110" s="190"/>
      <c r="AC110" s="125"/>
      <c r="AD110" s="125"/>
      <c r="AE110" s="125"/>
      <c r="AF110" s="190"/>
      <c r="AG110" s="190"/>
      <c r="AH110" s="190"/>
      <c r="AI110" s="154">
        <f t="shared" si="201"/>
        <v>0</v>
      </c>
      <c r="AJ110" s="125"/>
      <c r="AK110" s="125"/>
      <c r="AL110" s="125"/>
      <c r="AM110" s="154">
        <f t="shared" si="202"/>
        <v>0</v>
      </c>
      <c r="AN110" s="125"/>
      <c r="AO110" s="125"/>
      <c r="AP110" s="125"/>
      <c r="AQ110" s="154">
        <f t="shared" si="203"/>
        <v>0</v>
      </c>
      <c r="AR110" s="154">
        <f t="shared" si="204"/>
        <v>0</v>
      </c>
      <c r="AS110" s="154">
        <f t="shared" si="8"/>
        <v>25</v>
      </c>
      <c r="AT110" s="4"/>
      <c r="AU110" s="4"/>
      <c r="AV110" s="4"/>
      <c r="AW110" s="4"/>
      <c r="AX110" s="4"/>
      <c r="AY110" s="4"/>
      <c r="AZ110" s="4"/>
      <c r="BA110" s="4"/>
    </row>
    <row r="111" ht="15.75" hidden="1" customHeight="1">
      <c r="A111" s="167" t="s">
        <v>183</v>
      </c>
      <c r="B111" s="188">
        <v>0.0</v>
      </c>
      <c r="C111" s="188">
        <v>0.0</v>
      </c>
      <c r="D111" s="188">
        <v>0.0</v>
      </c>
      <c r="E111" s="188">
        <f t="shared" si="195"/>
        <v>0</v>
      </c>
      <c r="F111" s="188">
        <v>0.0</v>
      </c>
      <c r="G111" s="188">
        <v>0.0</v>
      </c>
      <c r="H111" s="188">
        <v>0.0</v>
      </c>
      <c r="I111" s="188">
        <f t="shared" si="196"/>
        <v>0</v>
      </c>
      <c r="J111" s="188">
        <v>47.0</v>
      </c>
      <c r="K111" s="186"/>
      <c r="L111" s="188">
        <v>0.0</v>
      </c>
      <c r="M111" s="188">
        <f t="shared" si="197"/>
        <v>47</v>
      </c>
      <c r="N111" s="188">
        <v>0.0</v>
      </c>
      <c r="O111" s="188">
        <v>0.0</v>
      </c>
      <c r="P111" s="188">
        <v>0.0</v>
      </c>
      <c r="Q111" s="188">
        <f t="shared" si="198"/>
        <v>0</v>
      </c>
      <c r="R111" s="188">
        <f t="shared" si="199"/>
        <v>47</v>
      </c>
      <c r="S111" s="188">
        <v>12.0</v>
      </c>
      <c r="T111" s="188">
        <v>31.0</v>
      </c>
      <c r="U111" s="188">
        <v>8.0</v>
      </c>
      <c r="V111" s="154">
        <f t="shared" si="200"/>
        <v>51</v>
      </c>
      <c r="W111" s="188">
        <v>12.0</v>
      </c>
      <c r="X111" s="188">
        <v>31.0</v>
      </c>
      <c r="Y111" s="188">
        <v>8.0</v>
      </c>
      <c r="Z111" s="190"/>
      <c r="AA111" s="190"/>
      <c r="AB111" s="190"/>
      <c r="AC111" s="125"/>
      <c r="AD111" s="125"/>
      <c r="AE111" s="125"/>
      <c r="AF111" s="190"/>
      <c r="AG111" s="190"/>
      <c r="AH111" s="190"/>
      <c r="AI111" s="154">
        <f t="shared" si="201"/>
        <v>0</v>
      </c>
      <c r="AJ111" s="125"/>
      <c r="AK111" s="125"/>
      <c r="AL111" s="125"/>
      <c r="AM111" s="154">
        <f t="shared" si="202"/>
        <v>0</v>
      </c>
      <c r="AN111" s="125"/>
      <c r="AO111" s="125"/>
      <c r="AP111" s="125"/>
      <c r="AQ111" s="154">
        <f t="shared" si="203"/>
        <v>0</v>
      </c>
      <c r="AR111" s="154">
        <f t="shared" si="204"/>
        <v>51</v>
      </c>
      <c r="AS111" s="154">
        <f t="shared" si="8"/>
        <v>98</v>
      </c>
      <c r="AT111" s="4"/>
      <c r="AU111" s="4"/>
      <c r="AV111" s="4"/>
      <c r="AW111" s="4"/>
      <c r="AX111" s="4"/>
      <c r="AY111" s="4"/>
      <c r="AZ111" s="4"/>
      <c r="BA111" s="4"/>
    </row>
    <row r="112" ht="15.75" hidden="1" customHeight="1">
      <c r="A112" s="195" t="s">
        <v>184</v>
      </c>
      <c r="B112" s="196"/>
      <c r="C112" s="196"/>
      <c r="D112" s="196"/>
      <c r="E112" s="195">
        <f t="shared" si="195"/>
        <v>0</v>
      </c>
      <c r="F112" s="196"/>
      <c r="G112" s="196"/>
      <c r="H112" s="196"/>
      <c r="I112" s="195">
        <f t="shared" si="196"/>
        <v>0</v>
      </c>
      <c r="J112" s="196"/>
      <c r="K112" s="196"/>
      <c r="L112" s="196"/>
      <c r="M112" s="195">
        <f t="shared" si="197"/>
        <v>0</v>
      </c>
      <c r="N112" s="196"/>
      <c r="O112" s="196"/>
      <c r="P112" s="196"/>
      <c r="Q112" s="195">
        <f t="shared" si="198"/>
        <v>0</v>
      </c>
      <c r="R112" s="195">
        <f>SUM(Q112,M112,I112,E112)</f>
        <v>0</v>
      </c>
      <c r="S112" s="196"/>
      <c r="T112" s="196"/>
      <c r="U112" s="196"/>
      <c r="V112" s="195">
        <f t="shared" si="200"/>
        <v>0</v>
      </c>
      <c r="W112" s="196"/>
      <c r="X112" s="196"/>
      <c r="Y112" s="196"/>
      <c r="Z112" s="214"/>
      <c r="AA112" s="214"/>
      <c r="AB112" s="214"/>
      <c r="AC112" s="196"/>
      <c r="AD112" s="196"/>
      <c r="AE112" s="196"/>
      <c r="AF112" s="214"/>
      <c r="AG112" s="214"/>
      <c r="AH112" s="214"/>
      <c r="AI112" s="195">
        <f t="shared" si="201"/>
        <v>0</v>
      </c>
      <c r="AJ112" s="196"/>
      <c r="AK112" s="196"/>
      <c r="AL112" s="196"/>
      <c r="AM112" s="195">
        <f t="shared" si="202"/>
        <v>0</v>
      </c>
      <c r="AN112" s="196"/>
      <c r="AO112" s="196"/>
      <c r="AP112" s="196"/>
      <c r="AQ112" s="195">
        <f t="shared" si="203"/>
        <v>0</v>
      </c>
      <c r="AR112" s="196">
        <f t="shared" si="204"/>
        <v>0</v>
      </c>
      <c r="AS112" s="196">
        <f t="shared" si="8"/>
        <v>0</v>
      </c>
      <c r="AT112" s="4"/>
      <c r="AU112" s="4"/>
      <c r="AV112" s="4"/>
      <c r="AW112" s="4"/>
      <c r="AX112" s="4"/>
      <c r="AY112" s="4"/>
      <c r="AZ112" s="4"/>
      <c r="BA112" s="4"/>
    </row>
    <row r="113" ht="15.75" customHeight="1">
      <c r="A113" s="215"/>
      <c r="B113" s="216"/>
      <c r="C113" s="216"/>
      <c r="D113" s="216"/>
      <c r="E113" s="216"/>
      <c r="F113" s="216"/>
      <c r="G113" s="216"/>
      <c r="H113" s="216"/>
      <c r="I113" s="216"/>
      <c r="J113" s="216"/>
      <c r="K113" s="216"/>
      <c r="L113" s="216"/>
      <c r="M113" s="216"/>
      <c r="N113" s="216"/>
      <c r="O113" s="216"/>
      <c r="P113" s="216"/>
      <c r="Q113" s="216"/>
      <c r="R113" s="216"/>
      <c r="S113" s="198"/>
      <c r="T113" s="198"/>
      <c r="U113" s="198"/>
      <c r="V113" s="201"/>
      <c r="W113" s="198"/>
      <c r="X113" s="198"/>
      <c r="Y113" s="198"/>
      <c r="Z113" s="217"/>
      <c r="AA113" s="217"/>
      <c r="AB113" s="217"/>
      <c r="AC113" s="198"/>
      <c r="AD113" s="198"/>
      <c r="AE113" s="198"/>
      <c r="AF113" s="217"/>
      <c r="AG113" s="217"/>
      <c r="AH113" s="217"/>
      <c r="AI113" s="201"/>
      <c r="AJ113" s="198"/>
      <c r="AK113" s="198"/>
      <c r="AL113" s="198"/>
      <c r="AM113" s="201"/>
      <c r="AN113" s="198"/>
      <c r="AO113" s="198"/>
      <c r="AP113" s="198"/>
      <c r="AQ113" s="201"/>
      <c r="AR113" s="198"/>
      <c r="AS113" s="216"/>
      <c r="AT113" s="218"/>
      <c r="AU113" s="219"/>
      <c r="AV113" s="219"/>
      <c r="AW113" s="219"/>
      <c r="AX113" s="219"/>
      <c r="AY113" s="219"/>
      <c r="AZ113" s="219"/>
      <c r="BA113" s="219"/>
    </row>
    <row r="114" ht="15.75" customHeight="1">
      <c r="A114" s="130" t="s">
        <v>46</v>
      </c>
      <c r="B114" s="145">
        <f t="shared" ref="B114:AB114" si="205">B9</f>
        <v>3420</v>
      </c>
      <c r="C114" s="145">
        <f t="shared" si="205"/>
        <v>9602</v>
      </c>
      <c r="D114" s="145">
        <f t="shared" si="205"/>
        <v>1450</v>
      </c>
      <c r="E114" s="147">
        <f t="shared" si="205"/>
        <v>14472</v>
      </c>
      <c r="F114" s="145">
        <f t="shared" si="205"/>
        <v>2446</v>
      </c>
      <c r="G114" s="145">
        <f t="shared" si="205"/>
        <v>1449</v>
      </c>
      <c r="H114" s="145">
        <f t="shared" si="205"/>
        <v>1767</v>
      </c>
      <c r="I114" s="147">
        <f t="shared" si="205"/>
        <v>5662</v>
      </c>
      <c r="J114" s="145">
        <f t="shared" si="205"/>
        <v>1807</v>
      </c>
      <c r="K114" s="145">
        <f t="shared" si="205"/>
        <v>1075</v>
      </c>
      <c r="L114" s="145">
        <f t="shared" si="205"/>
        <v>1283</v>
      </c>
      <c r="M114" s="147">
        <f t="shared" si="205"/>
        <v>4165</v>
      </c>
      <c r="N114" s="145">
        <f t="shared" si="205"/>
        <v>1256</v>
      </c>
      <c r="O114" s="145">
        <f t="shared" si="205"/>
        <v>1506</v>
      </c>
      <c r="P114" s="145">
        <f t="shared" si="205"/>
        <v>1252</v>
      </c>
      <c r="Q114" s="147">
        <f t="shared" si="205"/>
        <v>4014</v>
      </c>
      <c r="R114" s="147">
        <f t="shared" si="205"/>
        <v>28313</v>
      </c>
      <c r="S114" s="182">
        <f t="shared" si="205"/>
        <v>5772</v>
      </c>
      <c r="T114" s="182">
        <f t="shared" si="205"/>
        <v>7442</v>
      </c>
      <c r="U114" s="182">
        <f t="shared" si="205"/>
        <v>15618</v>
      </c>
      <c r="V114" s="183">
        <f t="shared" si="205"/>
        <v>28832</v>
      </c>
      <c r="W114" s="182">
        <f t="shared" si="205"/>
        <v>6855</v>
      </c>
      <c r="X114" s="182">
        <f t="shared" si="205"/>
        <v>9614</v>
      </c>
      <c r="Y114" s="182">
        <f t="shared" si="205"/>
        <v>14536</v>
      </c>
      <c r="Z114" s="220">
        <f t="shared" si="205"/>
        <v>23080</v>
      </c>
      <c r="AA114" s="220">
        <f t="shared" si="205"/>
        <v>11488</v>
      </c>
      <c r="AB114" s="220">
        <f t="shared" si="205"/>
        <v>12982</v>
      </c>
      <c r="AC114" s="182"/>
      <c r="AD114" s="182"/>
      <c r="AE114" s="182"/>
      <c r="AF114" s="220">
        <f t="shared" ref="AF114:AS114" si="206">AF9</f>
        <v>19595</v>
      </c>
      <c r="AG114" s="220">
        <f t="shared" si="206"/>
        <v>6171</v>
      </c>
      <c r="AH114" s="220">
        <f t="shared" si="206"/>
        <v>14094</v>
      </c>
      <c r="AI114" s="183">
        <f t="shared" si="206"/>
        <v>39860</v>
      </c>
      <c r="AJ114" s="182">
        <f t="shared" si="206"/>
        <v>2143.739731</v>
      </c>
      <c r="AK114" s="182">
        <f t="shared" si="206"/>
        <v>754</v>
      </c>
      <c r="AL114" s="182">
        <f t="shared" si="206"/>
        <v>0</v>
      </c>
      <c r="AM114" s="183">
        <f t="shared" si="206"/>
        <v>2897.739731</v>
      </c>
      <c r="AN114" s="182">
        <f t="shared" si="206"/>
        <v>0</v>
      </c>
      <c r="AO114" s="182">
        <f t="shared" si="206"/>
        <v>0</v>
      </c>
      <c r="AP114" s="182">
        <f t="shared" si="206"/>
        <v>0</v>
      </c>
      <c r="AQ114" s="183">
        <f t="shared" si="206"/>
        <v>0</v>
      </c>
      <c r="AR114" s="183">
        <f t="shared" si="206"/>
        <v>71589.73973</v>
      </c>
      <c r="AS114" s="160">
        <f t="shared" si="206"/>
        <v>99902.73973</v>
      </c>
      <c r="AT114" s="20"/>
      <c r="AU114" s="4"/>
      <c r="AV114" s="4"/>
      <c r="AW114" s="4"/>
      <c r="AX114" s="4"/>
      <c r="AY114" s="4"/>
      <c r="AZ114" s="4"/>
      <c r="B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FAD3FC5-7D50-478A-A1C9-F01A1867A3B2}" filter="1" showAutoFilter="1">
      <autoFilter ref="$A$11:$A$112">
        <filterColumn colId="0">
          <filters>
            <filter val="Cavite"/>
            <filter val="Laguna"/>
            <filter val="Zambales (w/ HUC)"/>
            <filter val="Eastern Samar"/>
            <filter val="Tarlac"/>
            <filter val="Camarines Sur"/>
            <filter val="Romblon"/>
            <filter val="Iloilo (w/ HUC)"/>
            <filter val="Camiguin"/>
            <filter val="Aurora"/>
            <filter val="Sorsogon"/>
            <filter val="Davao De Oro"/>
            <filter val="Bataan"/>
            <filter val="Negros Oriental"/>
            <filter val="REGION 10 (NORTHERN MINDANAO)"/>
            <filter val="Pangasinan"/>
            <filter val="Quirino"/>
            <filter val="Albay"/>
            <filter val="Cagayan"/>
            <filter val="Abra"/>
            <filter val="REGION 7 (CENTRAL VISAYAS)"/>
            <filter val="Zamboanga Sibugay"/>
            <filter val="Benguet (w/ HUC)"/>
            <filter val="Siquijor"/>
            <filter val="NCR"/>
            <filter val="Davao del Norte"/>
            <filter val="Antique"/>
            <filter val="Ilocos Sur"/>
            <filter val="REGION 13 (CARAGA)"/>
            <filter val="Sarangani"/>
            <filter val="Quezon (w/ HUC)"/>
            <filter val="REGION 3 (CENTRAL LUZON)"/>
            <filter val="REGION 1 (ILOCOS)"/>
            <filter val="REGION 4-A (CALABARZON)"/>
            <filter val="Nueva Ecija"/>
            <filter val="Dinagat Islands"/>
            <filter val="Ilocos Norte"/>
            <filter val="Batanes"/>
            <filter val="Kalinga"/>
            <filter val="Southern Leyte"/>
            <filter val="Bohol"/>
            <filter val="Batangas"/>
            <filter val="REGION 11 (DAVAO)"/>
            <filter val="South Cotabato (w/ HUC)"/>
            <filter val="Apayao"/>
            <filter val="Nueva Vizcaya"/>
            <filter val="Camarines Norte"/>
            <filter val="Maguindanao"/>
            <filter val="Misamis Oriental (w/ HUC)"/>
            <filter val="Lanao del Sur"/>
            <filter val="Bulacan"/>
            <filter val="REGION 8 (EASTERN VISAYAS)"/>
            <filter val="North Cotabato (BARMM Interim Prov)"/>
            <filter val="Occidental Mindoro"/>
            <filter val="Zamboanga del Sur (w/ HUC)"/>
            <filter val="Tawi-Tawi"/>
            <filter val="Ifugao"/>
            <filter val="REGION 9 (ZAMBOANGA PENINSULA)"/>
            <filter val="Davao Oriental"/>
            <filter val="Isabela"/>
            <filter val="Bukidnon"/>
            <filter val="Marinduque"/>
            <filter val="Agusan del Sur"/>
            <filter val="Sulu"/>
            <filter val="Oriental Mindoro"/>
            <filter val="Zamboanga City"/>
            <filter val="REGION 4-B (MIMAROPA)"/>
            <filter val="Leyte (w/ HUC)"/>
            <filter val="Davao del Sur (w/ HUC)"/>
            <filter val="Capiz"/>
            <filter val="Pampanga (w/ HUC)"/>
            <filter val="City of Isabela"/>
            <filter val="Aklan"/>
            <filter val="REGION 12 (SOCCSKSARGEN)"/>
            <filter val="Agusan del Norte (w/ HUC)"/>
            <filter val="REGION 2 (CAGAYAN VALLEY)"/>
            <filter val="Davao Occidental"/>
            <filter val="Biliran"/>
            <filter val="Guimaras"/>
            <filter val="Sultan Kudarat"/>
            <filter val="REGION 5 (BICOL)"/>
            <filter val="Rizal"/>
            <filter val="Cebu (w/ 3 HUC)"/>
            <filter val="Surigao del Sur"/>
            <filter val="REGION 6 (WESTERN VISAYAS)"/>
            <filter val="Negros Occidental (w/ HUC)"/>
            <filter val="Mountain Province"/>
            <filter val="Palawan (w/ HUC)"/>
            <filter val="Basilan"/>
            <filter val="Masbate"/>
            <filter val="Zamboanga del Norte"/>
            <filter val="Misamis Occidental"/>
            <filter val="Lanao del Norte (w/ HUC)"/>
            <filter val="Northern Samar"/>
            <filter val="Cotabato City"/>
            <filter val="North Cotabato"/>
            <filter val="Western Samar (Samar)"/>
            <filter val="La Union"/>
            <filter val="Catanduanes"/>
            <filter val="Surigao del Norte"/>
          </filters>
        </filterColumn>
      </autoFilter>
    </customSheetView>
  </customSheetViews>
  <mergeCells count="7">
    <mergeCell ref="A6:A8"/>
    <mergeCell ref="B6:AS6"/>
    <mergeCell ref="B7:Q7"/>
    <mergeCell ref="R7:R8"/>
    <mergeCell ref="S7:AQ7"/>
    <mergeCell ref="AR7:AR8"/>
    <mergeCell ref="AS7:AS8"/>
  </mergeCells>
  <printOptions/>
  <pageMargins bottom="0.75" footer="0.0" header="0.0" left="0.7" right="0.7" top="0.75"/>
  <pageSetup orientation="landscape"/>
  <drawing r:id="rId1"/>
</worksheet>
</file>